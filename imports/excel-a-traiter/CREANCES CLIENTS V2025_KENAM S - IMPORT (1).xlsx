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1.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comments2.xml" ContentType="application/vnd.openxmlformats-officedocument.spreadsheetml.comments+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omments3.xml" ContentType="application/vnd.openxmlformats-officedocument.spreadsheetml.comments+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C:\Users\DELL\Desktop\DATA ERP CRM KENAM S\"/>
    </mc:Choice>
  </mc:AlternateContent>
  <xr:revisionPtr revIDLastSave="0" documentId="13_ncr:1_{0E2E7BCC-A602-421E-99C4-33374B6453C6}" xr6:coauthVersionLast="47" xr6:coauthVersionMax="47" xr10:uidLastSave="{00000000-0000-0000-0000-000000000000}"/>
  <bookViews>
    <workbookView xWindow="-108" yWindow="-108" windowWidth="23256" windowHeight="12456" activeTab="2" xr2:uid="{23D1DDC3-6E96-44C2-9944-B20F6A8AA7EF}"/>
  </bookViews>
  <sheets>
    <sheet name="PARAMETRES" sheetId="10" r:id="rId1"/>
    <sheet name="CLIENTS-CREANCES" sheetId="1" r:id="rId2"/>
    <sheet name="FACTURES" sheetId="3" r:id="rId3"/>
    <sheet name="REGLEMENT" sheetId="7" r:id="rId4"/>
    <sheet name="CARNET DE COMMANDE" sheetId="2" r:id="rId5"/>
    <sheet name="CARNET CDE FATURE  PFO 2025" sheetId="27" r:id="rId6"/>
  </sheets>
  <definedNames>
    <definedName name="_xlnm._FilterDatabase" localSheetId="2" hidden="1">FACTURES!$C$4:$X$367</definedName>
    <definedName name="ADRESSE">#REF!</definedName>
    <definedName name="COMPTE_TRESORERIE">PARAMETRES!$G$18:$G$29</definedName>
    <definedName name="DOCUMENT">PARAMETRES!#REF!</definedName>
    <definedName name="ENTITE">PARAMETRES!$A$4:$A$11</definedName>
    <definedName name="ID_BC_UNIQUE" localSheetId="5">'CARNET CDE FATURE  PFO 2025'!$E$6:$E$303</definedName>
    <definedName name="ID_BC_UNIQUE">'CARNET DE COMMANDE'!$D$6:$D$350</definedName>
    <definedName name="_xlnm.Print_Titles" localSheetId="2">FACTURES!$4:$4</definedName>
    <definedName name="Montant_BC" localSheetId="5">'CARNET CDE FATURE  PFO 2025'!$G$5:INDEX('CARNET CDE FATURE  PFO 2025'!$F:$F,COUNTA('CARNET CDE FATURE  PFO 2025'!$F:$F)+4)</definedName>
    <definedName name="Montant_BC">'CARNET DE COMMANDE'!$I$5:INDEX('CARNET DE COMMANDE'!$E:$E,COUNTA('CARNET DE COMMANDE'!$E:$E)+4)</definedName>
    <definedName name="N°_BC" localSheetId="5">Tableau5[ACTIONS A MENER]</definedName>
    <definedName name="N°_BC">#REF!</definedName>
    <definedName name="NCC">#REF!</definedName>
    <definedName name="Nom_BC" localSheetId="5">'CARNET CDE FATURE  PFO 2025'!$C$5:INDEX('CARNET CDE FATURE  PFO 2025'!$D:$D,COUNTA('CARNET CDE FATURE  PFO 2025'!$D:$D)+4)</definedName>
    <definedName name="Nom_BC">'CARNET DE COMMANDE'!#REF!:INDEX('CARNET DE COMMANDE'!#REF!,COUNTA('CARNET DE COMMANDE'!#REF!)+4)</definedName>
    <definedName name="NOM_CLIENT">'CLIENTS-CREANCES'!$B$5:$B$21</definedName>
    <definedName name="Nom_TClient">#REF!</definedName>
    <definedName name="RAISON">#REF!</definedName>
    <definedName name="SIEGE">#REF!</definedName>
    <definedName name="SIM_GROUP">PARAMETRES!$A$5:$A$9</definedName>
    <definedName name="TELEPHONE">#REF!</definedName>
    <definedName name="TYPE_DE_BON_DE_COMMANDE_CLIENT">PARAMETRES!#REF!</definedName>
    <definedName name="_xlnm.Print_Area" localSheetId="1">'CLIENTS-CREANCES'!$A$1:$O$21</definedName>
    <definedName name="_xlnm.Print_Area" localSheetId="2">FACTURES!$A$1:$W$369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1" l="1"/>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J346" i="2"/>
  <c r="J347" i="2"/>
  <c r="J348" i="2"/>
  <c r="J349" i="2"/>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H350" i="2" l="1"/>
  <c r="I350" i="2"/>
  <c r="O342" i="2"/>
  <c r="O343" i="2"/>
  <c r="O344" i="2"/>
  <c r="O345" i="2"/>
  <c r="K346" i="2"/>
  <c r="M346" i="2"/>
  <c r="O346" i="2"/>
  <c r="K347" i="2"/>
  <c r="M347" i="2"/>
  <c r="O347" i="2"/>
  <c r="K348" i="2"/>
  <c r="M348" i="2"/>
  <c r="O348" i="2"/>
  <c r="K365" i="3"/>
  <c r="T365" i="3"/>
  <c r="W365" i="3"/>
  <c r="K366" i="3"/>
  <c r="T366" i="3"/>
  <c r="W366" i="3"/>
  <c r="K367" i="3"/>
  <c r="M367" i="3"/>
  <c r="T367" i="3"/>
  <c r="W367" i="3"/>
  <c r="D368" i="3"/>
  <c r="I368" i="3"/>
  <c r="L368" i="3"/>
  <c r="O368" i="3"/>
  <c r="K363" i="3"/>
  <c r="T363" i="3"/>
  <c r="W363" i="3"/>
  <c r="K364" i="3"/>
  <c r="W364" i="3"/>
  <c r="U367" i="3" l="1"/>
  <c r="U366" i="3"/>
  <c r="U363" i="3"/>
  <c r="U365" i="3"/>
  <c r="V367" i="3"/>
  <c r="J345" i="2"/>
  <c r="K345" i="2" s="1"/>
  <c r="J343" i="2"/>
  <c r="K343" i="2" s="1"/>
  <c r="M363" i="3"/>
  <c r="J342" i="2"/>
  <c r="K342" i="2" s="1"/>
  <c r="J344" i="2"/>
  <c r="L344" i="2" s="1"/>
  <c r="M344" i="2" s="1"/>
  <c r="M365" i="3"/>
  <c r="N365" i="3" s="1"/>
  <c r="M364" i="3"/>
  <c r="N364" i="3" s="1"/>
  <c r="L347" i="2"/>
  <c r="L346" i="2"/>
  <c r="L348" i="2"/>
  <c r="M366" i="3"/>
  <c r="N366" i="3" s="1"/>
  <c r="N367" i="3"/>
  <c r="T364" i="3"/>
  <c r="U364" i="3" s="1"/>
  <c r="N363" i="3"/>
  <c r="O340" i="2"/>
  <c r="O341" i="2"/>
  <c r="K359" i="3"/>
  <c r="T359" i="3"/>
  <c r="W359" i="3"/>
  <c r="K360" i="3"/>
  <c r="T360" i="3"/>
  <c r="W360" i="3"/>
  <c r="K361" i="3"/>
  <c r="J340" i="2" s="1"/>
  <c r="W361" i="3"/>
  <c r="K362" i="3"/>
  <c r="M362" i="3"/>
  <c r="T362" i="3"/>
  <c r="W362" i="3"/>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9" i="2"/>
  <c r="K349" i="2"/>
  <c r="M349" i="2"/>
  <c r="G123" i="3"/>
  <c r="G303" i="27"/>
  <c r="C303" i="27"/>
  <c r="F303" i="27" a="1"/>
  <c r="U359" i="3" l="1"/>
  <c r="U362" i="3"/>
  <c r="U360" i="3"/>
  <c r="L343" i="2"/>
  <c r="M343" i="2" s="1"/>
  <c r="M360" i="3"/>
  <c r="J339" i="2"/>
  <c r="K339" i="2" s="1"/>
  <c r="N131" i="2"/>
  <c r="O131" i="2" s="1"/>
  <c r="M359" i="3"/>
  <c r="N359" i="3" s="1"/>
  <c r="J341" i="2"/>
  <c r="L341" i="2" s="1"/>
  <c r="M341" i="2" s="1"/>
  <c r="K344" i="2"/>
  <c r="L345" i="2"/>
  <c r="M345" i="2" s="1"/>
  <c r="L342" i="2"/>
  <c r="M342" i="2" s="1"/>
  <c r="P367" i="3"/>
  <c r="Y367" i="3" s="1"/>
  <c r="P366" i="3"/>
  <c r="Y366" i="3" s="1"/>
  <c r="P363" i="3"/>
  <c r="Y363" i="3" s="1"/>
  <c r="P365" i="3"/>
  <c r="Y365" i="3" s="1"/>
  <c r="P364" i="3"/>
  <c r="Y364" i="3" s="1"/>
  <c r="V362" i="3"/>
  <c r="T361" i="3"/>
  <c r="U361" i="3" s="1"/>
  <c r="M361" i="3"/>
  <c r="N361" i="3" s="1"/>
  <c r="K340" i="2"/>
  <c r="N362" i="3"/>
  <c r="N360" i="3"/>
  <c r="P359" i="3"/>
  <c r="Y359" i="3" s="1"/>
  <c r="L349" i="2"/>
  <c r="F303" i="27"/>
  <c r="P360" i="3" l="1"/>
  <c r="Y360" i="3" s="1"/>
  <c r="P361" i="3"/>
  <c r="Y361" i="3" s="1"/>
  <c r="K341" i="2"/>
  <c r="L339" i="2"/>
  <c r="M339" i="2" s="1"/>
  <c r="L340" i="2"/>
  <c r="M340" i="2" s="1"/>
  <c r="P362" i="3"/>
  <c r="Y362" i="3" l="1"/>
  <c r="D64" i="10" l="1"/>
  <c r="O364" i="7" l="1"/>
  <c r="R364" i="7"/>
  <c r="O365" i="7"/>
  <c r="R365" i="7"/>
  <c r="O366" i="7"/>
  <c r="R366" i="7"/>
  <c r="O367" i="7"/>
  <c r="R367" i="7"/>
  <c r="O368" i="7"/>
  <c r="R368" i="7"/>
  <c r="O369" i="7"/>
  <c r="R369" i="7"/>
  <c r="O370" i="7"/>
  <c r="R370" i="7"/>
  <c r="O371" i="7"/>
  <c r="R371" i="7"/>
  <c r="O372" i="7"/>
  <c r="R372" i="7"/>
  <c r="O373" i="7"/>
  <c r="R373" i="7"/>
  <c r="O374" i="7"/>
  <c r="R374" i="7"/>
  <c r="O375" i="7"/>
  <c r="R375" i="7"/>
  <c r="O376" i="7"/>
  <c r="R376" i="7"/>
  <c r="O377" i="7"/>
  <c r="R377" i="7"/>
  <c r="O378" i="7"/>
  <c r="R378" i="7"/>
  <c r="O379" i="7"/>
  <c r="R379" i="7"/>
  <c r="O380" i="7"/>
  <c r="R380" i="7"/>
  <c r="O353" i="7"/>
  <c r="R353" i="7"/>
  <c r="O354" i="7"/>
  <c r="R354" i="7"/>
  <c r="O351" i="7"/>
  <c r="R351" i="7"/>
  <c r="O381" i="7"/>
  <c r="R381" i="7"/>
  <c r="O382" i="7"/>
  <c r="R382" i="7"/>
  <c r="O383" i="7"/>
  <c r="R383" i="7"/>
  <c r="O363" i="7"/>
  <c r="R363" i="7"/>
  <c r="O362" i="7"/>
  <c r="R362" i="7"/>
  <c r="O361" i="7"/>
  <c r="R361" i="7"/>
  <c r="O360" i="7"/>
  <c r="R360" i="7"/>
  <c r="K336" i="3" l="1"/>
  <c r="J316" i="2" s="1"/>
  <c r="W336" i="3"/>
  <c r="K337" i="3"/>
  <c r="J317" i="2" s="1"/>
  <c r="T337" i="3"/>
  <c r="W337" i="3"/>
  <c r="K338" i="3"/>
  <c r="J320" i="2" s="1"/>
  <c r="T338" i="3"/>
  <c r="W338" i="3"/>
  <c r="K339" i="3"/>
  <c r="J318" i="2" s="1"/>
  <c r="T339" i="3"/>
  <c r="W339" i="3"/>
  <c r="K340" i="3"/>
  <c r="J319" i="2" s="1"/>
  <c r="T340" i="3"/>
  <c r="W340" i="3"/>
  <c r="K341" i="3"/>
  <c r="J321" i="2" s="1"/>
  <c r="T341" i="3"/>
  <c r="W341" i="3"/>
  <c r="K342" i="3"/>
  <c r="J322" i="2" s="1"/>
  <c r="T342" i="3"/>
  <c r="W342" i="3"/>
  <c r="K343" i="3"/>
  <c r="T343" i="3"/>
  <c r="W343" i="3"/>
  <c r="K344" i="3"/>
  <c r="W344" i="3"/>
  <c r="K345" i="3"/>
  <c r="T345" i="3"/>
  <c r="W345" i="3"/>
  <c r="K346" i="3"/>
  <c r="W346" i="3"/>
  <c r="K347" i="3"/>
  <c r="T347" i="3"/>
  <c r="W347" i="3"/>
  <c r="K348" i="3"/>
  <c r="J328" i="2" s="1"/>
  <c r="T348" i="3"/>
  <c r="W348" i="3"/>
  <c r="K349" i="3"/>
  <c r="J329" i="2" s="1"/>
  <c r="T349" i="3"/>
  <c r="W349" i="3"/>
  <c r="K350" i="3"/>
  <c r="T350" i="3"/>
  <c r="U350" i="3" s="1"/>
  <c r="W350" i="3"/>
  <c r="K351" i="3"/>
  <c r="T351" i="3"/>
  <c r="W351" i="3"/>
  <c r="K352" i="3"/>
  <c r="J332" i="2" s="1"/>
  <c r="W352" i="3"/>
  <c r="K353" i="3"/>
  <c r="J333" i="2" s="1"/>
  <c r="T353" i="3"/>
  <c r="U353" i="3" s="1"/>
  <c r="W353" i="3"/>
  <c r="K354" i="3"/>
  <c r="T354" i="3"/>
  <c r="W354" i="3"/>
  <c r="K355" i="3"/>
  <c r="J335" i="2" s="1"/>
  <c r="W355" i="3"/>
  <c r="K356" i="3"/>
  <c r="J336" i="2" s="1"/>
  <c r="T356" i="3"/>
  <c r="W356" i="3"/>
  <c r="K357" i="3"/>
  <c r="J337" i="2" s="1"/>
  <c r="T357" i="3"/>
  <c r="W357" i="3"/>
  <c r="K358" i="3"/>
  <c r="J338" i="2" s="1"/>
  <c r="T358" i="3"/>
  <c r="W358" i="3"/>
  <c r="K334" i="3"/>
  <c r="J315" i="2" s="1"/>
  <c r="W334" i="3"/>
  <c r="K335" i="3"/>
  <c r="J314" i="2" s="1"/>
  <c r="T335" i="3"/>
  <c r="W335" i="3"/>
  <c r="K325" i="3"/>
  <c r="J309" i="2" s="1"/>
  <c r="T325" i="3"/>
  <c r="W325" i="3"/>
  <c r="K326" i="3"/>
  <c r="J310" i="2" s="1"/>
  <c r="W326" i="3"/>
  <c r="K327" i="3"/>
  <c r="J311" i="2" s="1"/>
  <c r="T327" i="3"/>
  <c r="W327" i="3"/>
  <c r="K328" i="3"/>
  <c r="J305" i="2" s="1"/>
  <c r="T328" i="3"/>
  <c r="W328" i="3"/>
  <c r="K329" i="3"/>
  <c r="J302" i="2" s="1"/>
  <c r="M329" i="3"/>
  <c r="T329" i="3"/>
  <c r="W329" i="3"/>
  <c r="K330" i="3"/>
  <c r="J281" i="2" s="1"/>
  <c r="T330" i="3"/>
  <c r="W330" i="3"/>
  <c r="K320" i="3"/>
  <c r="J301" i="2" s="1"/>
  <c r="T320" i="3"/>
  <c r="U320" i="3" s="1"/>
  <c r="W320" i="3"/>
  <c r="K321" i="3"/>
  <c r="J303" i="2" s="1"/>
  <c r="T321" i="3"/>
  <c r="W321" i="3"/>
  <c r="K322" i="3"/>
  <c r="J304" i="2" s="1"/>
  <c r="T322" i="3"/>
  <c r="W322" i="3"/>
  <c r="K323" i="3"/>
  <c r="J306" i="2" s="1"/>
  <c r="T323" i="3"/>
  <c r="W323" i="3"/>
  <c r="K324" i="3"/>
  <c r="J307" i="2" s="1"/>
  <c r="T324" i="3"/>
  <c r="W324" i="3"/>
  <c r="K331" i="3"/>
  <c r="J308" i="2" s="1"/>
  <c r="T331" i="3"/>
  <c r="W331" i="3"/>
  <c r="O347" i="7"/>
  <c r="R347" i="7"/>
  <c r="O348" i="7"/>
  <c r="R348" i="7"/>
  <c r="O349" i="7"/>
  <c r="R349" i="7"/>
  <c r="O350" i="7"/>
  <c r="R350" i="7"/>
  <c r="O352" i="7"/>
  <c r="R352" i="7"/>
  <c r="O355" i="7"/>
  <c r="R355" i="7"/>
  <c r="O356" i="7"/>
  <c r="R356" i="7"/>
  <c r="O357" i="7"/>
  <c r="R357" i="7"/>
  <c r="O340" i="7"/>
  <c r="O341" i="7"/>
  <c r="O342" i="7"/>
  <c r="R340" i="7"/>
  <c r="R341" i="7"/>
  <c r="R342" i="7"/>
  <c r="O343" i="7"/>
  <c r="O344" i="7"/>
  <c r="O345" i="7"/>
  <c r="R343" i="7"/>
  <c r="R344" i="7"/>
  <c r="R345" i="7"/>
  <c r="K177" i="3"/>
  <c r="J125" i="2" s="1"/>
  <c r="T177" i="3"/>
  <c r="W177" i="3"/>
  <c r="K317" i="3"/>
  <c r="T317" i="3"/>
  <c r="U317" i="3" s="1"/>
  <c r="W317" i="3"/>
  <c r="K318" i="3"/>
  <c r="J299" i="2" s="1"/>
  <c r="T318" i="3"/>
  <c r="W318" i="3"/>
  <c r="K319" i="3"/>
  <c r="J280" i="2" s="1"/>
  <c r="T319" i="3"/>
  <c r="W319" i="3"/>
  <c r="K332" i="3"/>
  <c r="J312" i="2" s="1"/>
  <c r="M332" i="3"/>
  <c r="W332" i="3"/>
  <c r="K333" i="3"/>
  <c r="J313" i="2" s="1"/>
  <c r="M333" i="3"/>
  <c r="W333" i="3"/>
  <c r="O359" i="7"/>
  <c r="R359" i="7"/>
  <c r="O358" i="7"/>
  <c r="R358" i="7"/>
  <c r="O336" i="7"/>
  <c r="R336" i="7"/>
  <c r="O337" i="7"/>
  <c r="R337" i="7"/>
  <c r="O338" i="7"/>
  <c r="R338" i="7"/>
  <c r="O339" i="7"/>
  <c r="R339" i="7"/>
  <c r="O333" i="7"/>
  <c r="R333" i="7"/>
  <c r="O334" i="7"/>
  <c r="R334" i="7"/>
  <c r="O335" i="7"/>
  <c r="R335" i="7"/>
  <c r="O346" i="7"/>
  <c r="R346" i="7"/>
  <c r="O332" i="7"/>
  <c r="R332" i="7"/>
  <c r="O331" i="7"/>
  <c r="R331" i="7"/>
  <c r="O330" i="7"/>
  <c r="R330" i="7"/>
  <c r="O329" i="7"/>
  <c r="R329" i="7"/>
  <c r="O328" i="7"/>
  <c r="R328" i="7"/>
  <c r="O327" i="7"/>
  <c r="R327" i="7"/>
  <c r="O326" i="7"/>
  <c r="R326" i="7"/>
  <c r="O325" i="7"/>
  <c r="R325" i="7"/>
  <c r="O324" i="7"/>
  <c r="R324" i="7"/>
  <c r="O323" i="7"/>
  <c r="R323" i="7"/>
  <c r="O317" i="7"/>
  <c r="R317" i="7"/>
  <c r="J102" i="3"/>
  <c r="F350" i="2" a="1"/>
  <c r="U357" i="3" l="1"/>
  <c r="U319" i="3"/>
  <c r="U340" i="3"/>
  <c r="U348" i="3"/>
  <c r="U343" i="3"/>
  <c r="U339" i="3"/>
  <c r="U356" i="3"/>
  <c r="U318" i="3"/>
  <c r="U331" i="3"/>
  <c r="U321" i="3"/>
  <c r="U335" i="3"/>
  <c r="U351" i="3"/>
  <c r="U347" i="3"/>
  <c r="U322" i="3"/>
  <c r="U329" i="3"/>
  <c r="U325" i="3"/>
  <c r="U328" i="3"/>
  <c r="U342" i="3"/>
  <c r="U338" i="3"/>
  <c r="U341" i="3"/>
  <c r="U337" i="3"/>
  <c r="U177" i="3"/>
  <c r="U358" i="3"/>
  <c r="U345" i="3"/>
  <c r="U324" i="3"/>
  <c r="U327" i="3"/>
  <c r="U354" i="3"/>
  <c r="U323" i="3"/>
  <c r="U330" i="3"/>
  <c r="U349" i="3"/>
  <c r="J326" i="2"/>
  <c r="K326" i="2" s="1"/>
  <c r="M351" i="3"/>
  <c r="N351" i="3" s="1"/>
  <c r="J331" i="2"/>
  <c r="M347" i="3"/>
  <c r="N347" i="3" s="1"/>
  <c r="J327" i="2"/>
  <c r="M346" i="3"/>
  <c r="N346" i="3" s="1"/>
  <c r="J325" i="2"/>
  <c r="M350" i="3"/>
  <c r="N350" i="3" s="1"/>
  <c r="J330" i="2"/>
  <c r="J323" i="2"/>
  <c r="K323" i="2" s="1"/>
  <c r="M354" i="3"/>
  <c r="N354" i="3" s="1"/>
  <c r="J334" i="2"/>
  <c r="M345" i="3"/>
  <c r="N345" i="3" s="1"/>
  <c r="J324" i="2"/>
  <c r="K336" i="2"/>
  <c r="L336" i="2"/>
  <c r="M336" i="2" s="1"/>
  <c r="M358" i="3"/>
  <c r="N358" i="3" s="1"/>
  <c r="M357" i="3"/>
  <c r="N357" i="3" s="1"/>
  <c r="M356" i="3"/>
  <c r="N356" i="3" s="1"/>
  <c r="M355" i="3"/>
  <c r="N355" i="3" s="1"/>
  <c r="K335" i="2"/>
  <c r="L335" i="2"/>
  <c r="M335" i="2" s="1"/>
  <c r="T355" i="3"/>
  <c r="U355" i="3" s="1"/>
  <c r="M348" i="3"/>
  <c r="N348" i="3" s="1"/>
  <c r="M349" i="3"/>
  <c r="N349" i="3" s="1"/>
  <c r="M353" i="3"/>
  <c r="N353" i="3" s="1"/>
  <c r="M352" i="3"/>
  <c r="N352" i="3" s="1"/>
  <c r="T352" i="3"/>
  <c r="U352" i="3" s="1"/>
  <c r="T346" i="3"/>
  <c r="U346" i="3" s="1"/>
  <c r="T344" i="3"/>
  <c r="U344" i="3" s="1"/>
  <c r="M344" i="3"/>
  <c r="N344" i="3" s="1"/>
  <c r="M343" i="3"/>
  <c r="N343" i="3" s="1"/>
  <c r="T334" i="3"/>
  <c r="U334" i="3" s="1"/>
  <c r="M319" i="3"/>
  <c r="N319" i="3" s="1"/>
  <c r="K302" i="2"/>
  <c r="M322" i="3"/>
  <c r="N322" i="3" s="1"/>
  <c r="M324" i="3"/>
  <c r="N324" i="3" s="1"/>
  <c r="K313" i="2"/>
  <c r="M331" i="3"/>
  <c r="N331" i="3" s="1"/>
  <c r="M335" i="3"/>
  <c r="N335" i="3" s="1"/>
  <c r="M339" i="3"/>
  <c r="N339" i="3" s="1"/>
  <c r="M338" i="3"/>
  <c r="N338" i="3" s="1"/>
  <c r="M340" i="3"/>
  <c r="N340" i="3" s="1"/>
  <c r="M342" i="3"/>
  <c r="N342" i="3" s="1"/>
  <c r="M341" i="3"/>
  <c r="N341" i="3" s="1"/>
  <c r="M337" i="3"/>
  <c r="N337" i="3" s="1"/>
  <c r="M336" i="3"/>
  <c r="N336" i="3" s="1"/>
  <c r="T336" i="3"/>
  <c r="U336" i="3" s="1"/>
  <c r="M334" i="3"/>
  <c r="N334" i="3" s="1"/>
  <c r="M328" i="3"/>
  <c r="N328" i="3" s="1"/>
  <c r="M327" i="3"/>
  <c r="N327" i="3" s="1"/>
  <c r="M325" i="3"/>
  <c r="N325" i="3" s="1"/>
  <c r="M326" i="3"/>
  <c r="N326" i="3" s="1"/>
  <c r="T333" i="3"/>
  <c r="U333" i="3" s="1"/>
  <c r="M330" i="3"/>
  <c r="N330" i="3" s="1"/>
  <c r="T326" i="3"/>
  <c r="U326" i="3" s="1"/>
  <c r="N329" i="3"/>
  <c r="M321" i="3"/>
  <c r="N321" i="3" s="1"/>
  <c r="M320" i="3"/>
  <c r="N320" i="3" s="1"/>
  <c r="M323" i="3"/>
  <c r="N323" i="3" s="1"/>
  <c r="T332" i="3"/>
  <c r="U332" i="3" s="1"/>
  <c r="M317" i="3"/>
  <c r="N317" i="3" s="1"/>
  <c r="M177" i="3"/>
  <c r="N177" i="3" s="1"/>
  <c r="M318" i="3"/>
  <c r="N318" i="3" s="1"/>
  <c r="N333" i="3"/>
  <c r="N332" i="3"/>
  <c r="F350" i="2"/>
  <c r="L326" i="2" l="1"/>
  <c r="M326" i="2" s="1"/>
  <c r="L323" i="2"/>
  <c r="M323" i="2" s="1"/>
  <c r="K337" i="2"/>
  <c r="L337" i="2"/>
  <c r="M337" i="2" s="1"/>
  <c r="K338" i="2"/>
  <c r="L338" i="2"/>
  <c r="M338" i="2" s="1"/>
  <c r="K333" i="2"/>
  <c r="L333" i="2"/>
  <c r="M333" i="2" s="1"/>
  <c r="K330" i="2"/>
  <c r="L330" i="2"/>
  <c r="M330" i="2" s="1"/>
  <c r="K331" i="2"/>
  <c r="L331" i="2"/>
  <c r="M331" i="2" s="1"/>
  <c r="K332" i="2"/>
  <c r="L332" i="2"/>
  <c r="M332" i="2" s="1"/>
  <c r="K327" i="2"/>
  <c r="L327" i="2"/>
  <c r="M327" i="2" s="1"/>
  <c r="K334" i="2"/>
  <c r="L334" i="2"/>
  <c r="M334" i="2" s="1"/>
  <c r="K328" i="2"/>
  <c r="L328" i="2"/>
  <c r="M328" i="2" s="1"/>
  <c r="K329" i="2"/>
  <c r="L329" i="2"/>
  <c r="M329" i="2" s="1"/>
  <c r="L315" i="2"/>
  <c r="M315" i="2" s="1"/>
  <c r="K315" i="2"/>
  <c r="L324" i="2"/>
  <c r="M324" i="2" s="1"/>
  <c r="K324" i="2"/>
  <c r="K325" i="2"/>
  <c r="L325" i="2"/>
  <c r="M325" i="2" s="1"/>
  <c r="L313" i="2"/>
  <c r="M313" i="2" s="1"/>
  <c r="L302" i="2"/>
  <c r="M302" i="2" s="1"/>
  <c r="P335" i="3"/>
  <c r="Y335" i="3" s="1"/>
  <c r="K314" i="2"/>
  <c r="L314" i="2"/>
  <c r="M314" i="2" s="1"/>
  <c r="L319" i="2"/>
  <c r="M319" i="2" s="1"/>
  <c r="K319" i="2"/>
  <c r="K281" i="2"/>
  <c r="L281" i="2"/>
  <c r="M281" i="2" s="1"/>
  <c r="L322" i="2"/>
  <c r="M322" i="2" s="1"/>
  <c r="K322" i="2"/>
  <c r="K321" i="2"/>
  <c r="L321" i="2"/>
  <c r="M321" i="2" s="1"/>
  <c r="L308" i="2"/>
  <c r="M308" i="2" s="1"/>
  <c r="K308" i="2"/>
  <c r="K317" i="2"/>
  <c r="L317" i="2"/>
  <c r="M317" i="2" s="1"/>
  <c r="P348" i="3"/>
  <c r="K320" i="2"/>
  <c r="L320" i="2"/>
  <c r="M320" i="2" s="1"/>
  <c r="K311" i="2"/>
  <c r="L311" i="2"/>
  <c r="M311" i="2" s="1"/>
  <c r="L305" i="2"/>
  <c r="M305" i="2" s="1"/>
  <c r="K305" i="2"/>
  <c r="L312" i="2"/>
  <c r="M312" i="2" s="1"/>
  <c r="K312" i="2"/>
  <c r="K125" i="2"/>
  <c r="L125" i="2"/>
  <c r="M125" i="2" s="1"/>
  <c r="K318" i="2"/>
  <c r="L318" i="2"/>
  <c r="M318" i="2" s="1"/>
  <c r="L299" i="2"/>
  <c r="M299" i="2" s="1"/>
  <c r="K299" i="2"/>
  <c r="K316" i="2"/>
  <c r="L316" i="2"/>
  <c r="M316" i="2" s="1"/>
  <c r="P358" i="3"/>
  <c r="Y358" i="3" s="1"/>
  <c r="P334" i="3"/>
  <c r="Y334" i="3" s="1"/>
  <c r="P345" i="3"/>
  <c r="P342" i="3"/>
  <c r="Y342" i="3" s="1"/>
  <c r="P332" i="3"/>
  <c r="Y332" i="3" s="1"/>
  <c r="P323" i="3"/>
  <c r="Y323" i="3" s="1"/>
  <c r="P333" i="3"/>
  <c r="Y333" i="3" s="1"/>
  <c r="P340" i="3"/>
  <c r="Y340" i="3" s="1"/>
  <c r="P350" i="3"/>
  <c r="P352" i="3"/>
  <c r="P343" i="3"/>
  <c r="P338" i="3"/>
  <c r="Y338" i="3" s="1"/>
  <c r="P330" i="3"/>
  <c r="Y330" i="3" s="1"/>
  <c r="P325" i="3"/>
  <c r="Y325" i="3" s="1"/>
  <c r="P329" i="3"/>
  <c r="Y329" i="3" s="1"/>
  <c r="P320" i="3"/>
  <c r="Y320" i="3" s="1"/>
  <c r="P321" i="3"/>
  <c r="Y321" i="3" s="1"/>
  <c r="P327" i="3"/>
  <c r="Y327" i="3" s="1"/>
  <c r="P344" i="3"/>
  <c r="P326" i="3"/>
  <c r="Y326" i="3" s="1"/>
  <c r="P357" i="3"/>
  <c r="P336" i="3"/>
  <c r="Y336" i="3" s="1"/>
  <c r="P319" i="3"/>
  <c r="Y319" i="3" s="1"/>
  <c r="P328" i="3"/>
  <c r="Y328" i="3" s="1"/>
  <c r="P356" i="3"/>
  <c r="P353" i="3"/>
  <c r="P337" i="3"/>
  <c r="Y337" i="3" s="1"/>
  <c r="P347" i="3"/>
  <c r="P351" i="3"/>
  <c r="P346" i="3"/>
  <c r="P341" i="3"/>
  <c r="P349" i="3"/>
  <c r="P354" i="3"/>
  <c r="P339" i="3"/>
  <c r="P355" i="3"/>
  <c r="P322" i="3"/>
  <c r="P324" i="3"/>
  <c r="P331" i="3"/>
  <c r="Y331" i="3" s="1"/>
  <c r="P317" i="3"/>
  <c r="Y317" i="3" s="1"/>
  <c r="P177" i="3"/>
  <c r="P318" i="3"/>
  <c r="Y357" i="3" l="1"/>
  <c r="Y348" i="3"/>
  <c r="Y344" i="3"/>
  <c r="Y350" i="3"/>
  <c r="Y353" i="3"/>
  <c r="Y354" i="3"/>
  <c r="Y346" i="3"/>
  <c r="Y351" i="3"/>
  <c r="Y356" i="3"/>
  <c r="Y347" i="3"/>
  <c r="Y349" i="3"/>
  <c r="Y343" i="3"/>
  <c r="Y345" i="3"/>
  <c r="Y355" i="3"/>
  <c r="Y352" i="3"/>
  <c r="Y341" i="3"/>
  <c r="Y339" i="3"/>
  <c r="Y324" i="3"/>
  <c r="Y322" i="3"/>
  <c r="Y318" i="3"/>
  <c r="Y177" i="3"/>
  <c r="O315" i="7" l="1"/>
  <c r="R315" i="7"/>
  <c r="O316" i="7"/>
  <c r="R316" i="7"/>
  <c r="O322" i="7"/>
  <c r="R322" i="7"/>
  <c r="O321" i="7"/>
  <c r="R321" i="7"/>
  <c r="O320" i="7"/>
  <c r="R320" i="7"/>
  <c r="O319" i="7"/>
  <c r="R319" i="7"/>
  <c r="O318" i="7"/>
  <c r="R318" i="7"/>
  <c r="J104" i="3" l="1"/>
  <c r="K280" i="2"/>
  <c r="K301" i="2"/>
  <c r="K303" i="2"/>
  <c r="K304" i="2"/>
  <c r="K306" i="2"/>
  <c r="K307" i="2"/>
  <c r="K309" i="2"/>
  <c r="K310" i="2"/>
  <c r="K311" i="3"/>
  <c r="J292" i="2" s="1"/>
  <c r="W311" i="3"/>
  <c r="K314" i="3"/>
  <c r="W314" i="3"/>
  <c r="K315" i="3"/>
  <c r="T315" i="3"/>
  <c r="W315" i="3"/>
  <c r="K313" i="3"/>
  <c r="J300" i="2" s="1"/>
  <c r="M313" i="3"/>
  <c r="T313" i="3"/>
  <c r="W313" i="3"/>
  <c r="K308" i="3"/>
  <c r="J298" i="2" s="1"/>
  <c r="M308" i="3"/>
  <c r="T308" i="3"/>
  <c r="W308" i="3"/>
  <c r="K316" i="3"/>
  <c r="J293" i="2" s="1"/>
  <c r="T316" i="3"/>
  <c r="W316" i="3"/>
  <c r="K309" i="3"/>
  <c r="J290" i="2" s="1"/>
  <c r="T309" i="3"/>
  <c r="U309" i="3" s="1"/>
  <c r="W309" i="3"/>
  <c r="K310" i="3"/>
  <c r="J291" i="2" s="1"/>
  <c r="W310" i="3"/>
  <c r="K302" i="3"/>
  <c r="J294" i="2" s="1"/>
  <c r="T302" i="3"/>
  <c r="W302" i="3"/>
  <c r="K303" i="3"/>
  <c r="J295" i="2" s="1"/>
  <c r="W303" i="3"/>
  <c r="K307" i="3"/>
  <c r="J297" i="2" s="1"/>
  <c r="T307" i="3"/>
  <c r="W307" i="3"/>
  <c r="K55" i="3"/>
  <c r="J100" i="2" s="1"/>
  <c r="M55" i="3"/>
  <c r="W55" i="3"/>
  <c r="M13" i="1"/>
  <c r="M16" i="1"/>
  <c r="M17" i="1"/>
  <c r="M18" i="1"/>
  <c r="M19" i="1"/>
  <c r="M20" i="1"/>
  <c r="L5" i="1"/>
  <c r="L6" i="1"/>
  <c r="L7" i="1"/>
  <c r="L8" i="1"/>
  <c r="L9" i="1"/>
  <c r="L10" i="1"/>
  <c r="L11" i="1"/>
  <c r="L12" i="1"/>
  <c r="L13" i="1"/>
  <c r="L14" i="1"/>
  <c r="L15" i="1"/>
  <c r="L16" i="1"/>
  <c r="L17" i="1"/>
  <c r="L18" i="1"/>
  <c r="L19" i="1"/>
  <c r="L20" i="1"/>
  <c r="U308" i="3" l="1"/>
  <c r="U302" i="3"/>
  <c r="U313" i="3"/>
  <c r="U307" i="3"/>
  <c r="U315" i="3"/>
  <c r="U316" i="3"/>
  <c r="K300" i="2"/>
  <c r="L100" i="2"/>
  <c r="M100" i="2" s="1"/>
  <c r="T55" i="3"/>
  <c r="U55" i="3" s="1"/>
  <c r="M316" i="3"/>
  <c r="N316" i="3" s="1"/>
  <c r="M315" i="3"/>
  <c r="N315" i="3" s="1"/>
  <c r="T314" i="3"/>
  <c r="U314" i="3" s="1"/>
  <c r="M314" i="3"/>
  <c r="N314" i="3" s="1"/>
  <c r="L280" i="2"/>
  <c r="M280" i="2" s="1"/>
  <c r="L304" i="2"/>
  <c r="M304" i="2" s="1"/>
  <c r="L301" i="2"/>
  <c r="M301" i="2" s="1"/>
  <c r="L303" i="2"/>
  <c r="M303" i="2" s="1"/>
  <c r="L306" i="2"/>
  <c r="M306" i="2" s="1"/>
  <c r="L309" i="2"/>
  <c r="M309" i="2" s="1"/>
  <c r="L307" i="2"/>
  <c r="M307" i="2" s="1"/>
  <c r="L310" i="2"/>
  <c r="M310" i="2" s="1"/>
  <c r="K292" i="2"/>
  <c r="M311" i="3"/>
  <c r="N311" i="3" s="1"/>
  <c r="M310" i="3"/>
  <c r="N310" i="3" s="1"/>
  <c r="T311" i="3"/>
  <c r="U311" i="3" s="1"/>
  <c r="N313" i="3"/>
  <c r="N308" i="3"/>
  <c r="M307" i="3"/>
  <c r="N307" i="3" s="1"/>
  <c r="M303" i="3"/>
  <c r="N303" i="3" s="1"/>
  <c r="T303" i="3"/>
  <c r="U303" i="3" s="1"/>
  <c r="M302" i="3"/>
  <c r="N302" i="3" s="1"/>
  <c r="T310" i="3"/>
  <c r="U310" i="3" s="1"/>
  <c r="M309" i="3"/>
  <c r="N309" i="3" s="1"/>
  <c r="N55" i="3"/>
  <c r="K294" i="3"/>
  <c r="J186" i="2" s="1"/>
  <c r="W294" i="3"/>
  <c r="K295" i="3"/>
  <c r="J248" i="2" s="1"/>
  <c r="W295" i="3"/>
  <c r="K296" i="3"/>
  <c r="J282" i="2" s="1"/>
  <c r="T296" i="3"/>
  <c r="W296" i="3"/>
  <c r="K297" i="3"/>
  <c r="J283" i="2" s="1"/>
  <c r="M297" i="3"/>
  <c r="T297" i="3"/>
  <c r="W297" i="3"/>
  <c r="K298" i="3"/>
  <c r="J284" i="2" s="1"/>
  <c r="M298" i="3"/>
  <c r="T298" i="3"/>
  <c r="W298" i="3"/>
  <c r="K299" i="3"/>
  <c r="J285" i="2" s="1"/>
  <c r="M299" i="3"/>
  <c r="T299" i="3"/>
  <c r="W299" i="3"/>
  <c r="K300" i="3"/>
  <c r="J286" i="2" s="1"/>
  <c r="T300" i="3"/>
  <c r="W300" i="3"/>
  <c r="K301" i="3"/>
  <c r="J287" i="2" s="1"/>
  <c r="W301" i="3"/>
  <c r="K305" i="3"/>
  <c r="J288" i="2" s="1"/>
  <c r="M305" i="3"/>
  <c r="T305" i="3"/>
  <c r="W305" i="3"/>
  <c r="K306" i="3"/>
  <c r="J289" i="2" s="1"/>
  <c r="T306" i="3"/>
  <c r="W306" i="3"/>
  <c r="K304" i="3"/>
  <c r="J296" i="2" s="1"/>
  <c r="T304" i="3"/>
  <c r="W304" i="3"/>
  <c r="K312" i="3"/>
  <c r="J259" i="2" s="1"/>
  <c r="T312" i="3"/>
  <c r="W312" i="3"/>
  <c r="K291" i="3"/>
  <c r="J273" i="2" s="1"/>
  <c r="T291" i="3"/>
  <c r="W291" i="3"/>
  <c r="K292" i="3"/>
  <c r="J276" i="2" s="1"/>
  <c r="T292" i="3"/>
  <c r="W292" i="3"/>
  <c r="K293" i="3"/>
  <c r="J277" i="2" s="1"/>
  <c r="T293" i="3"/>
  <c r="W293" i="3"/>
  <c r="K290" i="3"/>
  <c r="J272" i="2" s="1"/>
  <c r="T290" i="3"/>
  <c r="W290" i="3"/>
  <c r="K289" i="3"/>
  <c r="J251" i="2" s="1"/>
  <c r="T289" i="3"/>
  <c r="W289" i="3"/>
  <c r="K287" i="3"/>
  <c r="J278" i="2" s="1"/>
  <c r="W287" i="3"/>
  <c r="U293" i="3" l="1"/>
  <c r="U304" i="3"/>
  <c r="U300" i="3"/>
  <c r="U298" i="3"/>
  <c r="U297" i="3"/>
  <c r="U290" i="3"/>
  <c r="U312" i="3"/>
  <c r="U292" i="3"/>
  <c r="U306" i="3"/>
  <c r="U299" i="3"/>
  <c r="U296" i="3"/>
  <c r="U289" i="3"/>
  <c r="U291" i="3"/>
  <c r="U305" i="3"/>
  <c r="K100" i="2"/>
  <c r="M295" i="3"/>
  <c r="M296" i="3"/>
  <c r="N296" i="3" s="1"/>
  <c r="L300" i="2"/>
  <c r="M300" i="2" s="1"/>
  <c r="M292" i="3"/>
  <c r="N292" i="3" s="1"/>
  <c r="M293" i="3"/>
  <c r="N293" i="3" s="1"/>
  <c r="L293" i="2"/>
  <c r="M293" i="2" s="1"/>
  <c r="K293" i="2"/>
  <c r="P308" i="3"/>
  <c r="Y308" i="3" s="1"/>
  <c r="P303" i="3"/>
  <c r="P307" i="3"/>
  <c r="P313" i="3"/>
  <c r="Y313" i="3" s="1"/>
  <c r="P316" i="3"/>
  <c r="P309" i="3"/>
  <c r="Y309" i="3" s="1"/>
  <c r="P314" i="3"/>
  <c r="P55" i="3"/>
  <c r="P310" i="3"/>
  <c r="Y310" i="3" s="1"/>
  <c r="P302" i="3"/>
  <c r="Y302" i="3" s="1"/>
  <c r="P315" i="3"/>
  <c r="Y315" i="3" s="1"/>
  <c r="P311" i="3"/>
  <c r="Y311" i="3" s="1"/>
  <c r="L292" i="2"/>
  <c r="M292" i="2" s="1"/>
  <c r="L291" i="2"/>
  <c r="M291" i="2" s="1"/>
  <c r="K291" i="2"/>
  <c r="L290" i="2"/>
  <c r="M290" i="2" s="1"/>
  <c r="K290" i="2"/>
  <c r="L297" i="2"/>
  <c r="M297" i="2" s="1"/>
  <c r="K297" i="2"/>
  <c r="L298" i="2"/>
  <c r="M298" i="2" s="1"/>
  <c r="K298" i="2"/>
  <c r="M312" i="3"/>
  <c r="N312" i="3" s="1"/>
  <c r="M304" i="3"/>
  <c r="N304" i="3" s="1"/>
  <c r="M306" i="3"/>
  <c r="N306" i="3" s="1"/>
  <c r="M301" i="3"/>
  <c r="N301" i="3" s="1"/>
  <c r="M300" i="3"/>
  <c r="N300" i="3" s="1"/>
  <c r="M294" i="3"/>
  <c r="N294" i="3" s="1"/>
  <c r="T295" i="3"/>
  <c r="U295" i="3" s="1"/>
  <c r="T301" i="3"/>
  <c r="U301" i="3" s="1"/>
  <c r="T294" i="3"/>
  <c r="U294" i="3" s="1"/>
  <c r="N305" i="3"/>
  <c r="N299" i="3"/>
  <c r="N297" i="3"/>
  <c r="N298" i="3"/>
  <c r="M289" i="3"/>
  <c r="N289" i="3" s="1"/>
  <c r="M291" i="3"/>
  <c r="N291" i="3" s="1"/>
  <c r="M290" i="3"/>
  <c r="N290" i="3" s="1"/>
  <c r="M287" i="3"/>
  <c r="N287" i="3" s="1"/>
  <c r="T287" i="3"/>
  <c r="U287" i="3" s="1"/>
  <c r="E55" i="7"/>
  <c r="E384" i="7" s="1"/>
  <c r="O54" i="7"/>
  <c r="R54" i="7"/>
  <c r="O55" i="7"/>
  <c r="R55" i="7"/>
  <c r="O56" i="7"/>
  <c r="R56" i="7"/>
  <c r="M15" i="1" l="1"/>
  <c r="N295" i="3"/>
  <c r="P294" i="3"/>
  <c r="P291" i="3"/>
  <c r="Y291" i="3" s="1"/>
  <c r="P301" i="3"/>
  <c r="Y301" i="3" s="1"/>
  <c r="P297" i="3"/>
  <c r="Y297" i="3" s="1"/>
  <c r="P299" i="3"/>
  <c r="Y299" i="3" s="1"/>
  <c r="P304" i="3"/>
  <c r="Y314" i="3"/>
  <c r="Y55" i="3"/>
  <c r="P292" i="3"/>
  <c r="Y292" i="3" s="1"/>
  <c r="P289" i="3"/>
  <c r="Y289" i="3" s="1"/>
  <c r="P305" i="3"/>
  <c r="Y305" i="3" s="1"/>
  <c r="P287" i="3"/>
  <c r="Y287" i="3" s="1"/>
  <c r="P298" i="3"/>
  <c r="Y298" i="3" s="1"/>
  <c r="P300" i="3"/>
  <c r="Y300" i="3" s="1"/>
  <c r="P296" i="3"/>
  <c r="Y296" i="3" s="1"/>
  <c r="P306" i="3"/>
  <c r="Y306" i="3" s="1"/>
  <c r="P290" i="3"/>
  <c r="Y290" i="3" s="1"/>
  <c r="P293" i="3"/>
  <c r="Y293" i="3" s="1"/>
  <c r="P312" i="3"/>
  <c r="Y312" i="3" s="1"/>
  <c r="Y316" i="3"/>
  <c r="K259" i="2"/>
  <c r="L259" i="2"/>
  <c r="M259" i="2" s="1"/>
  <c r="L289" i="2"/>
  <c r="M289" i="2" s="1"/>
  <c r="K289" i="2"/>
  <c r="Y307" i="3"/>
  <c r="Y303" i="3"/>
  <c r="K220" i="3"/>
  <c r="J204" i="2" s="1"/>
  <c r="T220" i="3"/>
  <c r="W220" i="3"/>
  <c r="K264" i="3"/>
  <c r="J249" i="2" s="1"/>
  <c r="M264" i="3"/>
  <c r="T264" i="3"/>
  <c r="W264" i="3"/>
  <c r="K288" i="3"/>
  <c r="J279" i="2" s="1"/>
  <c r="T288" i="3"/>
  <c r="W288" i="3"/>
  <c r="K286" i="3"/>
  <c r="J252" i="2" s="1"/>
  <c r="T286" i="3"/>
  <c r="W286" i="3"/>
  <c r="K265" i="3"/>
  <c r="J250" i="2" s="1"/>
  <c r="M265" i="3"/>
  <c r="W265" i="3"/>
  <c r="U264" i="3" l="1"/>
  <c r="U220" i="3"/>
  <c r="U286" i="3"/>
  <c r="U288" i="3"/>
  <c r="P295" i="3"/>
  <c r="Y295" i="3" s="1"/>
  <c r="M14" i="1"/>
  <c r="Y304" i="3"/>
  <c r="Y294" i="3"/>
  <c r="M8" i="1"/>
  <c r="M286" i="3"/>
  <c r="N286" i="3" s="1"/>
  <c r="M220" i="3"/>
  <c r="N220" i="3" s="1"/>
  <c r="M288" i="3"/>
  <c r="N288" i="3" s="1"/>
  <c r="T265" i="3"/>
  <c r="U265" i="3" s="1"/>
  <c r="N264" i="3"/>
  <c r="N265" i="3"/>
  <c r="P265" i="3" l="1"/>
  <c r="Y265" i="3" s="1"/>
  <c r="P286" i="3"/>
  <c r="P288" i="3"/>
  <c r="P264" i="3"/>
  <c r="Y264" i="3" s="1"/>
  <c r="P220" i="3"/>
  <c r="Y220" i="3" s="1"/>
  <c r="Y288" i="3" l="1"/>
  <c r="Y286" i="3"/>
  <c r="J101" i="3"/>
  <c r="J368" i="3" s="1"/>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6" i="7"/>
  <c r="O37" i="7"/>
  <c r="O38" i="7"/>
  <c r="O39" i="7"/>
  <c r="O40" i="7"/>
  <c r="O41" i="7"/>
  <c r="O42" i="7"/>
  <c r="O43" i="7"/>
  <c r="O44" i="7"/>
  <c r="O45" i="7"/>
  <c r="O46" i="7"/>
  <c r="O47" i="7"/>
  <c r="O48" i="7"/>
  <c r="O49" i="7"/>
  <c r="O50" i="7"/>
  <c r="O51" i="7"/>
  <c r="O52" i="7"/>
  <c r="O53" i="7"/>
  <c r="O57"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81" i="7"/>
  <c r="O282" i="7"/>
  <c r="O283" i="7"/>
  <c r="O284" i="7"/>
  <c r="O35" i="7"/>
  <c r="O194" i="7"/>
  <c r="O58"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278" i="7"/>
  <c r="O279" i="7"/>
  <c r="O280"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6" i="7"/>
  <c r="R37" i="7"/>
  <c r="R38" i="7"/>
  <c r="R39" i="7"/>
  <c r="R40" i="7"/>
  <c r="R41" i="7"/>
  <c r="R42" i="7"/>
  <c r="R43" i="7"/>
  <c r="R44" i="7"/>
  <c r="R45" i="7"/>
  <c r="R46" i="7"/>
  <c r="R47" i="7"/>
  <c r="R48" i="7"/>
  <c r="R49" i="7"/>
  <c r="R50" i="7"/>
  <c r="R51" i="7"/>
  <c r="R52" i="7"/>
  <c r="R53" i="7"/>
  <c r="R57"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81" i="7"/>
  <c r="R282" i="7"/>
  <c r="R283" i="7"/>
  <c r="R284" i="7"/>
  <c r="R35" i="7"/>
  <c r="R194" i="7"/>
  <c r="R58"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278" i="7"/>
  <c r="R279" i="7"/>
  <c r="R280" i="7"/>
  <c r="K284" i="3" l="1"/>
  <c r="J275" i="2" s="1"/>
  <c r="W284" i="3"/>
  <c r="K285" i="3"/>
  <c r="J274" i="2" s="1"/>
  <c r="T285" i="3"/>
  <c r="W285" i="3"/>
  <c r="K281" i="3"/>
  <c r="J265" i="2" s="1"/>
  <c r="M281" i="3"/>
  <c r="T281" i="3"/>
  <c r="W281" i="3"/>
  <c r="K282" i="3"/>
  <c r="J270" i="2" s="1"/>
  <c r="W282" i="3"/>
  <c r="U281" i="3" l="1"/>
  <c r="U285" i="3"/>
  <c r="M282" i="3"/>
  <c r="N282" i="3" s="1"/>
  <c r="M284" i="3"/>
  <c r="N284" i="3" s="1"/>
  <c r="M285" i="3"/>
  <c r="N285" i="3" s="1"/>
  <c r="T284" i="3"/>
  <c r="U284" i="3" s="1"/>
  <c r="N281" i="3"/>
  <c r="T282" i="3"/>
  <c r="U282" i="3" s="1"/>
  <c r="K271" i="3"/>
  <c r="J258" i="2" s="1"/>
  <c r="W271" i="3"/>
  <c r="K272" i="3"/>
  <c r="J260" i="2" s="1"/>
  <c r="W272" i="3"/>
  <c r="K273" i="3"/>
  <c r="J261" i="2" s="1"/>
  <c r="M273" i="3"/>
  <c r="T273" i="3"/>
  <c r="W273" i="3"/>
  <c r="K274" i="3"/>
  <c r="J267" i="2" s="1"/>
  <c r="T274" i="3"/>
  <c r="W274" i="3"/>
  <c r="K275" i="3"/>
  <c r="J268" i="2" s="1"/>
  <c r="T275" i="3"/>
  <c r="W275" i="3"/>
  <c r="K276" i="3"/>
  <c r="J262" i="2" s="1"/>
  <c r="T276" i="3"/>
  <c r="W276" i="3"/>
  <c r="K277" i="3"/>
  <c r="J263" i="2" s="1"/>
  <c r="W277" i="3"/>
  <c r="K278" i="3"/>
  <c r="J264" i="2" s="1"/>
  <c r="M278" i="3"/>
  <c r="T278" i="3"/>
  <c r="W278" i="3"/>
  <c r="K279" i="3"/>
  <c r="J266" i="2" s="1"/>
  <c r="T279" i="3"/>
  <c r="W279" i="3"/>
  <c r="K280" i="3"/>
  <c r="J269" i="2" s="1"/>
  <c r="W280" i="3"/>
  <c r="K266" i="3"/>
  <c r="J253" i="2" s="1"/>
  <c r="M266" i="3"/>
  <c r="T266" i="3"/>
  <c r="W266" i="3"/>
  <c r="K267" i="3"/>
  <c r="J254" i="2" s="1"/>
  <c r="W267" i="3"/>
  <c r="K268" i="3"/>
  <c r="J255" i="2" s="1"/>
  <c r="W268" i="3"/>
  <c r="K269" i="3"/>
  <c r="J256" i="2" s="1"/>
  <c r="M269" i="3"/>
  <c r="T269" i="3"/>
  <c r="W269" i="3"/>
  <c r="K270" i="3"/>
  <c r="J257" i="2" s="1"/>
  <c r="W270" i="3"/>
  <c r="U276" i="3" l="1"/>
  <c r="U279" i="3"/>
  <c r="U275" i="3"/>
  <c r="U278" i="3"/>
  <c r="U274" i="3"/>
  <c r="U266" i="3"/>
  <c r="U273" i="3"/>
  <c r="U269" i="3"/>
  <c r="P281" i="3"/>
  <c r="Y281" i="3" s="1"/>
  <c r="P285" i="3"/>
  <c r="Y285" i="3" s="1"/>
  <c r="P284" i="3"/>
  <c r="Y284" i="3" s="1"/>
  <c r="P282" i="3"/>
  <c r="Y282" i="3" s="1"/>
  <c r="M275" i="3"/>
  <c r="N275" i="3" s="1"/>
  <c r="M272" i="3"/>
  <c r="N272" i="3" s="1"/>
  <c r="M267" i="3"/>
  <c r="N267" i="3" s="1"/>
  <c r="M268" i="3"/>
  <c r="N268" i="3" s="1"/>
  <c r="M271" i="3"/>
  <c r="N271" i="3" s="1"/>
  <c r="M270" i="3"/>
  <c r="N270" i="3" s="1"/>
  <c r="M280" i="3"/>
  <c r="N280" i="3" s="1"/>
  <c r="M279" i="3"/>
  <c r="N279" i="3" s="1"/>
  <c r="M276" i="3"/>
  <c r="N276" i="3" s="1"/>
  <c r="M277" i="3"/>
  <c r="N277" i="3" s="1"/>
  <c r="N278" i="3"/>
  <c r="M274" i="3"/>
  <c r="N274" i="3" s="1"/>
  <c r="T268" i="3"/>
  <c r="U268" i="3" s="1"/>
  <c r="T280" i="3"/>
  <c r="U280" i="3" s="1"/>
  <c r="T271" i="3"/>
  <c r="U271" i="3" s="1"/>
  <c r="T270" i="3"/>
  <c r="U270" i="3" s="1"/>
  <c r="T267" i="3"/>
  <c r="U267" i="3" s="1"/>
  <c r="T277" i="3"/>
  <c r="U277" i="3" s="1"/>
  <c r="T272" i="3"/>
  <c r="U272" i="3" s="1"/>
  <c r="N273" i="3"/>
  <c r="N266" i="3"/>
  <c r="N269" i="3"/>
  <c r="P274" i="3" l="1"/>
  <c r="Y274" i="3" s="1"/>
  <c r="P279" i="3"/>
  <c r="P266" i="3"/>
  <c r="P270" i="3"/>
  <c r="Y270" i="3" s="1"/>
  <c r="P275" i="3"/>
  <c r="P273" i="3"/>
  <c r="P267" i="3"/>
  <c r="Y267" i="3" s="1"/>
  <c r="P269" i="3"/>
  <c r="P271" i="3"/>
  <c r="P277" i="3"/>
  <c r="Y277" i="3" s="1"/>
  <c r="P268" i="3"/>
  <c r="P280" i="3"/>
  <c r="Y280" i="3" s="1"/>
  <c r="P272" i="3"/>
  <c r="Y272" i="3" s="1"/>
  <c r="P278" i="3"/>
  <c r="Y278" i="3" s="1"/>
  <c r="P276" i="3"/>
  <c r="Y276" i="3" s="1"/>
  <c r="K283" i="3"/>
  <c r="J271" i="2" s="1"/>
  <c r="W283" i="3"/>
  <c r="K263" i="3"/>
  <c r="J247" i="2" s="1"/>
  <c r="T263" i="3"/>
  <c r="W263" i="3"/>
  <c r="U263" i="3" l="1"/>
  <c r="M283" i="3"/>
  <c r="N283" i="3" s="1"/>
  <c r="T283" i="3"/>
  <c r="U283" i="3" s="1"/>
  <c r="Y279" i="3"/>
  <c r="Y275" i="3"/>
  <c r="Y273" i="3"/>
  <c r="Y271" i="3"/>
  <c r="Y269" i="3"/>
  <c r="Y268" i="3"/>
  <c r="Y266" i="3"/>
  <c r="M263" i="3"/>
  <c r="N263" i="3" s="1"/>
  <c r="P283" i="3" l="1"/>
  <c r="P263" i="3"/>
  <c r="Y263" i="3" s="1"/>
  <c r="Y283" i="3" l="1"/>
  <c r="K255" i="3"/>
  <c r="J239" i="2" s="1"/>
  <c r="T255" i="3"/>
  <c r="W255" i="3"/>
  <c r="K254" i="3"/>
  <c r="J230" i="2" s="1"/>
  <c r="W254" i="3"/>
  <c r="K256" i="3"/>
  <c r="J240" i="2" s="1"/>
  <c r="T256" i="3"/>
  <c r="W256" i="3"/>
  <c r="K257" i="3"/>
  <c r="J241" i="2" s="1"/>
  <c r="T257" i="3"/>
  <c r="W257" i="3"/>
  <c r="K259" i="3"/>
  <c r="J243" i="2" s="1"/>
  <c r="T259" i="3"/>
  <c r="W259" i="3"/>
  <c r="U257" i="3" l="1"/>
  <c r="U256" i="3"/>
  <c r="U255" i="3"/>
  <c r="U259" i="3"/>
  <c r="M256" i="3"/>
  <c r="N256" i="3" s="1"/>
  <c r="M259" i="3"/>
  <c r="N259" i="3" s="1"/>
  <c r="M254" i="3"/>
  <c r="N254" i="3" s="1"/>
  <c r="M257" i="3"/>
  <c r="N257" i="3" s="1"/>
  <c r="M255" i="3"/>
  <c r="N255" i="3" s="1"/>
  <c r="T254" i="3"/>
  <c r="U254" i="3" s="1"/>
  <c r="K260" i="3"/>
  <c r="J244" i="2" s="1"/>
  <c r="T260" i="3"/>
  <c r="W260" i="3"/>
  <c r="U260" i="3" l="1"/>
  <c r="P257" i="3"/>
  <c r="Y257" i="3" s="1"/>
  <c r="P254" i="3"/>
  <c r="Y254" i="3" s="1"/>
  <c r="P259" i="3"/>
  <c r="Y259" i="3" s="1"/>
  <c r="P256" i="3"/>
  <c r="Y256" i="3" s="1"/>
  <c r="P255" i="3"/>
  <c r="Y255" i="3" s="1"/>
  <c r="M260" i="3"/>
  <c r="N260" i="3" s="1"/>
  <c r="O15" i="1"/>
  <c r="O16" i="1"/>
  <c r="O17" i="1"/>
  <c r="N13" i="1"/>
  <c r="O18" i="1"/>
  <c r="O19" i="1"/>
  <c r="N16" i="1"/>
  <c r="N12" i="1"/>
  <c r="N6" i="1"/>
  <c r="N7" i="1"/>
  <c r="N8" i="1"/>
  <c r="N9" i="1"/>
  <c r="N14" i="1"/>
  <c r="N15" i="1"/>
  <c r="O20" i="1"/>
  <c r="N17" i="1"/>
  <c r="N18" i="1"/>
  <c r="N19" i="1"/>
  <c r="N20" i="1"/>
  <c r="O13" i="1"/>
  <c r="O14" i="1"/>
  <c r="N10" i="1"/>
  <c r="N11" i="1"/>
  <c r="K238" i="3"/>
  <c r="J224" i="2" s="1"/>
  <c r="T238" i="3"/>
  <c r="W238" i="3"/>
  <c r="K239" i="3"/>
  <c r="J225" i="2" s="1"/>
  <c r="T239" i="3"/>
  <c r="W239" i="3"/>
  <c r="K240" i="3"/>
  <c r="J227" i="2" s="1"/>
  <c r="T240" i="3"/>
  <c r="W240" i="3"/>
  <c r="K241" i="3"/>
  <c r="J228" i="2" s="1"/>
  <c r="W241" i="3"/>
  <c r="K242" i="3"/>
  <c r="J229" i="2" s="1"/>
  <c r="T242" i="3"/>
  <c r="W242" i="3"/>
  <c r="K237" i="3"/>
  <c r="J223" i="2" s="1"/>
  <c r="W237" i="3"/>
  <c r="K244" i="3"/>
  <c r="J222" i="2" s="1"/>
  <c r="W244" i="3"/>
  <c r="K243" i="3"/>
  <c r="W243" i="3"/>
  <c r="K245" i="3"/>
  <c r="J226" i="2" s="1"/>
  <c r="W245" i="3"/>
  <c r="K246" i="3"/>
  <c r="J231" i="2" s="1"/>
  <c r="T246" i="3"/>
  <c r="W246" i="3"/>
  <c r="K247" i="3"/>
  <c r="J232" i="2" s="1"/>
  <c r="T247" i="3"/>
  <c r="W247" i="3"/>
  <c r="K248" i="3"/>
  <c r="J233" i="2" s="1"/>
  <c r="T248" i="3"/>
  <c r="W248" i="3"/>
  <c r="K249" i="3"/>
  <c r="J234" i="2" s="1"/>
  <c r="T249" i="3"/>
  <c r="W249" i="3"/>
  <c r="K250" i="3"/>
  <c r="J235" i="2" s="1"/>
  <c r="T250" i="3"/>
  <c r="W250" i="3"/>
  <c r="K251" i="3"/>
  <c r="J236" i="2" s="1"/>
  <c r="W251" i="3"/>
  <c r="K252" i="3"/>
  <c r="J237" i="2" s="1"/>
  <c r="T252" i="3"/>
  <c r="W252" i="3"/>
  <c r="K253" i="3"/>
  <c r="J238" i="2" s="1"/>
  <c r="T253" i="3"/>
  <c r="U253" i="3" s="1"/>
  <c r="W253" i="3"/>
  <c r="K261" i="3"/>
  <c r="J245" i="2" s="1"/>
  <c r="T261" i="3"/>
  <c r="U261" i="3" s="1"/>
  <c r="W261" i="3"/>
  <c r="K258" i="3"/>
  <c r="J242" i="2" s="1"/>
  <c r="T258" i="3"/>
  <c r="W258" i="3"/>
  <c r="K262" i="3"/>
  <c r="J246" i="2" s="1"/>
  <c r="T262" i="3"/>
  <c r="W262" i="3"/>
  <c r="U248" i="3" l="1"/>
  <c r="U262" i="3"/>
  <c r="U252" i="3"/>
  <c r="U239" i="3"/>
  <c r="U238" i="3"/>
  <c r="U247" i="3"/>
  <c r="U258" i="3"/>
  <c r="U242" i="3"/>
  <c r="U250" i="3"/>
  <c r="U246" i="3"/>
  <c r="U249" i="3"/>
  <c r="U240" i="3"/>
  <c r="P260" i="3"/>
  <c r="Y260" i="3" s="1"/>
  <c r="M253" i="3"/>
  <c r="N253" i="3" s="1"/>
  <c r="M258" i="3"/>
  <c r="N258" i="3" s="1"/>
  <c r="M252" i="3"/>
  <c r="N252" i="3" s="1"/>
  <c r="M249" i="3"/>
  <c r="N249" i="3" s="1"/>
  <c r="M246" i="3"/>
  <c r="N246" i="3" s="1"/>
  <c r="M243" i="3"/>
  <c r="N243" i="3" s="1"/>
  <c r="M262" i="3"/>
  <c r="N262" i="3" s="1"/>
  <c r="M247" i="3"/>
  <c r="N247" i="3" s="1"/>
  <c r="M237" i="3"/>
  <c r="N237" i="3" s="1"/>
  <c r="M261" i="3"/>
  <c r="N261" i="3" s="1"/>
  <c r="M250" i="3"/>
  <c r="N250" i="3" s="1"/>
  <c r="M245" i="3"/>
  <c r="N245" i="3" s="1"/>
  <c r="M240" i="3"/>
  <c r="N240" i="3" s="1"/>
  <c r="M239" i="3"/>
  <c r="N239" i="3" s="1"/>
  <c r="M242" i="3"/>
  <c r="N242" i="3" s="1"/>
  <c r="M251" i="3"/>
  <c r="N251" i="3" s="1"/>
  <c r="M248" i="3"/>
  <c r="N248" i="3" s="1"/>
  <c r="M244" i="3"/>
  <c r="N244" i="3" s="1"/>
  <c r="M241" i="3"/>
  <c r="N241" i="3" s="1"/>
  <c r="M238" i="3"/>
  <c r="N238" i="3" s="1"/>
  <c r="T251" i="3"/>
  <c r="U251" i="3" s="1"/>
  <c r="T245" i="3"/>
  <c r="U245" i="3" s="1"/>
  <c r="T237" i="3"/>
  <c r="U237" i="3" s="1"/>
  <c r="T243" i="3"/>
  <c r="U243" i="3" s="1"/>
  <c r="T244" i="3"/>
  <c r="U244" i="3" s="1"/>
  <c r="T241" i="3"/>
  <c r="U241" i="3" s="1"/>
  <c r="P261" i="3" l="1"/>
  <c r="Y261" i="3" s="1"/>
  <c r="P252" i="3"/>
  <c r="P247" i="3"/>
  <c r="P237" i="3"/>
  <c r="P262" i="3"/>
  <c r="P253" i="3"/>
  <c r="P249" i="3"/>
  <c r="P258" i="3"/>
  <c r="Y258" i="3" s="1"/>
  <c r="P243" i="3"/>
  <c r="P238" i="3"/>
  <c r="Y238" i="3" s="1"/>
  <c r="P246" i="3"/>
  <c r="P251" i="3"/>
  <c r="Y251" i="3" s="1"/>
  <c r="P242" i="3"/>
  <c r="Y242" i="3" s="1"/>
  <c r="P244" i="3"/>
  <c r="Y244" i="3" s="1"/>
  <c r="P239" i="3"/>
  <c r="Y239" i="3" s="1"/>
  <c r="P240" i="3"/>
  <c r="Y240" i="3" s="1"/>
  <c r="P241" i="3"/>
  <c r="Y241" i="3" s="1"/>
  <c r="P245" i="3"/>
  <c r="Y245" i="3" s="1"/>
  <c r="P248" i="3"/>
  <c r="Y248" i="3" s="1"/>
  <c r="P250" i="3"/>
  <c r="Y250" i="3" s="1"/>
  <c r="K234" i="3"/>
  <c r="J219" i="2" s="1"/>
  <c r="K221" i="3"/>
  <c r="J208" i="2" s="1"/>
  <c r="K236" i="3"/>
  <c r="J185" i="2" s="1"/>
  <c r="K235" i="3"/>
  <c r="J221" i="2" s="1"/>
  <c r="T235" i="3"/>
  <c r="W234" i="3"/>
  <c r="W221" i="3"/>
  <c r="W236" i="3"/>
  <c r="W235" i="3"/>
  <c r="U235" i="3" l="1"/>
  <c r="L219" i="2"/>
  <c r="M219" i="2" s="1"/>
  <c r="L208" i="2"/>
  <c r="M208" i="2" s="1"/>
  <c r="M236" i="3"/>
  <c r="N236" i="3" s="1"/>
  <c r="M235" i="3"/>
  <c r="N235" i="3" s="1"/>
  <c r="Y262" i="3"/>
  <c r="M221" i="3"/>
  <c r="N221" i="3" s="1"/>
  <c r="M234" i="3"/>
  <c r="N234" i="3" s="1"/>
  <c r="Y253" i="3"/>
  <c r="Y252" i="3"/>
  <c r="Y249" i="3"/>
  <c r="Y247" i="3"/>
  <c r="Y246" i="3"/>
  <c r="Y243" i="3"/>
  <c r="Y237" i="3"/>
  <c r="T236" i="3"/>
  <c r="U236" i="3" s="1"/>
  <c r="T221" i="3"/>
  <c r="U221" i="3" s="1"/>
  <c r="T234" i="3"/>
  <c r="U234" i="3" s="1"/>
  <c r="K219" i="2" l="1"/>
  <c r="K208" i="2"/>
  <c r="K185" i="2"/>
  <c r="L185" i="2"/>
  <c r="M185" i="2" s="1"/>
  <c r="P234" i="3"/>
  <c r="Y234" i="3" s="1"/>
  <c r="P221" i="3"/>
  <c r="Y221" i="3" s="1"/>
  <c r="P235" i="3"/>
  <c r="Y235" i="3" s="1"/>
  <c r="P236" i="3"/>
  <c r="Y236" i="3" s="1"/>
  <c r="A1" i="7"/>
  <c r="K5" i="3"/>
  <c r="J79" i="2" s="1"/>
  <c r="K6" i="3"/>
  <c r="J80" i="2" s="1"/>
  <c r="K7" i="3"/>
  <c r="J81" i="2" s="1"/>
  <c r="K8" i="3"/>
  <c r="J12" i="2" s="1"/>
  <c r="K9" i="3"/>
  <c r="J26" i="2" s="1"/>
  <c r="K10" i="3"/>
  <c r="J27" i="2" s="1"/>
  <c r="K11" i="3"/>
  <c r="J28" i="2" s="1"/>
  <c r="K12" i="3"/>
  <c r="J29" i="2" s="1"/>
  <c r="K13" i="3"/>
  <c r="J18" i="2" s="1"/>
  <c r="K14" i="3"/>
  <c r="J13" i="2" s="1"/>
  <c r="K15" i="3"/>
  <c r="J14" i="2" s="1"/>
  <c r="K16" i="3"/>
  <c r="J19" i="2" s="1"/>
  <c r="K17" i="3"/>
  <c r="J20" i="2" s="1"/>
  <c r="K18" i="3"/>
  <c r="J23" i="2" s="1"/>
  <c r="K19" i="3"/>
  <c r="J24" i="2" s="1"/>
  <c r="K20" i="3"/>
  <c r="J25" i="2" s="1"/>
  <c r="K21" i="3"/>
  <c r="J30" i="2" s="1"/>
  <c r="K22" i="3"/>
  <c r="J31" i="2" s="1"/>
  <c r="K23" i="3"/>
  <c r="J40" i="2" s="1"/>
  <c r="K24" i="3"/>
  <c r="J41" i="2" s="1"/>
  <c r="K25" i="3"/>
  <c r="J42" i="2" s="1"/>
  <c r="K26" i="3"/>
  <c r="J43" i="2" s="1"/>
  <c r="K27" i="3"/>
  <c r="J44" i="2" s="1"/>
  <c r="K28" i="3"/>
  <c r="J45" i="2" s="1"/>
  <c r="K29" i="3"/>
  <c r="J46" i="2" s="1"/>
  <c r="K30" i="3"/>
  <c r="J47" i="2" s="1"/>
  <c r="K31" i="3"/>
  <c r="J48" i="2" s="1"/>
  <c r="K32" i="3"/>
  <c r="J49" i="2" s="1"/>
  <c r="K33" i="3"/>
  <c r="J50" i="2" s="1"/>
  <c r="K34" i="3"/>
  <c r="J51" i="2" s="1"/>
  <c r="K35" i="3"/>
  <c r="J59" i="2" s="1"/>
  <c r="K36" i="3"/>
  <c r="J72" i="2" s="1"/>
  <c r="K37" i="3"/>
  <c r="J73" i="2" s="1"/>
  <c r="K38" i="3"/>
  <c r="J74" i="2" s="1"/>
  <c r="K39" i="3"/>
  <c r="J75" i="2" s="1"/>
  <c r="K40" i="3"/>
  <c r="J76" i="2" s="1"/>
  <c r="K41" i="3"/>
  <c r="J60" i="2" s="1"/>
  <c r="K42" i="3"/>
  <c r="J61" i="2" s="1"/>
  <c r="K43" i="3"/>
  <c r="J64" i="2" s="1"/>
  <c r="K44" i="3"/>
  <c r="J65" i="2" s="1"/>
  <c r="K45" i="3"/>
  <c r="J32" i="2" s="1"/>
  <c r="K46" i="3"/>
  <c r="J82" i="2" s="1"/>
  <c r="K47" i="3"/>
  <c r="J96" i="2" s="1"/>
  <c r="K48" i="3"/>
  <c r="J83" i="2" s="1"/>
  <c r="K49" i="3"/>
  <c r="K50" i="3"/>
  <c r="K51" i="3"/>
  <c r="J99" i="2" s="1"/>
  <c r="K52" i="3"/>
  <c r="K53" i="3"/>
  <c r="J15" i="2" s="1"/>
  <c r="K56" i="3"/>
  <c r="J93" i="2" s="1"/>
  <c r="K58" i="3"/>
  <c r="J66" i="2" s="1"/>
  <c r="K57" i="3"/>
  <c r="K63" i="3"/>
  <c r="J101" i="2" s="1"/>
  <c r="K64" i="3"/>
  <c r="J102" i="2" s="1"/>
  <c r="K54" i="3"/>
  <c r="J98" i="2" s="1"/>
  <c r="K71" i="3"/>
  <c r="J103" i="2" s="1"/>
  <c r="K65" i="3"/>
  <c r="J109" i="2" s="1"/>
  <c r="K66" i="3"/>
  <c r="J110" i="2" s="1"/>
  <c r="K67" i="3"/>
  <c r="J111" i="2" s="1"/>
  <c r="K68" i="3"/>
  <c r="J107" i="2" s="1"/>
  <c r="K69" i="3"/>
  <c r="J104" i="2" s="1"/>
  <c r="K70" i="3"/>
  <c r="J115" i="2" s="1"/>
  <c r="K59" i="3"/>
  <c r="K60" i="3"/>
  <c r="K61" i="3"/>
  <c r="K62" i="3"/>
  <c r="K74" i="3"/>
  <c r="K73" i="3"/>
  <c r="J112" i="2" s="1"/>
  <c r="K72" i="3"/>
  <c r="J105" i="2" s="1"/>
  <c r="K75" i="3"/>
  <c r="J116" i="2" s="1"/>
  <c r="K76" i="3"/>
  <c r="J117" i="2" s="1"/>
  <c r="K77" i="3"/>
  <c r="J118" i="2" s="1"/>
  <c r="K78" i="3"/>
  <c r="J119" i="2" s="1"/>
  <c r="K79" i="3"/>
  <c r="J120" i="2" s="1"/>
  <c r="K80" i="3"/>
  <c r="J121" i="2" s="1"/>
  <c r="K81" i="3"/>
  <c r="J122" i="2" s="1"/>
  <c r="K82" i="3"/>
  <c r="J123" i="2" s="1"/>
  <c r="K83" i="3"/>
  <c r="J124" i="2" s="1"/>
  <c r="K84" i="3"/>
  <c r="J97" i="2" s="1"/>
  <c r="K85" i="3"/>
  <c r="J94" i="2" s="1"/>
  <c r="K86" i="3"/>
  <c r="J87" i="2" s="1"/>
  <c r="K87" i="3"/>
  <c r="J88" i="2" s="1"/>
  <c r="K88" i="3"/>
  <c r="J17" i="2" s="1"/>
  <c r="K89" i="3"/>
  <c r="J89" i="2" s="1"/>
  <c r="K90" i="3"/>
  <c r="J95" i="2" s="1"/>
  <c r="K91" i="3"/>
  <c r="J90" i="2" s="1"/>
  <c r="K92" i="3"/>
  <c r="J39" i="2" s="1"/>
  <c r="K93" i="3"/>
  <c r="J86" i="2" s="1"/>
  <c r="K94" i="3"/>
  <c r="J159" i="2" s="1"/>
  <c r="K95" i="3"/>
  <c r="J58" i="2" s="1"/>
  <c r="K96" i="3"/>
  <c r="J37" i="2" s="1"/>
  <c r="K97" i="3"/>
  <c r="J38" i="2" s="1"/>
  <c r="K98" i="3"/>
  <c r="J36" i="2" s="1"/>
  <c r="K99" i="3"/>
  <c r="J114" i="2" s="1"/>
  <c r="K100" i="3"/>
  <c r="K101" i="3"/>
  <c r="K102" i="3"/>
  <c r="K103" i="3"/>
  <c r="K104" i="3"/>
  <c r="K105" i="3"/>
  <c r="K106" i="3"/>
  <c r="J92" i="2" s="1"/>
  <c r="K107" i="3"/>
  <c r="J71" i="2" s="1"/>
  <c r="K108" i="3"/>
  <c r="J85" i="2" s="1"/>
  <c r="K109" i="3"/>
  <c r="J63" i="2" s="1"/>
  <c r="K110" i="3"/>
  <c r="J84" i="2" s="1"/>
  <c r="K111" i="3"/>
  <c r="J91" i="2" s="1"/>
  <c r="K112" i="3"/>
  <c r="J70" i="2" s="1"/>
  <c r="K113" i="3"/>
  <c r="J57" i="2" s="1"/>
  <c r="K114" i="3"/>
  <c r="J113" i="2" s="1"/>
  <c r="K115" i="3"/>
  <c r="K116" i="3"/>
  <c r="J128" i="2" s="1"/>
  <c r="K119" i="3"/>
  <c r="J106" i="2" s="1"/>
  <c r="K120" i="3"/>
  <c r="J126" i="2" s="1"/>
  <c r="K117" i="3"/>
  <c r="J10" i="2" s="1"/>
  <c r="K118" i="3"/>
  <c r="J11" i="2" s="1"/>
  <c r="K121" i="3"/>
  <c r="J133" i="2" s="1"/>
  <c r="K122" i="3"/>
  <c r="J129" i="2" s="1"/>
  <c r="K123" i="3"/>
  <c r="J131" i="2" s="1"/>
  <c r="K124" i="3"/>
  <c r="K125" i="3"/>
  <c r="J67" i="2" s="1"/>
  <c r="K127" i="3"/>
  <c r="J132" i="2" s="1"/>
  <c r="K128" i="3"/>
  <c r="J77" i="2" s="1"/>
  <c r="K129" i="3"/>
  <c r="J68" i="2" s="1"/>
  <c r="K130" i="3"/>
  <c r="J69" i="2" s="1"/>
  <c r="K131" i="3"/>
  <c r="J78" i="2" s="1"/>
  <c r="K132" i="3"/>
  <c r="J108" i="2" s="1"/>
  <c r="K133" i="3"/>
  <c r="J9" i="2" s="1"/>
  <c r="K134" i="3"/>
  <c r="J135" i="2" s="1"/>
  <c r="K135" i="3"/>
  <c r="J52" i="2" s="1"/>
  <c r="K136" i="3"/>
  <c r="J127" i="2" s="1"/>
  <c r="K137" i="3"/>
  <c r="J53" i="2" s="1"/>
  <c r="K138" i="3"/>
  <c r="J62" i="2" s="1"/>
  <c r="K139" i="3"/>
  <c r="J21" i="2" s="1"/>
  <c r="K126" i="3"/>
  <c r="J134" i="2" s="1"/>
  <c r="K140" i="3"/>
  <c r="J136" i="2" s="1"/>
  <c r="K141" i="3"/>
  <c r="J137" i="2" s="1"/>
  <c r="K142" i="3"/>
  <c r="K143" i="3"/>
  <c r="J7" i="2" s="1"/>
  <c r="K145" i="3"/>
  <c r="J146" i="2" s="1"/>
  <c r="K146" i="3"/>
  <c r="J147" i="2" s="1"/>
  <c r="K147" i="3"/>
  <c r="J143" i="2" s="1"/>
  <c r="K148" i="3"/>
  <c r="J148" i="2" s="1"/>
  <c r="K149" i="3"/>
  <c r="J141" i="2" s="1"/>
  <c r="K150" i="3"/>
  <c r="J149" i="2" s="1"/>
  <c r="K151" i="3"/>
  <c r="J150" i="2" s="1"/>
  <c r="K152" i="3"/>
  <c r="J142" i="2" s="1"/>
  <c r="K153" i="3"/>
  <c r="J144" i="2" s="1"/>
  <c r="K154" i="3"/>
  <c r="J139" i="2" s="1"/>
  <c r="K144" i="3"/>
  <c r="J138" i="2" s="1"/>
  <c r="K155" i="3"/>
  <c r="J54" i="2" s="1"/>
  <c r="K156" i="3"/>
  <c r="J151" i="2" s="1"/>
  <c r="K157" i="3"/>
  <c r="J152" i="2" s="1"/>
  <c r="K158" i="3"/>
  <c r="J145" i="2" s="1"/>
  <c r="K159" i="3"/>
  <c r="J22" i="2" s="1"/>
  <c r="K160" i="3"/>
  <c r="J33" i="2" s="1"/>
  <c r="K161" i="3"/>
  <c r="J16" i="2" s="1"/>
  <c r="K162" i="3"/>
  <c r="J34" i="2" s="1"/>
  <c r="K163" i="3"/>
  <c r="J35" i="2" s="1"/>
  <c r="K164" i="3"/>
  <c r="J55" i="2" s="1"/>
  <c r="K165" i="3"/>
  <c r="J56" i="2" s="1"/>
  <c r="K166" i="3"/>
  <c r="J153" i="2" s="1"/>
  <c r="K167" i="3"/>
  <c r="J154" i="2" s="1"/>
  <c r="K168" i="3"/>
  <c r="J155" i="2" s="1"/>
  <c r="K169" i="3"/>
  <c r="J156" i="2" s="1"/>
  <c r="K170" i="3"/>
  <c r="J157" i="2" s="1"/>
  <c r="K171" i="3"/>
  <c r="J158" i="2" s="1"/>
  <c r="K172" i="3"/>
  <c r="J160" i="2" s="1"/>
  <c r="K173" i="3"/>
  <c r="J161" i="2" s="1"/>
  <c r="K174" i="3"/>
  <c r="J162" i="2" s="1"/>
  <c r="K175" i="3"/>
  <c r="J164" i="2" s="1"/>
  <c r="K176" i="3"/>
  <c r="J165" i="2" s="1"/>
  <c r="K178" i="3"/>
  <c r="J163" i="2" s="1"/>
  <c r="K179" i="3"/>
  <c r="K180" i="3"/>
  <c r="J167" i="2" s="1"/>
  <c r="K181" i="3"/>
  <c r="J169" i="2" s="1"/>
  <c r="K182" i="3"/>
  <c r="J184" i="2" s="1"/>
  <c r="K183" i="3"/>
  <c r="J140" i="2" s="1"/>
  <c r="K184" i="3"/>
  <c r="J171" i="2" s="1"/>
  <c r="K185" i="3"/>
  <c r="J166" i="2" s="1"/>
  <c r="K186" i="3"/>
  <c r="J172" i="2" s="1"/>
  <c r="K187" i="3"/>
  <c r="J168" i="2" s="1"/>
  <c r="K188" i="3"/>
  <c r="J170" i="2" s="1"/>
  <c r="K189" i="3"/>
  <c r="J174" i="2" s="1"/>
  <c r="K190" i="3"/>
  <c r="J175" i="2" s="1"/>
  <c r="K191" i="3"/>
  <c r="J181" i="2" s="1"/>
  <c r="K192" i="3"/>
  <c r="J173" i="2" s="1"/>
  <c r="K193" i="3"/>
  <c r="J178" i="2" s="1"/>
  <c r="K194" i="3"/>
  <c r="J177" i="2" s="1"/>
  <c r="K195" i="3"/>
  <c r="J179" i="2" s="1"/>
  <c r="K196" i="3"/>
  <c r="J6" i="2" s="1"/>
  <c r="K197" i="3"/>
  <c r="J180" i="2" s="1"/>
  <c r="K198" i="3"/>
  <c r="J182" i="2" s="1"/>
  <c r="K199" i="3"/>
  <c r="J183" i="2" s="1"/>
  <c r="K200" i="3"/>
  <c r="J176" i="2" s="1"/>
  <c r="K201" i="3"/>
  <c r="J188" i="2" s="1"/>
  <c r="K202" i="3"/>
  <c r="J187" i="2" s="1"/>
  <c r="K203" i="3"/>
  <c r="J190" i="2" s="1"/>
  <c r="K204" i="3"/>
  <c r="J191" i="2" s="1"/>
  <c r="K205" i="3"/>
  <c r="J189" i="2" s="1"/>
  <c r="K206" i="3"/>
  <c r="J193" i="2" s="1"/>
  <c r="K207" i="3"/>
  <c r="J206" i="2" s="1"/>
  <c r="K211" i="3"/>
  <c r="J192" i="2" s="1"/>
  <c r="K212" i="3"/>
  <c r="J198" i="2" s="1"/>
  <c r="K213" i="3"/>
  <c r="J199" i="2" s="1"/>
  <c r="K214" i="3"/>
  <c r="J200" i="2" s="1"/>
  <c r="K215" i="3"/>
  <c r="J201" i="2" s="1"/>
  <c r="K216" i="3"/>
  <c r="J202" i="2" s="1"/>
  <c r="K217" i="3"/>
  <c r="J203" i="2" s="1"/>
  <c r="K219" i="3"/>
  <c r="J194" i="2" s="1"/>
  <c r="K208" i="3"/>
  <c r="J195" i="2" s="1"/>
  <c r="K210" i="3"/>
  <c r="J197" i="2" s="1"/>
  <c r="K209" i="3"/>
  <c r="J196" i="2" s="1"/>
  <c r="K222" i="3"/>
  <c r="J207" i="2" s="1"/>
  <c r="K223" i="3"/>
  <c r="J205" i="2" s="1"/>
  <c r="K224" i="3"/>
  <c r="J209" i="2" s="1"/>
  <c r="K225" i="3"/>
  <c r="J210" i="2" s="1"/>
  <c r="K226" i="3"/>
  <c r="J214" i="2" s="1"/>
  <c r="K227" i="3"/>
  <c r="J212" i="2" s="1"/>
  <c r="K228" i="3"/>
  <c r="J211" i="2" s="1"/>
  <c r="K218" i="3"/>
  <c r="J216" i="2" s="1"/>
  <c r="K229" i="3"/>
  <c r="J213" i="2" s="1"/>
  <c r="K230" i="3"/>
  <c r="J217" i="2" s="1"/>
  <c r="K231" i="3"/>
  <c r="J218" i="2" s="1"/>
  <c r="K232" i="3"/>
  <c r="J215" i="2" s="1"/>
  <c r="K233" i="3"/>
  <c r="J220" i="2" s="1"/>
  <c r="J130" i="2" l="1"/>
  <c r="J8" i="2"/>
  <c r="V363" i="3"/>
  <c r="V366" i="3"/>
  <c r="V365" i="3"/>
  <c r="V364" i="3"/>
  <c r="K368" i="3"/>
  <c r="V360" i="3"/>
  <c r="V359" i="3"/>
  <c r="V361" i="3"/>
  <c r="V358" i="3"/>
  <c r="V348" i="3"/>
  <c r="V354" i="3"/>
  <c r="V353" i="3"/>
  <c r="V356" i="3"/>
  <c r="V347" i="3"/>
  <c r="V349" i="3"/>
  <c r="V351" i="3"/>
  <c r="V350" i="3"/>
  <c r="V357" i="3"/>
  <c r="V352" i="3"/>
  <c r="V355" i="3"/>
  <c r="V323" i="3"/>
  <c r="V317" i="3"/>
  <c r="V324" i="3"/>
  <c r="V330" i="3"/>
  <c r="V331" i="3"/>
  <c r="V343" i="3"/>
  <c r="V177" i="3"/>
  <c r="V340" i="3"/>
  <c r="V335" i="3"/>
  <c r="V341" i="3"/>
  <c r="V325" i="3"/>
  <c r="V318" i="3"/>
  <c r="V337" i="3"/>
  <c r="V319" i="3"/>
  <c r="V327" i="3"/>
  <c r="V321" i="3"/>
  <c r="V338" i="3"/>
  <c r="V345" i="3"/>
  <c r="V329" i="3"/>
  <c r="V342" i="3"/>
  <c r="V328" i="3"/>
  <c r="V320" i="3"/>
  <c r="V339" i="3"/>
  <c r="V322" i="3"/>
  <c r="V333" i="3"/>
  <c r="V326" i="3"/>
  <c r="V332" i="3"/>
  <c r="V336" i="3"/>
  <c r="V334" i="3"/>
  <c r="V344" i="3"/>
  <c r="V346" i="3"/>
  <c r="V308" i="3"/>
  <c r="V313" i="3"/>
  <c r="V315" i="3"/>
  <c r="V316" i="3"/>
  <c r="V309" i="3"/>
  <c r="V302" i="3"/>
  <c r="V307" i="3"/>
  <c r="V311" i="3"/>
  <c r="V291" i="3"/>
  <c r="V298" i="3"/>
  <c r="V312" i="3"/>
  <c r="V289" i="3"/>
  <c r="V296" i="3"/>
  <c r="V303" i="3"/>
  <c r="V310" i="3"/>
  <c r="V314" i="3"/>
  <c r="V299" i="3"/>
  <c r="V290" i="3"/>
  <c r="V297" i="3"/>
  <c r="V293" i="3"/>
  <c r="V292" i="3"/>
  <c r="V300" i="3"/>
  <c r="V305" i="3"/>
  <c r="V306" i="3"/>
  <c r="V304" i="3"/>
  <c r="V55" i="3"/>
  <c r="V301" i="3"/>
  <c r="V294" i="3"/>
  <c r="V295" i="3"/>
  <c r="V287" i="3"/>
  <c r="V286" i="3"/>
  <c r="V264" i="3"/>
  <c r="V288" i="3"/>
  <c r="V220" i="3"/>
  <c r="V265" i="3"/>
  <c r="V285" i="3"/>
  <c r="V281" i="3"/>
  <c r="V278" i="3"/>
  <c r="V275" i="3"/>
  <c r="V284" i="3"/>
  <c r="V279" i="3"/>
  <c r="V282" i="3"/>
  <c r="V276" i="3"/>
  <c r="V273" i="3"/>
  <c r="V274" i="3"/>
  <c r="V269" i="3"/>
  <c r="V266" i="3"/>
  <c r="V280" i="3"/>
  <c r="V268" i="3"/>
  <c r="V272" i="3"/>
  <c r="V277" i="3"/>
  <c r="V267" i="3"/>
  <c r="V270" i="3"/>
  <c r="V271" i="3"/>
  <c r="V263" i="3"/>
  <c r="V283" i="3"/>
  <c r="V256" i="3"/>
  <c r="V255" i="3"/>
  <c r="V259" i="3"/>
  <c r="V257" i="3"/>
  <c r="V254" i="3"/>
  <c r="V260" i="3"/>
  <c r="V258" i="3"/>
  <c r="V242" i="3"/>
  <c r="V238" i="3"/>
  <c r="V239" i="3"/>
  <c r="V252" i="3"/>
  <c r="V249" i="3"/>
  <c r="V246" i="3"/>
  <c r="V261" i="3"/>
  <c r="V240" i="3"/>
  <c r="V248" i="3"/>
  <c r="V262" i="3"/>
  <c r="V250" i="3"/>
  <c r="V253" i="3"/>
  <c r="V247" i="3"/>
  <c r="V243" i="3"/>
  <c r="V245" i="3"/>
  <c r="V244" i="3"/>
  <c r="V241" i="3"/>
  <c r="V251" i="3"/>
  <c r="V237" i="3"/>
  <c r="V235" i="3"/>
  <c r="V236" i="3"/>
  <c r="V221" i="3"/>
  <c r="V234" i="3"/>
  <c r="K79" i="2"/>
  <c r="K89" i="2"/>
  <c r="M193" i="3"/>
  <c r="M169" i="3"/>
  <c r="M130" i="3"/>
  <c r="M61" i="3"/>
  <c r="M49" i="3"/>
  <c r="M219" i="3"/>
  <c r="M156" i="3"/>
  <c r="M116" i="3"/>
  <c r="M64" i="3"/>
  <c r="M24" i="3"/>
  <c r="M202" i="3"/>
  <c r="M143" i="3"/>
  <c r="M59" i="3"/>
  <c r="M35" i="3"/>
  <c r="M179" i="3"/>
  <c r="M91" i="3"/>
  <c r="M10" i="3"/>
  <c r="M200" i="3"/>
  <c r="M165" i="3"/>
  <c r="M125" i="3"/>
  <c r="M90" i="3"/>
  <c r="M45" i="3"/>
  <c r="M214" i="3"/>
  <c r="M164" i="3"/>
  <c r="M124" i="3"/>
  <c r="M77" i="3"/>
  <c r="M20" i="3"/>
  <c r="M213" i="3"/>
  <c r="M163" i="3"/>
  <c r="M126" i="3"/>
  <c r="M112" i="3"/>
  <c r="M100" i="3"/>
  <c r="M76" i="3"/>
  <c r="M56" i="3"/>
  <c r="M43" i="3"/>
  <c r="M31" i="3"/>
  <c r="M19" i="3"/>
  <c r="M233" i="3"/>
  <c r="M212" i="3"/>
  <c r="M197" i="3"/>
  <c r="M187" i="3"/>
  <c r="M174" i="3"/>
  <c r="M162" i="3"/>
  <c r="M151" i="3"/>
  <c r="M139" i="3"/>
  <c r="M122" i="3"/>
  <c r="M111" i="3"/>
  <c r="M99" i="3"/>
  <c r="M87" i="3"/>
  <c r="M75" i="3"/>
  <c r="M68" i="3"/>
  <c r="M42" i="3"/>
  <c r="M30" i="3"/>
  <c r="M18" i="3"/>
  <c r="M6" i="3"/>
  <c r="M204" i="3"/>
  <c r="M146" i="3"/>
  <c r="M106" i="3"/>
  <c r="M25" i="3"/>
  <c r="M203" i="3"/>
  <c r="M145" i="3"/>
  <c r="M93" i="3"/>
  <c r="M12" i="3"/>
  <c r="M180" i="3"/>
  <c r="M92" i="3"/>
  <c r="M63" i="3"/>
  <c r="M47" i="3"/>
  <c r="M216" i="3"/>
  <c r="M166" i="3"/>
  <c r="M115" i="3"/>
  <c r="M22" i="3"/>
  <c r="M141" i="3"/>
  <c r="M102" i="3"/>
  <c r="M58" i="3"/>
  <c r="M21" i="3"/>
  <c r="M153" i="3"/>
  <c r="M113" i="3"/>
  <c r="M101" i="3"/>
  <c r="M70" i="3"/>
  <c r="M32" i="3"/>
  <c r="M198" i="3"/>
  <c r="M188" i="3"/>
  <c r="M175" i="3"/>
  <c r="M152" i="3"/>
  <c r="M123" i="3"/>
  <c r="M88" i="3"/>
  <c r="M69" i="3"/>
  <c r="M7" i="3"/>
  <c r="M232" i="3"/>
  <c r="M222" i="3"/>
  <c r="M211" i="3"/>
  <c r="M196" i="3"/>
  <c r="M186" i="3"/>
  <c r="M173" i="3"/>
  <c r="M161" i="3"/>
  <c r="M150" i="3"/>
  <c r="M138" i="3"/>
  <c r="M121" i="3"/>
  <c r="M110" i="3"/>
  <c r="M98" i="3"/>
  <c r="M86" i="3"/>
  <c r="M72" i="3"/>
  <c r="M67" i="3"/>
  <c r="M53" i="3"/>
  <c r="M41" i="3"/>
  <c r="M29" i="3"/>
  <c r="M17" i="3"/>
  <c r="M218" i="3"/>
  <c r="M157" i="3"/>
  <c r="M94" i="3"/>
  <c r="M37" i="3"/>
  <c r="M228" i="3"/>
  <c r="M192" i="3"/>
  <c r="M168" i="3"/>
  <c r="M129" i="3"/>
  <c r="M81" i="3"/>
  <c r="M48" i="3"/>
  <c r="M217" i="3"/>
  <c r="M155" i="3"/>
  <c r="M104" i="3"/>
  <c r="M23" i="3"/>
  <c r="M226" i="3"/>
  <c r="M190" i="3"/>
  <c r="M142" i="3"/>
  <c r="M103" i="3"/>
  <c r="M46" i="3"/>
  <c r="M215" i="3"/>
  <c r="M78" i="3"/>
  <c r="M33" i="3"/>
  <c r="M224" i="3"/>
  <c r="M176" i="3"/>
  <c r="M140" i="3"/>
  <c r="M89" i="3"/>
  <c r="M44" i="3"/>
  <c r="M231" i="3"/>
  <c r="M185" i="3"/>
  <c r="M137" i="3"/>
  <c r="M118" i="3"/>
  <c r="M85" i="3"/>
  <c r="M73" i="3"/>
  <c r="M66" i="3"/>
  <c r="M52" i="3"/>
  <c r="M16" i="3"/>
  <c r="M208" i="3"/>
  <c r="M182" i="3"/>
  <c r="M134" i="3"/>
  <c r="M119" i="3"/>
  <c r="M54" i="3"/>
  <c r="M13" i="3"/>
  <c r="M181" i="3"/>
  <c r="M105" i="3"/>
  <c r="M60" i="3"/>
  <c r="M36" i="3"/>
  <c r="M227" i="3"/>
  <c r="M191" i="3"/>
  <c r="M167" i="3"/>
  <c r="M128" i="3"/>
  <c r="M80" i="3"/>
  <c r="M11" i="3"/>
  <c r="M201" i="3"/>
  <c r="M144" i="3"/>
  <c r="M127" i="3"/>
  <c r="M79" i="3"/>
  <c r="M57" i="3"/>
  <c r="M34" i="3"/>
  <c r="M225" i="3"/>
  <c r="M178" i="3"/>
  <c r="M154" i="3"/>
  <c r="M114" i="3"/>
  <c r="M9" i="3"/>
  <c r="M199" i="3"/>
  <c r="M189" i="3"/>
  <c r="M8" i="3"/>
  <c r="M223" i="3"/>
  <c r="M209" i="3"/>
  <c r="M160" i="3"/>
  <c r="M28" i="3"/>
  <c r="M230" i="3"/>
  <c r="M210" i="3"/>
  <c r="M206" i="3"/>
  <c r="M195" i="3"/>
  <c r="M184" i="3"/>
  <c r="M171" i="3"/>
  <c r="M148" i="3"/>
  <c r="M136" i="3"/>
  <c r="M132" i="3"/>
  <c r="M117" i="3"/>
  <c r="M108" i="3"/>
  <c r="M96" i="3"/>
  <c r="M84" i="3"/>
  <c r="M74" i="3"/>
  <c r="M65" i="3"/>
  <c r="M51" i="3"/>
  <c r="M39" i="3"/>
  <c r="M27" i="3"/>
  <c r="M15" i="3"/>
  <c r="M82" i="3"/>
  <c r="M207" i="3"/>
  <c r="M172" i="3"/>
  <c r="M149" i="3"/>
  <c r="M133" i="3"/>
  <c r="M109" i="3"/>
  <c r="M97" i="3"/>
  <c r="M40" i="3"/>
  <c r="M229" i="3"/>
  <c r="M205" i="3"/>
  <c r="M194" i="3"/>
  <c r="M183" i="3"/>
  <c r="M170" i="3"/>
  <c r="M158" i="3"/>
  <c r="M147" i="3"/>
  <c r="M135" i="3"/>
  <c r="M131" i="3"/>
  <c r="M120" i="3"/>
  <c r="M107" i="3"/>
  <c r="M95" i="3"/>
  <c r="M83" i="3"/>
  <c r="M62" i="3"/>
  <c r="M71" i="3"/>
  <c r="M50" i="3"/>
  <c r="M38" i="3"/>
  <c r="M26" i="3"/>
  <c r="M14" i="3"/>
  <c r="M159" i="3"/>
  <c r="M5" i="3"/>
  <c r="M368" i="3" l="1"/>
  <c r="L79" i="2"/>
  <c r="M79" i="2" s="1"/>
  <c r="L89" i="2"/>
  <c r="M89" i="2" s="1"/>
  <c r="K216" i="2"/>
  <c r="L216" i="2"/>
  <c r="M216" i="2" s="1"/>
  <c r="K151" i="2"/>
  <c r="L151" i="2"/>
  <c r="M151" i="2" s="1"/>
  <c r="L134" i="2"/>
  <c r="M134" i="2" s="1"/>
  <c r="K134" i="2"/>
  <c r="L152" i="2"/>
  <c r="M152" i="2" s="1"/>
  <c r="K152" i="2"/>
  <c r="L153" i="2"/>
  <c r="M153" i="2" s="1"/>
  <c r="K153" i="2"/>
  <c r="L206" i="2"/>
  <c r="M206" i="2" s="1"/>
  <c r="K206" i="2"/>
  <c r="L184" i="2"/>
  <c r="M184" i="2" s="1"/>
  <c r="K184" i="2"/>
  <c r="K120" i="2"/>
  <c r="L120" i="2"/>
  <c r="M120" i="2" s="1"/>
  <c r="L195" i="2"/>
  <c r="M195" i="2" s="1"/>
  <c r="K195" i="2"/>
  <c r="K116" i="2"/>
  <c r="L116" i="2"/>
  <c r="M116" i="2" s="1"/>
  <c r="L60" i="2"/>
  <c r="M60" i="2" s="1"/>
  <c r="K60" i="2"/>
  <c r="K23" i="2"/>
  <c r="L23" i="2"/>
  <c r="M23" i="2" s="1"/>
  <c r="K183" i="2"/>
  <c r="L183" i="2"/>
  <c r="M183" i="2" s="1"/>
  <c r="L30" i="2"/>
  <c r="M30" i="2" s="1"/>
  <c r="K30" i="2"/>
  <c r="L51" i="2"/>
  <c r="M51" i="2" s="1"/>
  <c r="K51" i="2"/>
  <c r="L213" i="2"/>
  <c r="M213" i="2" s="1"/>
  <c r="K213" i="2"/>
  <c r="K40" i="2"/>
  <c r="L40" i="2"/>
  <c r="M40" i="2" s="1"/>
  <c r="K217" i="2"/>
  <c r="L217" i="2"/>
  <c r="M217" i="2" s="1"/>
  <c r="K141" i="2"/>
  <c r="L141" i="2"/>
  <c r="M141" i="2" s="1"/>
  <c r="L135" i="2"/>
  <c r="M135" i="2" s="1"/>
  <c r="K135" i="2"/>
  <c r="L158" i="2"/>
  <c r="M158" i="2" s="1"/>
  <c r="K158" i="2"/>
  <c r="K105" i="2"/>
  <c r="L105" i="2"/>
  <c r="M105" i="2" s="1"/>
  <c r="K33" i="2"/>
  <c r="L33" i="2"/>
  <c r="M33" i="2" s="1"/>
  <c r="L180" i="2"/>
  <c r="M180" i="2" s="1"/>
  <c r="K180" i="2"/>
  <c r="L150" i="2"/>
  <c r="M150" i="2" s="1"/>
  <c r="K150" i="2"/>
  <c r="K66" i="2"/>
  <c r="L66" i="2"/>
  <c r="M66" i="2" s="1"/>
  <c r="L170" i="2"/>
  <c r="M170" i="2" s="1"/>
  <c r="K170" i="2"/>
  <c r="K110" i="2"/>
  <c r="L110" i="2"/>
  <c r="M110" i="2" s="1"/>
  <c r="K53" i="2"/>
  <c r="L53" i="2"/>
  <c r="M53" i="2" s="1"/>
  <c r="L172" i="2"/>
  <c r="M172" i="2" s="1"/>
  <c r="K172" i="2"/>
  <c r="L90" i="2"/>
  <c r="M90" i="2" s="1"/>
  <c r="K90" i="2"/>
  <c r="K65" i="2"/>
  <c r="L65" i="2"/>
  <c r="M65" i="2" s="1"/>
  <c r="L138" i="2"/>
  <c r="M138" i="2" s="1"/>
  <c r="K138" i="2"/>
  <c r="L54" i="2"/>
  <c r="M54" i="2" s="1"/>
  <c r="K54" i="2"/>
  <c r="L165" i="2"/>
  <c r="M165" i="2" s="1"/>
  <c r="K165" i="2"/>
  <c r="K146" i="2"/>
  <c r="L146" i="2"/>
  <c r="M146" i="2" s="1"/>
  <c r="K88" i="2"/>
  <c r="L88" i="2"/>
  <c r="M88" i="2" s="1"/>
  <c r="K41" i="2"/>
  <c r="L41" i="2"/>
  <c r="M41" i="2" s="1"/>
  <c r="L218" i="2"/>
  <c r="M218" i="2" s="1"/>
  <c r="K218" i="2"/>
  <c r="L25" i="2"/>
  <c r="M25" i="2" s="1"/>
  <c r="K25" i="2"/>
  <c r="K148" i="2"/>
  <c r="L148" i="2"/>
  <c r="M148" i="2" s="1"/>
  <c r="K67" i="2"/>
  <c r="L67" i="2"/>
  <c r="M67" i="2" s="1"/>
  <c r="K15" i="2"/>
  <c r="L15" i="2"/>
  <c r="M15" i="2" s="1"/>
  <c r="L80" i="2"/>
  <c r="M80" i="2" s="1"/>
  <c r="K80" i="2"/>
  <c r="K9" i="2"/>
  <c r="L9" i="2"/>
  <c r="M9" i="2" s="1"/>
  <c r="L109" i="2"/>
  <c r="M109" i="2" s="1"/>
  <c r="K109" i="2"/>
  <c r="L21" i="2"/>
  <c r="M21" i="2" s="1"/>
  <c r="K21" i="2"/>
  <c r="L77" i="2"/>
  <c r="M77" i="2" s="1"/>
  <c r="K77" i="2"/>
  <c r="K122" i="2"/>
  <c r="L122" i="2"/>
  <c r="M122" i="2" s="1"/>
  <c r="K175" i="2"/>
  <c r="L175" i="2"/>
  <c r="M175" i="2" s="1"/>
  <c r="K75" i="2"/>
  <c r="L75" i="2"/>
  <c r="M75" i="2" s="1"/>
  <c r="K59" i="2"/>
  <c r="L59" i="2"/>
  <c r="M59" i="2" s="1"/>
  <c r="L143" i="2"/>
  <c r="M143" i="2" s="1"/>
  <c r="K143" i="2"/>
  <c r="K160" i="2"/>
  <c r="L160" i="2"/>
  <c r="M160" i="2" s="1"/>
  <c r="K147" i="2"/>
  <c r="L147" i="2"/>
  <c r="M147" i="2" s="1"/>
  <c r="L14" i="2"/>
  <c r="M14" i="2" s="1"/>
  <c r="K14" i="2"/>
  <c r="L87" i="2"/>
  <c r="M87" i="2" s="1"/>
  <c r="K87" i="2"/>
  <c r="K6" i="2"/>
  <c r="L6" i="2"/>
  <c r="M6" i="2" s="1"/>
  <c r="L198" i="2"/>
  <c r="M198" i="2" s="1"/>
  <c r="K198" i="2"/>
  <c r="K34" i="2"/>
  <c r="L34" i="2"/>
  <c r="M34" i="2" s="1"/>
  <c r="L55" i="2"/>
  <c r="M55" i="2" s="1"/>
  <c r="K55" i="2"/>
  <c r="L174" i="2"/>
  <c r="M174" i="2" s="1"/>
  <c r="K174" i="2"/>
  <c r="K117" i="2"/>
  <c r="L117" i="2"/>
  <c r="M117" i="2" s="1"/>
  <c r="K118" i="2"/>
  <c r="L118" i="2"/>
  <c r="M118" i="2" s="1"/>
  <c r="L199" i="2"/>
  <c r="M199" i="2" s="1"/>
  <c r="K199" i="2"/>
  <c r="K47" i="2"/>
  <c r="L47" i="2"/>
  <c r="M47" i="2" s="1"/>
  <c r="K200" i="2"/>
  <c r="L200" i="2"/>
  <c r="M200" i="2" s="1"/>
  <c r="K50" i="2"/>
  <c r="L50" i="2"/>
  <c r="M50" i="2" s="1"/>
  <c r="L82" i="2"/>
  <c r="M82" i="2" s="1"/>
  <c r="K82" i="2"/>
  <c r="K154" i="2"/>
  <c r="L154" i="2"/>
  <c r="M154" i="2" s="1"/>
  <c r="K176" i="2"/>
  <c r="L176" i="2"/>
  <c r="M176" i="2" s="1"/>
  <c r="K155" i="2"/>
  <c r="L155" i="2"/>
  <c r="M155" i="2" s="1"/>
  <c r="K127" i="2"/>
  <c r="L127" i="2"/>
  <c r="M127" i="2" s="1"/>
  <c r="K72" i="2"/>
  <c r="L72" i="2"/>
  <c r="M72" i="2" s="1"/>
  <c r="K52" i="2"/>
  <c r="L52" i="2"/>
  <c r="M52" i="2" s="1"/>
  <c r="L69" i="2"/>
  <c r="M69" i="2" s="1"/>
  <c r="K69" i="2"/>
  <c r="L179" i="2"/>
  <c r="M179" i="2" s="1"/>
  <c r="K179" i="2"/>
  <c r="L62" i="2"/>
  <c r="M62" i="2" s="1"/>
  <c r="K62" i="2"/>
  <c r="K104" i="2"/>
  <c r="L104" i="2"/>
  <c r="M104" i="2" s="1"/>
  <c r="K78" i="2"/>
  <c r="L78" i="2"/>
  <c r="M78" i="2" s="1"/>
  <c r="L136" i="2"/>
  <c r="M136" i="2" s="1"/>
  <c r="K136" i="2"/>
  <c r="L94" i="2"/>
  <c r="M94" i="2" s="1"/>
  <c r="K94" i="2"/>
  <c r="K61" i="2"/>
  <c r="L61" i="2"/>
  <c r="M61" i="2" s="1"/>
  <c r="K142" i="2"/>
  <c r="L142" i="2"/>
  <c r="M142" i="2" s="1"/>
  <c r="L81" i="2"/>
  <c r="M81" i="2" s="1"/>
  <c r="K81" i="2"/>
  <c r="L137" i="2"/>
  <c r="M137" i="2" s="1"/>
  <c r="K137" i="2"/>
  <c r="K32" i="2"/>
  <c r="L32" i="2"/>
  <c r="M32" i="2" s="1"/>
  <c r="K187" i="2"/>
  <c r="L187" i="2"/>
  <c r="M187" i="2" s="1"/>
  <c r="K102" i="2"/>
  <c r="L102" i="2"/>
  <c r="M102" i="2" s="1"/>
  <c r="K167" i="2"/>
  <c r="L167" i="2"/>
  <c r="M167" i="2" s="1"/>
  <c r="L192" i="2"/>
  <c r="M192" i="2" s="1"/>
  <c r="K192" i="2"/>
  <c r="L212" i="2"/>
  <c r="M212" i="2" s="1"/>
  <c r="K212" i="2"/>
  <c r="K96" i="2"/>
  <c r="L96" i="2"/>
  <c r="M96" i="2" s="1"/>
  <c r="L169" i="2"/>
  <c r="M169" i="2" s="1"/>
  <c r="K169" i="2"/>
  <c r="L157" i="2"/>
  <c r="M157" i="2" s="1"/>
  <c r="K157" i="2"/>
  <c r="K22" i="2"/>
  <c r="L22" i="2"/>
  <c r="M22" i="2" s="1"/>
  <c r="L45" i="2"/>
  <c r="M45" i="2" s="1"/>
  <c r="K45" i="2"/>
  <c r="K83" i="2"/>
  <c r="L83" i="2"/>
  <c r="M83" i="2" s="1"/>
  <c r="L156" i="2"/>
  <c r="M156" i="2" s="1"/>
  <c r="K156" i="2"/>
  <c r="L140" i="2"/>
  <c r="M140" i="2" s="1"/>
  <c r="K140" i="2"/>
  <c r="K111" i="2"/>
  <c r="L111" i="2"/>
  <c r="M111" i="2" s="1"/>
  <c r="L18" i="2"/>
  <c r="M18" i="2" s="1"/>
  <c r="K18" i="2"/>
  <c r="K145" i="2"/>
  <c r="L145" i="2"/>
  <c r="M145" i="2" s="1"/>
  <c r="K220" i="2"/>
  <c r="L220" i="2"/>
  <c r="M220" i="2" s="1"/>
  <c r="K19" i="2"/>
  <c r="L19" i="2"/>
  <c r="M19" i="2" s="1"/>
  <c r="K149" i="2"/>
  <c r="L149" i="2"/>
  <c r="M149" i="2" s="1"/>
  <c r="L209" i="2"/>
  <c r="M209" i="2" s="1"/>
  <c r="K209" i="2"/>
  <c r="K119" i="2"/>
  <c r="L119" i="2"/>
  <c r="M119" i="2" s="1"/>
  <c r="L162" i="2"/>
  <c r="M162" i="2" s="1"/>
  <c r="K162" i="2"/>
  <c r="K201" i="2"/>
  <c r="L201" i="2"/>
  <c r="M201" i="2" s="1"/>
  <c r="L194" i="2"/>
  <c r="M194" i="2" s="1"/>
  <c r="K194" i="2"/>
  <c r="L144" i="2"/>
  <c r="M144" i="2" s="1"/>
  <c r="K144" i="2"/>
  <c r="L202" i="2"/>
  <c r="M202" i="2" s="1"/>
  <c r="K202" i="2"/>
  <c r="K181" i="2"/>
  <c r="L181" i="2"/>
  <c r="M181" i="2" s="1"/>
  <c r="K12" i="2"/>
  <c r="L12" i="2"/>
  <c r="M12" i="2" s="1"/>
  <c r="L173" i="2"/>
  <c r="M173" i="2" s="1"/>
  <c r="K173" i="2"/>
  <c r="L171" i="2"/>
  <c r="M171" i="2" s="1"/>
  <c r="K171" i="2"/>
  <c r="L178" i="2"/>
  <c r="M178" i="2" s="1"/>
  <c r="K178" i="2"/>
  <c r="L7" i="2"/>
  <c r="M7" i="2" s="1"/>
  <c r="K7" i="2"/>
  <c r="L197" i="2"/>
  <c r="M197" i="2" s="1"/>
  <c r="K197" i="2"/>
  <c r="K35" i="2"/>
  <c r="L35" i="2"/>
  <c r="M35" i="2" s="1"/>
  <c r="K124" i="2"/>
  <c r="L124" i="2"/>
  <c r="M124" i="2" s="1"/>
  <c r="L24" i="2"/>
  <c r="M24" i="2" s="1"/>
  <c r="K24" i="2"/>
  <c r="K98" i="2"/>
  <c r="L98" i="2"/>
  <c r="M98" i="2" s="1"/>
  <c r="L177" i="2"/>
  <c r="M177" i="2" s="1"/>
  <c r="K177" i="2"/>
  <c r="K8" i="2"/>
  <c r="L8" i="2"/>
  <c r="M8" i="2" s="1"/>
  <c r="K103" i="2"/>
  <c r="L103" i="2"/>
  <c r="M103" i="2" s="1"/>
  <c r="L196" i="2"/>
  <c r="M196" i="2" s="1"/>
  <c r="K196" i="2"/>
  <c r="K166" i="2"/>
  <c r="L166" i="2"/>
  <c r="M166" i="2" s="1"/>
  <c r="K42" i="2"/>
  <c r="L42" i="2"/>
  <c r="M42" i="2" s="1"/>
  <c r="K193" i="2"/>
  <c r="L193" i="2"/>
  <c r="M193" i="2" s="1"/>
  <c r="K99" i="2"/>
  <c r="L99" i="2"/>
  <c r="M99" i="2" s="1"/>
  <c r="L76" i="2"/>
  <c r="M76" i="2" s="1"/>
  <c r="K76" i="2"/>
  <c r="L16" i="2"/>
  <c r="M16" i="2" s="1"/>
  <c r="K16" i="2"/>
  <c r="K20" i="2"/>
  <c r="L20" i="2"/>
  <c r="M20" i="2" s="1"/>
  <c r="K95" i="2"/>
  <c r="L95" i="2"/>
  <c r="M95" i="2" s="1"/>
  <c r="L168" i="2"/>
  <c r="M168" i="2" s="1"/>
  <c r="K168" i="2"/>
  <c r="K49" i="2"/>
  <c r="L49" i="2"/>
  <c r="M49" i="2" s="1"/>
  <c r="L26" i="2"/>
  <c r="M26" i="2" s="1"/>
  <c r="K26" i="2"/>
  <c r="L29" i="2"/>
  <c r="M29" i="2" s="1"/>
  <c r="K29" i="2"/>
  <c r="K93" i="2"/>
  <c r="L93" i="2"/>
  <c r="M93" i="2" s="1"/>
  <c r="K101" i="2"/>
  <c r="L101" i="2"/>
  <c r="M101" i="2" s="1"/>
  <c r="K115" i="2"/>
  <c r="L115" i="2"/>
  <c r="M115" i="2" s="1"/>
  <c r="L163" i="2"/>
  <c r="M163" i="2" s="1"/>
  <c r="K163" i="2"/>
  <c r="K108" i="2"/>
  <c r="L108" i="2"/>
  <c r="M108" i="2" s="1"/>
  <c r="K56" i="2"/>
  <c r="L56" i="2"/>
  <c r="M56" i="2" s="1"/>
  <c r="L139" i="2"/>
  <c r="M139" i="2" s="1"/>
  <c r="K139" i="2"/>
  <c r="K31" i="2"/>
  <c r="L31" i="2"/>
  <c r="M31" i="2" s="1"/>
  <c r="L28" i="2"/>
  <c r="M28" i="2" s="1"/>
  <c r="K28" i="2"/>
  <c r="K74" i="2"/>
  <c r="L74" i="2"/>
  <c r="M74" i="2" s="1"/>
  <c r="K64" i="2"/>
  <c r="L64" i="2"/>
  <c r="M64" i="2" s="1"/>
  <c r="K203" i="2"/>
  <c r="L203" i="2"/>
  <c r="M203" i="2" s="1"/>
  <c r="L164" i="2"/>
  <c r="M164" i="2" s="1"/>
  <c r="K164" i="2"/>
  <c r="K121" i="2"/>
  <c r="L121" i="2"/>
  <c r="M121" i="2" s="1"/>
  <c r="K123" i="2"/>
  <c r="L123" i="2"/>
  <c r="M123" i="2" s="1"/>
  <c r="L27" i="2"/>
  <c r="M27" i="2" s="1"/>
  <c r="K27" i="2"/>
  <c r="K190" i="2"/>
  <c r="L190" i="2"/>
  <c r="M190" i="2" s="1"/>
  <c r="K68" i="2"/>
  <c r="L68" i="2"/>
  <c r="M68" i="2" s="1"/>
  <c r="K97" i="2"/>
  <c r="L97" i="2"/>
  <c r="M97" i="2" s="1"/>
  <c r="L191" i="2"/>
  <c r="M191" i="2" s="1"/>
  <c r="K191" i="2"/>
  <c r="K215" i="2"/>
  <c r="L215" i="2"/>
  <c r="M215" i="2" s="1"/>
  <c r="K44" i="2"/>
  <c r="L44" i="2"/>
  <c r="M44" i="2" s="1"/>
  <c r="K112" i="2"/>
  <c r="L112" i="2"/>
  <c r="M112" i="2" s="1"/>
  <c r="K189" i="2"/>
  <c r="L189" i="2"/>
  <c r="M189" i="2" s="1"/>
  <c r="L13" i="2"/>
  <c r="M13" i="2" s="1"/>
  <c r="K13" i="2"/>
  <c r="K48" i="2"/>
  <c r="L48" i="2"/>
  <c r="M48" i="2" s="1"/>
  <c r="K73" i="2"/>
  <c r="L73" i="2"/>
  <c r="M73" i="2" s="1"/>
  <c r="K43" i="2"/>
  <c r="L43" i="2"/>
  <c r="M43" i="2" s="1"/>
  <c r="K17" i="2"/>
  <c r="L17" i="2"/>
  <c r="M17" i="2" s="1"/>
  <c r="K107" i="2"/>
  <c r="L107" i="2"/>
  <c r="M107" i="2" s="1"/>
  <c r="L161" i="2"/>
  <c r="M161" i="2" s="1"/>
  <c r="K161" i="2"/>
  <c r="K46" i="2"/>
  <c r="L46" i="2"/>
  <c r="M46" i="2" s="1"/>
  <c r="K132" i="2"/>
  <c r="L132" i="2"/>
  <c r="M132" i="2" s="1"/>
  <c r="L182" i="2"/>
  <c r="M182" i="2" s="1"/>
  <c r="K182" i="2"/>
  <c r="K188" i="2"/>
  <c r="L188" i="2"/>
  <c r="M188" i="2" s="1"/>
  <c r="K38" i="2"/>
  <c r="L38" i="2"/>
  <c r="M38" i="2" s="1"/>
  <c r="K36" i="2"/>
  <c r="L36" i="2"/>
  <c r="M36" i="2" s="1"/>
  <c r="K114" i="2"/>
  <c r="L114" i="2"/>
  <c r="M114" i="2" s="1"/>
  <c r="K39" i="2"/>
  <c r="L39" i="2"/>
  <c r="M39" i="2" s="1"/>
  <c r="K86" i="2"/>
  <c r="L86" i="2"/>
  <c r="M86" i="2" s="1"/>
  <c r="K37" i="2"/>
  <c r="L37" i="2"/>
  <c r="M37" i="2" s="1"/>
  <c r="K58" i="2"/>
  <c r="L58" i="2"/>
  <c r="M58" i="2" s="1"/>
  <c r="L159" i="2"/>
  <c r="M159" i="2" s="1"/>
  <c r="K159" i="2"/>
  <c r="K130" i="2"/>
  <c r="L130" i="2"/>
  <c r="M130" i="2" s="1"/>
  <c r="K92" i="2"/>
  <c r="L92" i="2"/>
  <c r="M92" i="2" s="1"/>
  <c r="K71" i="2"/>
  <c r="L71" i="2"/>
  <c r="M71" i="2" s="1"/>
  <c r="K85" i="2"/>
  <c r="L85" i="2"/>
  <c r="M85" i="2" s="1"/>
  <c r="K63" i="2"/>
  <c r="L63" i="2"/>
  <c r="M63" i="2" s="1"/>
  <c r="L84" i="2"/>
  <c r="M84" i="2" s="1"/>
  <c r="K84" i="2"/>
  <c r="K91" i="2"/>
  <c r="L91" i="2"/>
  <c r="M91" i="2" s="1"/>
  <c r="K70" i="2"/>
  <c r="L70" i="2"/>
  <c r="M70" i="2" s="1"/>
  <c r="K57" i="2"/>
  <c r="L57" i="2"/>
  <c r="M57" i="2" s="1"/>
  <c r="L113" i="2"/>
  <c r="M113" i="2" s="1"/>
  <c r="K113" i="2"/>
  <c r="K128" i="2"/>
  <c r="L128" i="2"/>
  <c r="M128" i="2" s="1"/>
  <c r="K126" i="2"/>
  <c r="L126" i="2"/>
  <c r="M126" i="2" s="1"/>
  <c r="K106" i="2"/>
  <c r="L106" i="2"/>
  <c r="M106" i="2" s="1"/>
  <c r="L10" i="2"/>
  <c r="M10" i="2" s="1"/>
  <c r="K10" i="2"/>
  <c r="K11" i="2"/>
  <c r="L11" i="2"/>
  <c r="M11" i="2" s="1"/>
  <c r="K133" i="2"/>
  <c r="L133" i="2"/>
  <c r="M133" i="2" s="1"/>
  <c r="K129" i="2"/>
  <c r="L129" i="2"/>
  <c r="M129" i="2" s="1"/>
  <c r="K131" i="2"/>
  <c r="L131" i="2"/>
  <c r="M131" i="2" s="1"/>
  <c r="N233" i="3" l="1"/>
  <c r="W233" i="3"/>
  <c r="P233" i="3" l="1"/>
  <c r="Y233" i="3" s="1"/>
  <c r="T233" i="3"/>
  <c r="U233" i="3" s="1"/>
  <c r="V233" i="3" l="1"/>
  <c r="K288" i="2"/>
  <c r="N232" i="3"/>
  <c r="T232" i="3"/>
  <c r="W232" i="3"/>
  <c r="U232" i="3" l="1"/>
  <c r="P232" i="3"/>
  <c r="V232" i="3" s="1"/>
  <c r="L288" i="2"/>
  <c r="M288" i="2" s="1"/>
  <c r="A2" i="1"/>
  <c r="M11" i="1" l="1"/>
  <c r="Y232" i="3"/>
  <c r="O11" i="1"/>
  <c r="N231" i="3"/>
  <c r="T231" i="3"/>
  <c r="W231" i="3"/>
  <c r="L296" i="2"/>
  <c r="M296" i="2" s="1"/>
  <c r="U231" i="3" l="1"/>
  <c r="P231" i="3"/>
  <c r="Y231" i="3" s="1"/>
  <c r="K296" i="2"/>
  <c r="V231" i="3" l="1"/>
  <c r="R368" i="3" l="1"/>
  <c r="K295" i="2" l="1"/>
  <c r="N230" i="3"/>
  <c r="T230" i="3"/>
  <c r="W230" i="3"/>
  <c r="N229" i="3"/>
  <c r="T229" i="3"/>
  <c r="W229" i="3"/>
  <c r="N227" i="3"/>
  <c r="W227" i="3"/>
  <c r="N228" i="3"/>
  <c r="T228" i="3"/>
  <c r="W228" i="3"/>
  <c r="N218" i="3"/>
  <c r="W218" i="3"/>
  <c r="U228" i="3" l="1"/>
  <c r="U229" i="3"/>
  <c r="U230" i="3"/>
  <c r="P228" i="3"/>
  <c r="Y228" i="3" s="1"/>
  <c r="P229" i="3"/>
  <c r="P227" i="3"/>
  <c r="Y227" i="3" s="1"/>
  <c r="P218" i="3"/>
  <c r="Y218" i="3" s="1"/>
  <c r="P230" i="3"/>
  <c r="Y230" i="3" s="1"/>
  <c r="T218" i="3"/>
  <c r="U218" i="3" s="1"/>
  <c r="L295" i="2"/>
  <c r="M295" i="2" s="1"/>
  <c r="T227" i="3"/>
  <c r="U227" i="3" s="1"/>
  <c r="N226" i="3"/>
  <c r="W226" i="3"/>
  <c r="V227" i="3" l="1"/>
  <c r="V218" i="3"/>
  <c r="V230" i="3"/>
  <c r="V228" i="3"/>
  <c r="V229" i="3"/>
  <c r="M6" i="1"/>
  <c r="O6" i="1"/>
  <c r="Y229" i="3"/>
  <c r="P226" i="3"/>
  <c r="Y226" i="3" s="1"/>
  <c r="T226" i="3"/>
  <c r="U226" i="3" s="1"/>
  <c r="V226" i="3" l="1"/>
  <c r="L279" i="2" l="1"/>
  <c r="M279" i="2" s="1"/>
  <c r="K279" i="2" l="1"/>
  <c r="K294" i="2" l="1"/>
  <c r="K186" i="2" l="1"/>
  <c r="L294" i="2"/>
  <c r="M294" i="2" s="1"/>
  <c r="L186" i="2"/>
  <c r="M186" i="2" s="1"/>
  <c r="K287" i="2" l="1"/>
  <c r="K286" i="2"/>
  <c r="L287" i="2" l="1"/>
  <c r="M287" i="2" s="1"/>
  <c r="L286" i="2"/>
  <c r="M286" i="2" s="1"/>
  <c r="W213" i="3" l="1"/>
  <c r="N213" i="3"/>
  <c r="P213" i="3" l="1"/>
  <c r="Y213" i="3" s="1"/>
  <c r="T213" i="3"/>
  <c r="U213" i="3" s="1"/>
  <c r="V213" i="3" l="1"/>
  <c r="K285" i="2" l="1"/>
  <c r="L285" i="2" l="1"/>
  <c r="M285" i="2" s="1"/>
  <c r="K284" i="2" l="1"/>
  <c r="L284" i="2" l="1"/>
  <c r="M284" i="2" s="1"/>
  <c r="N160" i="3"/>
  <c r="N159" i="3"/>
  <c r="K283" i="2"/>
  <c r="K277" i="2"/>
  <c r="K278" i="2"/>
  <c r="J350" i="2" l="1"/>
  <c r="P159" i="3"/>
  <c r="P160" i="3"/>
  <c r="L283" i="2"/>
  <c r="M283" i="2" s="1"/>
  <c r="L277" i="2"/>
  <c r="M277" i="2" s="1"/>
  <c r="L278" i="2"/>
  <c r="M278" i="2" s="1"/>
  <c r="N196" i="3" l="1"/>
  <c r="N199" i="3"/>
  <c r="N197" i="3"/>
  <c r="N200" i="3"/>
  <c r="N198" i="3"/>
  <c r="N201" i="3"/>
  <c r="N202" i="3"/>
  <c r="N203" i="3"/>
  <c r="N204" i="3"/>
  <c r="N205" i="3"/>
  <c r="N206" i="3"/>
  <c r="N207" i="3"/>
  <c r="N211" i="3"/>
  <c r="N212" i="3"/>
  <c r="N214" i="3"/>
  <c r="N215" i="3"/>
  <c r="N216" i="3"/>
  <c r="N217" i="3"/>
  <c r="N219" i="3"/>
  <c r="N208" i="3"/>
  <c r="N210" i="3"/>
  <c r="N209" i="3"/>
  <c r="N222" i="3"/>
  <c r="O8" i="1"/>
  <c r="N223" i="3"/>
  <c r="N224" i="3"/>
  <c r="T196" i="3"/>
  <c r="T198" i="3"/>
  <c r="T159" i="3"/>
  <c r="T160" i="3"/>
  <c r="T203" i="3"/>
  <c r="T205" i="3"/>
  <c r="T215" i="3"/>
  <c r="T216" i="3"/>
  <c r="T217" i="3"/>
  <c r="T219" i="3"/>
  <c r="T208" i="3"/>
  <c r="T210" i="3"/>
  <c r="T222" i="3"/>
  <c r="T223" i="3"/>
  <c r="T224" i="3"/>
  <c r="W196" i="3"/>
  <c r="W199" i="3"/>
  <c r="W197" i="3"/>
  <c r="W200" i="3"/>
  <c r="W198" i="3"/>
  <c r="W201" i="3"/>
  <c r="W159" i="3"/>
  <c r="W160" i="3"/>
  <c r="W202" i="3"/>
  <c r="W203" i="3"/>
  <c r="W204" i="3"/>
  <c r="W205" i="3"/>
  <c r="W206" i="3"/>
  <c r="W207" i="3"/>
  <c r="W211" i="3"/>
  <c r="W212" i="3"/>
  <c r="W214" i="3"/>
  <c r="W215" i="3"/>
  <c r="W216" i="3"/>
  <c r="W217" i="3"/>
  <c r="W219" i="3"/>
  <c r="W208" i="3"/>
  <c r="W210" i="3"/>
  <c r="W209" i="3"/>
  <c r="W222" i="3"/>
  <c r="W223" i="3"/>
  <c r="W224" i="3"/>
  <c r="N225" i="3"/>
  <c r="T225" i="3"/>
  <c r="W225" i="3"/>
  <c r="K276" i="2"/>
  <c r="K204" i="2"/>
  <c r="U219" i="3" l="1"/>
  <c r="U217" i="3"/>
  <c r="U216" i="3"/>
  <c r="U215" i="3"/>
  <c r="U205" i="3"/>
  <c r="U203" i="3"/>
  <c r="U160" i="3"/>
  <c r="U224" i="3"/>
  <c r="U223" i="3"/>
  <c r="U198" i="3"/>
  <c r="U225" i="3"/>
  <c r="U222" i="3"/>
  <c r="U196" i="3"/>
  <c r="U159" i="3"/>
  <c r="U210" i="3"/>
  <c r="U208" i="3"/>
  <c r="V160" i="3"/>
  <c r="V159" i="3"/>
  <c r="P207" i="3"/>
  <c r="Y207" i="3" s="1"/>
  <c r="P222" i="3"/>
  <c r="P206" i="3"/>
  <c r="Y206" i="3" s="1"/>
  <c r="P209" i="3"/>
  <c r="Y209" i="3" s="1"/>
  <c r="P205" i="3"/>
  <c r="Y205" i="3" s="1"/>
  <c r="P225" i="3"/>
  <c r="P208" i="3"/>
  <c r="P203" i="3"/>
  <c r="Y203" i="3" s="1"/>
  <c r="P217" i="3"/>
  <c r="P201" i="3"/>
  <c r="Y201" i="3" s="1"/>
  <c r="P204" i="3"/>
  <c r="Y204" i="3" s="1"/>
  <c r="P219" i="3"/>
  <c r="Y219" i="3" s="1"/>
  <c r="P202" i="3"/>
  <c r="Y202" i="3" s="1"/>
  <c r="P215" i="3"/>
  <c r="P200" i="3"/>
  <c r="Y200" i="3" s="1"/>
  <c r="P214" i="3"/>
  <c r="P197" i="3"/>
  <c r="Y197" i="3" s="1"/>
  <c r="P210" i="3"/>
  <c r="P216" i="3"/>
  <c r="P198" i="3"/>
  <c r="Y198" i="3" s="1"/>
  <c r="P224" i="3"/>
  <c r="V224" i="3" s="1"/>
  <c r="P212" i="3"/>
  <c r="Y212" i="3" s="1"/>
  <c r="P199" i="3"/>
  <c r="Y199" i="3" s="1"/>
  <c r="P223" i="3"/>
  <c r="V223" i="3" s="1"/>
  <c r="P211" i="3"/>
  <c r="Y211" i="3" s="1"/>
  <c r="P196" i="3"/>
  <c r="Y196" i="3" s="1"/>
  <c r="T209" i="3"/>
  <c r="U209" i="3" s="1"/>
  <c r="T214" i="3"/>
  <c r="U214" i="3" s="1"/>
  <c r="T212" i="3"/>
  <c r="U212" i="3" s="1"/>
  <c r="T211" i="3"/>
  <c r="U211" i="3" s="1"/>
  <c r="T206" i="3"/>
  <c r="U206" i="3" s="1"/>
  <c r="T207" i="3"/>
  <c r="U207" i="3" s="1"/>
  <c r="T204" i="3"/>
  <c r="U204" i="3" s="1"/>
  <c r="T202" i="3"/>
  <c r="U202" i="3" s="1"/>
  <c r="T201" i="3"/>
  <c r="U201" i="3" s="1"/>
  <c r="T200" i="3"/>
  <c r="U200" i="3" s="1"/>
  <c r="Y160" i="3"/>
  <c r="T197" i="3"/>
  <c r="U197" i="3" s="1"/>
  <c r="Y159" i="3"/>
  <c r="T199" i="3"/>
  <c r="U199" i="3" s="1"/>
  <c r="L276" i="2"/>
  <c r="M276" i="2" s="1"/>
  <c r="L204" i="2"/>
  <c r="M204" i="2" s="1"/>
  <c r="K257" i="2"/>
  <c r="N195" i="3"/>
  <c r="T195" i="3"/>
  <c r="W195" i="3"/>
  <c r="U195" i="3" l="1"/>
  <c r="V200" i="3"/>
  <c r="V212" i="3"/>
  <c r="V209" i="3"/>
  <c r="V201" i="3"/>
  <c r="V206" i="3"/>
  <c r="V202" i="3"/>
  <c r="V207" i="3"/>
  <c r="V225" i="3"/>
  <c r="V197" i="3"/>
  <c r="V204" i="3"/>
  <c r="V211" i="3"/>
  <c r="V198" i="3"/>
  <c r="V214" i="3"/>
  <c r="V215" i="3"/>
  <c r="V216" i="3"/>
  <c r="V210" i="3"/>
  <c r="V217" i="3"/>
  <c r="V205" i="3"/>
  <c r="V219" i="3"/>
  <c r="V196" i="3"/>
  <c r="V203" i="3"/>
  <c r="V199" i="3"/>
  <c r="V222" i="3"/>
  <c r="V208" i="3"/>
  <c r="Y217" i="3"/>
  <c r="Y225" i="3"/>
  <c r="Y215" i="3"/>
  <c r="Y210" i="3"/>
  <c r="Y223" i="3"/>
  <c r="Y216" i="3"/>
  <c r="Y208" i="3"/>
  <c r="Y222" i="3"/>
  <c r="P195" i="3"/>
  <c r="V195" i="3" s="1"/>
  <c r="Y214" i="3"/>
  <c r="Y224" i="3"/>
  <c r="L257" i="2"/>
  <c r="M257" i="2" s="1"/>
  <c r="N182" i="3"/>
  <c r="T182" i="3"/>
  <c r="W182" i="3"/>
  <c r="K282" i="2"/>
  <c r="K250" i="2"/>
  <c r="N193" i="3"/>
  <c r="W193" i="3"/>
  <c r="N192" i="3"/>
  <c r="T192" i="3"/>
  <c r="W192" i="3"/>
  <c r="N194" i="3"/>
  <c r="T194" i="3"/>
  <c r="W194" i="3"/>
  <c r="U192" i="3" l="1"/>
  <c r="U182" i="3"/>
  <c r="U194" i="3"/>
  <c r="P182" i="3"/>
  <c r="P194" i="3"/>
  <c r="Y194" i="3" s="1"/>
  <c r="P192" i="3"/>
  <c r="P193" i="3"/>
  <c r="Y193" i="3" s="1"/>
  <c r="Y195" i="3"/>
  <c r="L250" i="2"/>
  <c r="M250" i="2" s="1"/>
  <c r="L282" i="2"/>
  <c r="M282" i="2" s="1"/>
  <c r="T193" i="3"/>
  <c r="U193" i="3" s="1"/>
  <c r="K245" i="2"/>
  <c r="K244" i="2"/>
  <c r="V182" i="3" l="1"/>
  <c r="V192" i="3"/>
  <c r="V194" i="3"/>
  <c r="V193" i="3"/>
  <c r="Y182" i="3"/>
  <c r="Y192" i="3"/>
  <c r="L244" i="2"/>
  <c r="M244" i="2" s="1"/>
  <c r="L245" i="2"/>
  <c r="M245" i="2" s="1"/>
  <c r="N191" i="3"/>
  <c r="T191" i="3"/>
  <c r="W191" i="3"/>
  <c r="U191" i="3" l="1"/>
  <c r="P191" i="3"/>
  <c r="Y191" i="3" s="1"/>
  <c r="V191" i="3" l="1"/>
  <c r="N189" i="3" l="1"/>
  <c r="T189" i="3"/>
  <c r="W189" i="3"/>
  <c r="U189" i="3" l="1"/>
  <c r="P189" i="3"/>
  <c r="N190" i="3"/>
  <c r="T190" i="3"/>
  <c r="W190" i="3"/>
  <c r="K248" i="2"/>
  <c r="K252" i="2"/>
  <c r="U190" i="3" l="1"/>
  <c r="V189" i="3"/>
  <c r="Y189" i="3"/>
  <c r="P190" i="3"/>
  <c r="Y190" i="3" s="1"/>
  <c r="L248" i="2"/>
  <c r="M248" i="2" s="1"/>
  <c r="L252" i="2"/>
  <c r="M252" i="2" s="1"/>
  <c r="V190" i="3" l="1"/>
  <c r="N74" i="3" l="1"/>
  <c r="W74" i="3"/>
  <c r="N5" i="3"/>
  <c r="W5" i="3"/>
  <c r="N6" i="3"/>
  <c r="W6" i="3"/>
  <c r="N7" i="3"/>
  <c r="W7" i="3"/>
  <c r="N8" i="3"/>
  <c r="W8" i="3"/>
  <c r="N9" i="3"/>
  <c r="W9" i="3"/>
  <c r="N10" i="3"/>
  <c r="W10" i="3"/>
  <c r="N11" i="3"/>
  <c r="W11" i="3"/>
  <c r="N12" i="3"/>
  <c r="W12" i="3"/>
  <c r="N13" i="3"/>
  <c r="W13" i="3"/>
  <c r="N14" i="3"/>
  <c r="W14" i="3"/>
  <c r="N15" i="3"/>
  <c r="W15" i="3"/>
  <c r="N16" i="3"/>
  <c r="W16" i="3"/>
  <c r="N17" i="3"/>
  <c r="W17" i="3"/>
  <c r="N18" i="3"/>
  <c r="W18" i="3"/>
  <c r="N19" i="3"/>
  <c r="W19" i="3"/>
  <c r="N20" i="3"/>
  <c r="W20" i="3"/>
  <c r="N21" i="3"/>
  <c r="W21" i="3"/>
  <c r="N22" i="3"/>
  <c r="W22" i="3"/>
  <c r="N23" i="3"/>
  <c r="W23" i="3"/>
  <c r="N24" i="3"/>
  <c r="W24" i="3"/>
  <c r="N25" i="3"/>
  <c r="W25" i="3"/>
  <c r="N26" i="3"/>
  <c r="W26" i="3"/>
  <c r="N27" i="3"/>
  <c r="W27" i="3"/>
  <c r="N28" i="3"/>
  <c r="W28" i="3"/>
  <c r="N29" i="3"/>
  <c r="W29" i="3"/>
  <c r="N30" i="3"/>
  <c r="W30" i="3"/>
  <c r="N31" i="3"/>
  <c r="W31" i="3"/>
  <c r="N32" i="3"/>
  <c r="W32" i="3"/>
  <c r="N33" i="3"/>
  <c r="W33" i="3"/>
  <c r="N34" i="3"/>
  <c r="W34" i="3"/>
  <c r="N35" i="3"/>
  <c r="W35" i="3"/>
  <c r="N36" i="3"/>
  <c r="W36" i="3"/>
  <c r="N37" i="3"/>
  <c r="W37" i="3"/>
  <c r="N38" i="3"/>
  <c r="W38" i="3"/>
  <c r="N39" i="3"/>
  <c r="W39" i="3"/>
  <c r="N40" i="3"/>
  <c r="W40" i="3"/>
  <c r="N41" i="3"/>
  <c r="W41" i="3"/>
  <c r="N42" i="3"/>
  <c r="W42" i="3"/>
  <c r="N43" i="3"/>
  <c r="W43" i="3"/>
  <c r="N44" i="3"/>
  <c r="W44" i="3"/>
  <c r="N45" i="3"/>
  <c r="W45" i="3"/>
  <c r="N46" i="3"/>
  <c r="W46" i="3"/>
  <c r="N47" i="3"/>
  <c r="W47" i="3"/>
  <c r="N48" i="3"/>
  <c r="W48" i="3"/>
  <c r="N49" i="3"/>
  <c r="W49" i="3"/>
  <c r="N50" i="3"/>
  <c r="W50" i="3"/>
  <c r="N51" i="3"/>
  <c r="W51" i="3"/>
  <c r="N52" i="3"/>
  <c r="W52" i="3"/>
  <c r="N53" i="3"/>
  <c r="W53" i="3"/>
  <c r="N56" i="3"/>
  <c r="W56" i="3"/>
  <c r="N58" i="3"/>
  <c r="W58" i="3"/>
  <c r="N57" i="3"/>
  <c r="W57" i="3"/>
  <c r="N63" i="3"/>
  <c r="W63" i="3"/>
  <c r="N64" i="3"/>
  <c r="W64" i="3"/>
  <c r="N54" i="3"/>
  <c r="W54" i="3"/>
  <c r="N71" i="3"/>
  <c r="W71" i="3"/>
  <c r="N65" i="3"/>
  <c r="W65" i="3"/>
  <c r="N66" i="3"/>
  <c r="W66" i="3"/>
  <c r="N67" i="3"/>
  <c r="W67" i="3"/>
  <c r="N68" i="3"/>
  <c r="W68" i="3"/>
  <c r="N69" i="3"/>
  <c r="W69" i="3"/>
  <c r="N70" i="3"/>
  <c r="W70" i="3"/>
  <c r="N59" i="3"/>
  <c r="W59" i="3"/>
  <c r="N60" i="3"/>
  <c r="W60" i="3"/>
  <c r="N61" i="3"/>
  <c r="W61" i="3"/>
  <c r="N62" i="3"/>
  <c r="W62" i="3"/>
  <c r="N73" i="3"/>
  <c r="W73" i="3"/>
  <c r="N72" i="3"/>
  <c r="W72" i="3"/>
  <c r="N75" i="3"/>
  <c r="W75" i="3"/>
  <c r="N76" i="3"/>
  <c r="W76" i="3"/>
  <c r="N77" i="3"/>
  <c r="W77" i="3"/>
  <c r="N78" i="3"/>
  <c r="W78" i="3"/>
  <c r="N79" i="3"/>
  <c r="W79" i="3"/>
  <c r="N80" i="3"/>
  <c r="W80" i="3"/>
  <c r="N81" i="3"/>
  <c r="W81" i="3"/>
  <c r="N82" i="3"/>
  <c r="W82" i="3"/>
  <c r="N83" i="3"/>
  <c r="W83" i="3"/>
  <c r="N84" i="3"/>
  <c r="W84" i="3"/>
  <c r="N85" i="3"/>
  <c r="W85" i="3"/>
  <c r="N86" i="3"/>
  <c r="W86" i="3"/>
  <c r="N87" i="3"/>
  <c r="W87" i="3"/>
  <c r="N88" i="3"/>
  <c r="W88" i="3"/>
  <c r="N89" i="3"/>
  <c r="W89" i="3"/>
  <c r="N90" i="3"/>
  <c r="W90" i="3"/>
  <c r="N91" i="3"/>
  <c r="W91" i="3"/>
  <c r="N92" i="3"/>
  <c r="W92" i="3"/>
  <c r="N93" i="3"/>
  <c r="W93" i="3"/>
  <c r="N94" i="3"/>
  <c r="W94" i="3"/>
  <c r="N95" i="3"/>
  <c r="W95" i="3"/>
  <c r="N96" i="3"/>
  <c r="W96" i="3"/>
  <c r="N97" i="3"/>
  <c r="W97" i="3"/>
  <c r="N98" i="3"/>
  <c r="W98" i="3"/>
  <c r="N99" i="3"/>
  <c r="W99" i="3"/>
  <c r="N100" i="3"/>
  <c r="W100" i="3"/>
  <c r="N101" i="3"/>
  <c r="W101" i="3"/>
  <c r="N102" i="3"/>
  <c r="W102" i="3"/>
  <c r="N103" i="3"/>
  <c r="W103" i="3"/>
  <c r="N104" i="3"/>
  <c r="W104" i="3"/>
  <c r="N105" i="3"/>
  <c r="W105" i="3"/>
  <c r="N106" i="3"/>
  <c r="W106" i="3"/>
  <c r="N107" i="3"/>
  <c r="W107" i="3"/>
  <c r="N108" i="3"/>
  <c r="W108" i="3"/>
  <c r="N109" i="3"/>
  <c r="W109" i="3"/>
  <c r="N110" i="3"/>
  <c r="W110" i="3"/>
  <c r="N111" i="3"/>
  <c r="W111" i="3"/>
  <c r="N112" i="3"/>
  <c r="W112" i="3"/>
  <c r="N113" i="3"/>
  <c r="W113" i="3"/>
  <c r="N114" i="3"/>
  <c r="W114" i="3"/>
  <c r="N115" i="3"/>
  <c r="W115" i="3"/>
  <c r="N116" i="3"/>
  <c r="W116" i="3"/>
  <c r="N119" i="3"/>
  <c r="W119" i="3"/>
  <c r="N120" i="3"/>
  <c r="W120" i="3"/>
  <c r="N117" i="3"/>
  <c r="W117" i="3"/>
  <c r="N118" i="3"/>
  <c r="W118" i="3"/>
  <c r="N121" i="3"/>
  <c r="W121" i="3"/>
  <c r="N122" i="3"/>
  <c r="W122" i="3"/>
  <c r="N123" i="3"/>
  <c r="W123" i="3"/>
  <c r="N124" i="3"/>
  <c r="W124" i="3"/>
  <c r="N125" i="3"/>
  <c r="W125" i="3"/>
  <c r="N127" i="3"/>
  <c r="W127" i="3"/>
  <c r="N128" i="3"/>
  <c r="W128" i="3"/>
  <c r="N129" i="3"/>
  <c r="W129" i="3"/>
  <c r="N130" i="3"/>
  <c r="W130" i="3"/>
  <c r="N131" i="3"/>
  <c r="W131" i="3"/>
  <c r="N132" i="3"/>
  <c r="W132" i="3"/>
  <c r="N133" i="3"/>
  <c r="W133" i="3"/>
  <c r="N134" i="3"/>
  <c r="W134" i="3"/>
  <c r="N135" i="3"/>
  <c r="W135" i="3"/>
  <c r="N136" i="3"/>
  <c r="W136" i="3"/>
  <c r="N137" i="3"/>
  <c r="W137" i="3"/>
  <c r="N138" i="3"/>
  <c r="W138" i="3"/>
  <c r="N139" i="3"/>
  <c r="W139" i="3"/>
  <c r="N126" i="3"/>
  <c r="W126" i="3"/>
  <c r="N140" i="3"/>
  <c r="W140" i="3"/>
  <c r="N141" i="3"/>
  <c r="W141" i="3"/>
  <c r="N142" i="3"/>
  <c r="W142" i="3"/>
  <c r="N143" i="3"/>
  <c r="W143" i="3"/>
  <c r="N145" i="3"/>
  <c r="W145" i="3"/>
  <c r="N146" i="3"/>
  <c r="W146" i="3"/>
  <c r="N147" i="3"/>
  <c r="W147" i="3"/>
  <c r="N148" i="3"/>
  <c r="W148" i="3"/>
  <c r="N149" i="3"/>
  <c r="W149" i="3"/>
  <c r="N150" i="3"/>
  <c r="W150" i="3"/>
  <c r="N151" i="3"/>
  <c r="W151" i="3"/>
  <c r="N155" i="3"/>
  <c r="W155" i="3"/>
  <c r="N156" i="3"/>
  <c r="W156" i="3"/>
  <c r="N157" i="3"/>
  <c r="W157" i="3"/>
  <c r="N162" i="3"/>
  <c r="W162" i="3"/>
  <c r="N163" i="3"/>
  <c r="W163" i="3"/>
  <c r="N164" i="3"/>
  <c r="W164" i="3"/>
  <c r="N165" i="3"/>
  <c r="W165" i="3"/>
  <c r="N166" i="3"/>
  <c r="W166" i="3"/>
  <c r="N167" i="3"/>
  <c r="W167" i="3"/>
  <c r="N168" i="3"/>
  <c r="W168" i="3"/>
  <c r="N169" i="3"/>
  <c r="W169" i="3"/>
  <c r="N152" i="3"/>
  <c r="W152" i="3"/>
  <c r="N153" i="3"/>
  <c r="W153" i="3"/>
  <c r="N154" i="3"/>
  <c r="W154" i="3"/>
  <c r="N144" i="3"/>
  <c r="W144" i="3"/>
  <c r="N161" i="3"/>
  <c r="W161" i="3"/>
  <c r="N170" i="3"/>
  <c r="W170" i="3"/>
  <c r="N171" i="3"/>
  <c r="W171" i="3"/>
  <c r="N175" i="3"/>
  <c r="W175" i="3"/>
  <c r="N176" i="3"/>
  <c r="W176" i="3"/>
  <c r="N172" i="3"/>
  <c r="W172" i="3"/>
  <c r="N173" i="3"/>
  <c r="W173" i="3"/>
  <c r="N178" i="3"/>
  <c r="W178" i="3"/>
  <c r="N174" i="3"/>
  <c r="W174" i="3"/>
  <c r="N179" i="3"/>
  <c r="W179" i="3"/>
  <c r="N180" i="3"/>
  <c r="W180" i="3"/>
  <c r="N181" i="3"/>
  <c r="W181" i="3"/>
  <c r="N183" i="3"/>
  <c r="W183" i="3"/>
  <c r="N185" i="3"/>
  <c r="W185" i="3"/>
  <c r="N184" i="3"/>
  <c r="W184" i="3"/>
  <c r="N158" i="3"/>
  <c r="W158" i="3"/>
  <c r="N186" i="3"/>
  <c r="W186" i="3"/>
  <c r="N187" i="3"/>
  <c r="W187" i="3"/>
  <c r="N188" i="3"/>
  <c r="W188" i="3"/>
  <c r="L273" i="2"/>
  <c r="M273" i="2" s="1"/>
  <c r="T188" i="3"/>
  <c r="U188" i="3" s="1"/>
  <c r="T186" i="3"/>
  <c r="T158" i="3"/>
  <c r="T184" i="3"/>
  <c r="K272" i="2"/>
  <c r="T179" i="3"/>
  <c r="T176" i="3"/>
  <c r="T171" i="3"/>
  <c r="K251" i="2"/>
  <c r="T170" i="3"/>
  <c r="V19" i="7"/>
  <c r="T153" i="3"/>
  <c r="B21" i="1"/>
  <c r="L265" i="2"/>
  <c r="M265" i="2" s="1"/>
  <c r="T168" i="3"/>
  <c r="U168" i="3" s="1"/>
  <c r="T167" i="3"/>
  <c r="T166" i="3"/>
  <c r="K249" i="2"/>
  <c r="T165" i="3"/>
  <c r="T164" i="3"/>
  <c r="T6" i="3"/>
  <c r="U6" i="3" s="1"/>
  <c r="T9" i="3"/>
  <c r="T11" i="3"/>
  <c r="U11" i="3" s="1"/>
  <c r="T12" i="3"/>
  <c r="T14" i="3"/>
  <c r="U14" i="3" s="1"/>
  <c r="T17" i="3"/>
  <c r="T20" i="3"/>
  <c r="U20" i="3" s="1"/>
  <c r="T22" i="3"/>
  <c r="T23" i="3"/>
  <c r="U23" i="3" s="1"/>
  <c r="T26" i="3"/>
  <c r="T27" i="3"/>
  <c r="U27" i="3" s="1"/>
  <c r="T28" i="3"/>
  <c r="T29" i="3"/>
  <c r="U29" i="3" s="1"/>
  <c r="T31" i="3"/>
  <c r="T34" i="3"/>
  <c r="U34" i="3" s="1"/>
  <c r="T37" i="3"/>
  <c r="T38" i="3"/>
  <c r="U38" i="3" s="1"/>
  <c r="T45" i="3"/>
  <c r="T46" i="3"/>
  <c r="U46" i="3" s="1"/>
  <c r="T47" i="3"/>
  <c r="T48" i="3"/>
  <c r="U48" i="3" s="1"/>
  <c r="T49" i="3"/>
  <c r="T52" i="3"/>
  <c r="U52" i="3" s="1"/>
  <c r="T56" i="3"/>
  <c r="T58" i="3"/>
  <c r="U58" i="3" s="1"/>
  <c r="T63" i="3"/>
  <c r="T71" i="3"/>
  <c r="U71" i="3" s="1"/>
  <c r="T68" i="3"/>
  <c r="T70" i="3"/>
  <c r="U70" i="3" s="1"/>
  <c r="T60" i="3"/>
  <c r="T74" i="3"/>
  <c r="U74" i="3" s="1"/>
  <c r="T73" i="3"/>
  <c r="T75" i="3"/>
  <c r="U75" i="3" s="1"/>
  <c r="T76" i="3"/>
  <c r="T77" i="3"/>
  <c r="U77" i="3" s="1"/>
  <c r="T78" i="3"/>
  <c r="T80" i="3"/>
  <c r="U80" i="3" s="1"/>
  <c r="T81" i="3"/>
  <c r="T82" i="3"/>
  <c r="U82" i="3" s="1"/>
  <c r="T83" i="3"/>
  <c r="T87" i="3"/>
  <c r="U87" i="3" s="1"/>
  <c r="T88" i="3"/>
  <c r="T89" i="3"/>
  <c r="U89" i="3" s="1"/>
  <c r="T90" i="3"/>
  <c r="T91" i="3"/>
  <c r="U91" i="3" s="1"/>
  <c r="T94" i="3"/>
  <c r="T95" i="3"/>
  <c r="U95" i="3" s="1"/>
  <c r="T96" i="3"/>
  <c r="T97" i="3"/>
  <c r="T98" i="3"/>
  <c r="T99" i="3"/>
  <c r="U99" i="3" s="1"/>
  <c r="T100" i="3"/>
  <c r="T101" i="3"/>
  <c r="U101" i="3" s="1"/>
  <c r="T102" i="3"/>
  <c r="T107" i="3"/>
  <c r="U107" i="3" s="1"/>
  <c r="T108" i="3"/>
  <c r="T109" i="3"/>
  <c r="U109" i="3" s="1"/>
  <c r="T110" i="3"/>
  <c r="T112" i="3"/>
  <c r="U112" i="3" s="1"/>
  <c r="T114" i="3"/>
  <c r="T115" i="3"/>
  <c r="T116" i="3"/>
  <c r="T120" i="3"/>
  <c r="U120" i="3" s="1"/>
  <c r="T117" i="3"/>
  <c r="T121" i="3"/>
  <c r="T122" i="3"/>
  <c r="T123" i="3"/>
  <c r="U123" i="3" s="1"/>
  <c r="T124" i="3"/>
  <c r="T125" i="3"/>
  <c r="T129" i="3"/>
  <c r="T130" i="3"/>
  <c r="U130" i="3" s="1"/>
  <c r="T131" i="3"/>
  <c r="T132" i="3"/>
  <c r="U132" i="3" s="1"/>
  <c r="T133" i="3"/>
  <c r="T134" i="3"/>
  <c r="T135" i="3"/>
  <c r="T136" i="3"/>
  <c r="U136" i="3" s="1"/>
  <c r="T138" i="3"/>
  <c r="T139" i="3"/>
  <c r="U139" i="3" s="1"/>
  <c r="T126" i="3"/>
  <c r="T140" i="3"/>
  <c r="T142" i="3"/>
  <c r="T143" i="3"/>
  <c r="U143" i="3" s="1"/>
  <c r="T146" i="3"/>
  <c r="T147" i="3"/>
  <c r="U147" i="3" s="1"/>
  <c r="T148" i="3"/>
  <c r="T149" i="3"/>
  <c r="U149" i="3" s="1"/>
  <c r="T150" i="3"/>
  <c r="T151" i="3"/>
  <c r="T157" i="3"/>
  <c r="T162" i="3"/>
  <c r="U162" i="3" s="1"/>
  <c r="T163" i="3"/>
  <c r="L275" i="2"/>
  <c r="M275" i="2" s="1"/>
  <c r="K274" i="2"/>
  <c r="K271" i="2"/>
  <c r="K270" i="2"/>
  <c r="B3" i="2"/>
  <c r="K269" i="2"/>
  <c r="K266" i="2"/>
  <c r="L264" i="2"/>
  <c r="M264" i="2" s="1"/>
  <c r="K263" i="2"/>
  <c r="L262" i="2"/>
  <c r="M262" i="2" s="1"/>
  <c r="K268" i="2"/>
  <c r="K267" i="2"/>
  <c r="L224" i="2"/>
  <c r="M224" i="2" s="1"/>
  <c r="K214" i="2"/>
  <c r="L225" i="2"/>
  <c r="M225" i="2" s="1"/>
  <c r="K227" i="2"/>
  <c r="K228" i="2"/>
  <c r="L229" i="2"/>
  <c r="M229" i="2" s="1"/>
  <c r="K223" i="2"/>
  <c r="K222" i="2"/>
  <c r="K210" i="2"/>
  <c r="K226" i="2"/>
  <c r="K221" i="2"/>
  <c r="L207" i="2"/>
  <c r="M207" i="2" s="1"/>
  <c r="K205" i="2"/>
  <c r="K231" i="2"/>
  <c r="L232" i="2"/>
  <c r="M232" i="2" s="1"/>
  <c r="K233" i="2"/>
  <c r="K234" i="2"/>
  <c r="L235" i="2"/>
  <c r="M235" i="2" s="1"/>
  <c r="L236" i="2"/>
  <c r="M236" i="2" s="1"/>
  <c r="L237" i="2"/>
  <c r="M237" i="2" s="1"/>
  <c r="K238" i="2"/>
  <c r="L211" i="2"/>
  <c r="M211" i="2" s="1"/>
  <c r="L242" i="2"/>
  <c r="M242" i="2" s="1"/>
  <c r="K230" i="2"/>
  <c r="K239" i="2"/>
  <c r="L240" i="2"/>
  <c r="M240" i="2" s="1"/>
  <c r="K246" i="2"/>
  <c r="L247" i="2"/>
  <c r="M247" i="2" s="1"/>
  <c r="K253" i="2"/>
  <c r="L254" i="2"/>
  <c r="M254" i="2" s="1"/>
  <c r="L255" i="2"/>
  <c r="M255" i="2" s="1"/>
  <c r="K256" i="2"/>
  <c r="L241" i="2"/>
  <c r="M241" i="2" s="1"/>
  <c r="L260" i="2"/>
  <c r="M260" i="2" s="1"/>
  <c r="L261" i="2"/>
  <c r="M261" i="2" s="1"/>
  <c r="K258" i="2"/>
  <c r="V18" i="7"/>
  <c r="V17" i="7"/>
  <c r="V4" i="7"/>
  <c r="V5" i="7"/>
  <c r="V6" i="7"/>
  <c r="V7" i="7"/>
  <c r="V8" i="7"/>
  <c r="V9" i="7"/>
  <c r="V10" i="7"/>
  <c r="V11" i="7"/>
  <c r="V12" i="7"/>
  <c r="V13" i="7"/>
  <c r="V14" i="7"/>
  <c r="V15" i="7"/>
  <c r="V16" i="7"/>
  <c r="L246" i="2"/>
  <c r="M246" i="2" s="1"/>
  <c r="U158" i="3" l="1"/>
  <c r="U151" i="3"/>
  <c r="U121" i="3"/>
  <c r="U134" i="3"/>
  <c r="U97" i="3"/>
  <c r="U115" i="3"/>
  <c r="U165" i="3"/>
  <c r="U142" i="3"/>
  <c r="U94" i="3"/>
  <c r="U76" i="3"/>
  <c r="U49" i="3"/>
  <c r="U26" i="3"/>
  <c r="U179" i="3"/>
  <c r="U150" i="3"/>
  <c r="U135" i="3"/>
  <c r="U117" i="3"/>
  <c r="U100" i="3"/>
  <c r="U83" i="3"/>
  <c r="U68" i="3"/>
  <c r="U37" i="3"/>
  <c r="U12" i="3"/>
  <c r="U153" i="3"/>
  <c r="U148" i="3"/>
  <c r="U133" i="3"/>
  <c r="U116" i="3"/>
  <c r="U98" i="3"/>
  <c r="U81" i="3"/>
  <c r="U63" i="3"/>
  <c r="U31" i="3"/>
  <c r="U9" i="3"/>
  <c r="U170" i="3"/>
  <c r="U146" i="3"/>
  <c r="U131" i="3"/>
  <c r="U114" i="3"/>
  <c r="U96" i="3"/>
  <c r="U78" i="3"/>
  <c r="U56" i="3"/>
  <c r="U28" i="3"/>
  <c r="U164" i="3"/>
  <c r="U171" i="3"/>
  <c r="U129" i="3"/>
  <c r="U110" i="3"/>
  <c r="U140" i="3"/>
  <c r="U125" i="3"/>
  <c r="U166" i="3"/>
  <c r="U163" i="3"/>
  <c r="U126" i="3"/>
  <c r="U124" i="3"/>
  <c r="U108" i="3"/>
  <c r="U90" i="3"/>
  <c r="U73" i="3"/>
  <c r="U47" i="3"/>
  <c r="U22" i="3"/>
  <c r="U167" i="3"/>
  <c r="U184" i="3"/>
  <c r="U176" i="3"/>
  <c r="U157" i="3"/>
  <c r="U138" i="3"/>
  <c r="U122" i="3"/>
  <c r="U102" i="3"/>
  <c r="U88" i="3"/>
  <c r="U60" i="3"/>
  <c r="U45" i="3"/>
  <c r="U17" i="3"/>
  <c r="U186" i="3"/>
  <c r="W368" i="3"/>
  <c r="N368" i="3"/>
  <c r="V133" i="3"/>
  <c r="V115" i="3"/>
  <c r="V143" i="3"/>
  <c r="P184" i="3"/>
  <c r="V184" i="3" s="1"/>
  <c r="P174" i="3"/>
  <c r="Y174" i="3" s="1"/>
  <c r="P171" i="3"/>
  <c r="V171" i="3" s="1"/>
  <c r="P152" i="3"/>
  <c r="P164" i="3"/>
  <c r="P151" i="3"/>
  <c r="V151" i="3" s="1"/>
  <c r="P145" i="3"/>
  <c r="P139" i="3"/>
  <c r="P133" i="3"/>
  <c r="Y133" i="3" s="1"/>
  <c r="P127" i="3"/>
  <c r="P118" i="3"/>
  <c r="Y118" i="3" s="1"/>
  <c r="P114" i="3"/>
  <c r="V114" i="3" s="1"/>
  <c r="P108" i="3"/>
  <c r="V108" i="3" s="1"/>
  <c r="P102" i="3"/>
  <c r="V102" i="3" s="1"/>
  <c r="P96" i="3"/>
  <c r="P90" i="3"/>
  <c r="V90" i="3" s="1"/>
  <c r="P84" i="3"/>
  <c r="Y84" i="3" s="1"/>
  <c r="P78" i="3"/>
  <c r="Y78" i="3" s="1"/>
  <c r="P62" i="3"/>
  <c r="Y62" i="3" s="1"/>
  <c r="P69" i="3"/>
  <c r="P54" i="3"/>
  <c r="Y54" i="3" s="1"/>
  <c r="P53" i="3"/>
  <c r="Y53" i="3" s="1"/>
  <c r="P47" i="3"/>
  <c r="P41" i="3"/>
  <c r="Y41" i="3" s="1"/>
  <c r="P35" i="3"/>
  <c r="Y35" i="3" s="1"/>
  <c r="P29" i="3"/>
  <c r="Y29" i="3" s="1"/>
  <c r="P23" i="3"/>
  <c r="V23" i="3" s="1"/>
  <c r="P17" i="3"/>
  <c r="V17" i="3" s="1"/>
  <c r="P11" i="3"/>
  <c r="V11" i="3" s="1"/>
  <c r="P5" i="3"/>
  <c r="P187" i="3"/>
  <c r="Y187" i="3" s="1"/>
  <c r="P181" i="3"/>
  <c r="Y181" i="3" s="1"/>
  <c r="P172" i="3"/>
  <c r="Y172" i="3" s="1"/>
  <c r="P144" i="3"/>
  <c r="P167" i="3"/>
  <c r="V167" i="3" s="1"/>
  <c r="P157" i="3"/>
  <c r="Y157" i="3" s="1"/>
  <c r="P148" i="3"/>
  <c r="P141" i="3"/>
  <c r="P136" i="3"/>
  <c r="V136" i="3" s="1"/>
  <c r="P130" i="3"/>
  <c r="P123" i="3"/>
  <c r="P119" i="3"/>
  <c r="Y119" i="3" s="1"/>
  <c r="P111" i="3"/>
  <c r="P105" i="3"/>
  <c r="Y105" i="3" s="1"/>
  <c r="P99" i="3"/>
  <c r="V99" i="3" s="1"/>
  <c r="P93" i="3"/>
  <c r="P87" i="3"/>
  <c r="V87" i="3" s="1"/>
  <c r="P81" i="3"/>
  <c r="P75" i="3"/>
  <c r="Y75" i="3" s="1"/>
  <c r="P59" i="3"/>
  <c r="Y59" i="3" s="1"/>
  <c r="P66" i="3"/>
  <c r="Y66" i="3" s="1"/>
  <c r="P57" i="3"/>
  <c r="P50" i="3"/>
  <c r="Y50" i="3" s="1"/>
  <c r="P44" i="3"/>
  <c r="Y44" i="3" s="1"/>
  <c r="P38" i="3"/>
  <c r="Y38" i="3" s="1"/>
  <c r="P32" i="3"/>
  <c r="Y32" i="3" s="1"/>
  <c r="P26" i="3"/>
  <c r="V26" i="3" s="1"/>
  <c r="P20" i="3"/>
  <c r="V20" i="3" s="1"/>
  <c r="P14" i="3"/>
  <c r="V14" i="3" s="1"/>
  <c r="P8" i="3"/>
  <c r="Y8" i="3" s="1"/>
  <c r="P185" i="3"/>
  <c r="Y185" i="3" s="1"/>
  <c r="P163" i="3"/>
  <c r="P143" i="3"/>
  <c r="P132" i="3"/>
  <c r="V132" i="3" s="1"/>
  <c r="P117" i="3"/>
  <c r="P101" i="3"/>
  <c r="P95" i="3"/>
  <c r="V95" i="3" s="1"/>
  <c r="P83" i="3"/>
  <c r="V83" i="3" s="1"/>
  <c r="P52" i="3"/>
  <c r="P168" i="3"/>
  <c r="P106" i="3"/>
  <c r="Y106" i="3" s="1"/>
  <c r="P186" i="3"/>
  <c r="Y186" i="3" s="1"/>
  <c r="P180" i="3"/>
  <c r="Y180" i="3" s="1"/>
  <c r="P176" i="3"/>
  <c r="V176" i="3" s="1"/>
  <c r="P154" i="3"/>
  <c r="P166" i="3"/>
  <c r="M9" i="1" s="1"/>
  <c r="P156" i="3"/>
  <c r="Y156" i="3" s="1"/>
  <c r="P147" i="3"/>
  <c r="Y147" i="3" s="1"/>
  <c r="P140" i="3"/>
  <c r="V140" i="3" s="1"/>
  <c r="P135" i="3"/>
  <c r="V135" i="3" s="1"/>
  <c r="P129" i="3"/>
  <c r="V129" i="3" s="1"/>
  <c r="P122" i="3"/>
  <c r="V122" i="3" s="1"/>
  <c r="P116" i="3"/>
  <c r="P110" i="3"/>
  <c r="V110" i="3" s="1"/>
  <c r="P104" i="3"/>
  <c r="Y104" i="3" s="1"/>
  <c r="P98" i="3"/>
  <c r="Y98" i="3" s="1"/>
  <c r="P92" i="3"/>
  <c r="P86" i="3"/>
  <c r="P80" i="3"/>
  <c r="Y80" i="3" s="1"/>
  <c r="P72" i="3"/>
  <c r="Y72" i="3" s="1"/>
  <c r="P65" i="3"/>
  <c r="Y65" i="3" s="1"/>
  <c r="P58" i="3"/>
  <c r="V58" i="3" s="1"/>
  <c r="P49" i="3"/>
  <c r="V49" i="3" s="1"/>
  <c r="P43" i="3"/>
  <c r="Y43" i="3" s="1"/>
  <c r="P37" i="3"/>
  <c r="P31" i="3"/>
  <c r="V31" i="3" s="1"/>
  <c r="P25" i="3"/>
  <c r="Y25" i="3" s="1"/>
  <c r="P19" i="3"/>
  <c r="Y19" i="3" s="1"/>
  <c r="P13" i="3"/>
  <c r="Y13" i="3" s="1"/>
  <c r="P7" i="3"/>
  <c r="P169" i="3"/>
  <c r="P138" i="3"/>
  <c r="V138" i="3" s="1"/>
  <c r="P125" i="3"/>
  <c r="V125" i="3" s="1"/>
  <c r="P113" i="3"/>
  <c r="Y113" i="3" s="1"/>
  <c r="P77" i="3"/>
  <c r="V77" i="3" s="1"/>
  <c r="P61" i="3"/>
  <c r="Y61" i="3" s="1"/>
  <c r="P68" i="3"/>
  <c r="Y68" i="3" s="1"/>
  <c r="P64" i="3"/>
  <c r="Y64" i="3" s="1"/>
  <c r="P46" i="3"/>
  <c r="P40" i="3"/>
  <c r="Y40" i="3" s="1"/>
  <c r="P34" i="3"/>
  <c r="P28" i="3"/>
  <c r="Y28" i="3" s="1"/>
  <c r="P22" i="3"/>
  <c r="Y22" i="3" s="1"/>
  <c r="P16" i="3"/>
  <c r="Y16" i="3" s="1"/>
  <c r="P10" i="3"/>
  <c r="Y10" i="3" s="1"/>
  <c r="P74" i="3"/>
  <c r="V74" i="3" s="1"/>
  <c r="P173" i="3"/>
  <c r="Y173" i="3" s="1"/>
  <c r="P149" i="3"/>
  <c r="P137" i="3"/>
  <c r="P124" i="3"/>
  <c r="V124" i="3" s="1"/>
  <c r="P112" i="3"/>
  <c r="V112" i="3" s="1"/>
  <c r="P100" i="3"/>
  <c r="Y100" i="3" s="1"/>
  <c r="P94" i="3"/>
  <c r="Y94" i="3" s="1"/>
  <c r="P88" i="3"/>
  <c r="V88" i="3" s="1"/>
  <c r="P82" i="3"/>
  <c r="P76" i="3"/>
  <c r="V76" i="3" s="1"/>
  <c r="P60" i="3"/>
  <c r="Y60" i="3" s="1"/>
  <c r="P67" i="3"/>
  <c r="Y67" i="3" s="1"/>
  <c r="P63" i="3"/>
  <c r="P51" i="3"/>
  <c r="Y51" i="3" s="1"/>
  <c r="P45" i="3"/>
  <c r="Y45" i="3" s="1"/>
  <c r="P39" i="3"/>
  <c r="Y39" i="3" s="1"/>
  <c r="P27" i="3"/>
  <c r="Y27" i="3" s="1"/>
  <c r="P21" i="3"/>
  <c r="Y21" i="3" s="1"/>
  <c r="P15" i="3"/>
  <c r="Y15" i="3" s="1"/>
  <c r="P9" i="3"/>
  <c r="Y9" i="3" s="1"/>
  <c r="P178" i="3"/>
  <c r="Y178" i="3" s="1"/>
  <c r="P170" i="3"/>
  <c r="V170" i="3" s="1"/>
  <c r="P150" i="3"/>
  <c r="V150" i="3" s="1"/>
  <c r="P107" i="3"/>
  <c r="V107" i="3" s="1"/>
  <c r="P188" i="3"/>
  <c r="Y188" i="3" s="1"/>
  <c r="P183" i="3"/>
  <c r="Y183" i="3" s="1"/>
  <c r="P161" i="3"/>
  <c r="P162" i="3"/>
  <c r="V162" i="3" s="1"/>
  <c r="P142" i="3"/>
  <c r="V142" i="3" s="1"/>
  <c r="P131" i="3"/>
  <c r="V131" i="3" s="1"/>
  <c r="P120" i="3"/>
  <c r="P33" i="3"/>
  <c r="Y33" i="3" s="1"/>
  <c r="P158" i="3"/>
  <c r="P179" i="3"/>
  <c r="V179" i="3" s="1"/>
  <c r="P175" i="3"/>
  <c r="P153" i="3"/>
  <c r="V153" i="3" s="1"/>
  <c r="P165" i="3"/>
  <c r="P155" i="3"/>
  <c r="Y155" i="3" s="1"/>
  <c r="P146" i="3"/>
  <c r="V146" i="3" s="1"/>
  <c r="P126" i="3"/>
  <c r="V126" i="3" s="1"/>
  <c r="P134" i="3"/>
  <c r="Y134" i="3" s="1"/>
  <c r="P128" i="3"/>
  <c r="P121" i="3"/>
  <c r="V121" i="3" s="1"/>
  <c r="P115" i="3"/>
  <c r="Y115" i="3" s="1"/>
  <c r="P109" i="3"/>
  <c r="Y109" i="3" s="1"/>
  <c r="P103" i="3"/>
  <c r="Y103" i="3" s="1"/>
  <c r="P97" i="3"/>
  <c r="V97" i="3" s="1"/>
  <c r="P91" i="3"/>
  <c r="V91" i="3" s="1"/>
  <c r="P85" i="3"/>
  <c r="Y85" i="3" s="1"/>
  <c r="P79" i="3"/>
  <c r="P73" i="3"/>
  <c r="P70" i="3"/>
  <c r="P71" i="3"/>
  <c r="P56" i="3"/>
  <c r="P48" i="3"/>
  <c r="V48" i="3" s="1"/>
  <c r="P42" i="3"/>
  <c r="P36" i="3"/>
  <c r="Y36" i="3" s="1"/>
  <c r="P30" i="3"/>
  <c r="Y30" i="3" s="1"/>
  <c r="P24" i="3"/>
  <c r="Y24" i="3" s="1"/>
  <c r="P18" i="3"/>
  <c r="Y18" i="3" s="1"/>
  <c r="P12" i="3"/>
  <c r="V12" i="3" s="1"/>
  <c r="P6" i="3"/>
  <c r="V6" i="3" s="1"/>
  <c r="P89" i="3"/>
  <c r="V89" i="3" s="1"/>
  <c r="K235" i="2"/>
  <c r="L243" i="2"/>
  <c r="M243" i="2" s="1"/>
  <c r="K225" i="2"/>
  <c r="K224" i="2"/>
  <c r="K242" i="2"/>
  <c r="L221" i="2"/>
  <c r="M221" i="2" s="1"/>
  <c r="K211" i="2"/>
  <c r="K232" i="2"/>
  <c r="L231" i="2"/>
  <c r="M231" i="2" s="1"/>
  <c r="L226" i="2"/>
  <c r="M226" i="2" s="1"/>
  <c r="K254" i="2"/>
  <c r="L214" i="2"/>
  <c r="M214" i="2" s="1"/>
  <c r="K229" i="2"/>
  <c r="T175" i="3"/>
  <c r="U175" i="3" s="1"/>
  <c r="L222" i="2"/>
  <c r="M222" i="2" s="1"/>
  <c r="V20" i="7"/>
  <c r="L234" i="2"/>
  <c r="M234" i="2" s="1"/>
  <c r="K241" i="2"/>
  <c r="K260" i="2"/>
  <c r="L239" i="2"/>
  <c r="M239" i="2" s="1"/>
  <c r="L238" i="2"/>
  <c r="M238" i="2" s="1"/>
  <c r="L253" i="2"/>
  <c r="M253" i="2" s="1"/>
  <c r="K261" i="2"/>
  <c r="L274" i="2"/>
  <c r="M274" i="2" s="1"/>
  <c r="L272" i="2"/>
  <c r="M272" i="2" s="1"/>
  <c r="L223" i="2"/>
  <c r="M223" i="2" s="1"/>
  <c r="L228" i="2"/>
  <c r="M228" i="2" s="1"/>
  <c r="K264" i="2"/>
  <c r="K255" i="2"/>
  <c r="L249" i="2"/>
  <c r="M249" i="2" s="1"/>
  <c r="L230" i="2"/>
  <c r="M230" i="2" s="1"/>
  <c r="K275" i="2"/>
  <c r="K265" i="2"/>
  <c r="L233" i="2"/>
  <c r="M233" i="2" s="1"/>
  <c r="L227" i="2"/>
  <c r="M227" i="2" s="1"/>
  <c r="T161" i="3"/>
  <c r="U161" i="3" s="1"/>
  <c r="T181" i="3"/>
  <c r="U181" i="3" s="1"/>
  <c r="T185" i="3"/>
  <c r="U185" i="3" s="1"/>
  <c r="T154" i="3"/>
  <c r="U154" i="3" s="1"/>
  <c r="T39" i="3"/>
  <c r="U39" i="3" s="1"/>
  <c r="T10" i="3"/>
  <c r="U10" i="3" s="1"/>
  <c r="T104" i="3"/>
  <c r="U104" i="3" s="1"/>
  <c r="T84" i="3"/>
  <c r="U84" i="3" s="1"/>
  <c r="T67" i="3"/>
  <c r="U67" i="3" s="1"/>
  <c r="T65" i="3"/>
  <c r="U65" i="3" s="1"/>
  <c r="T40" i="3"/>
  <c r="U40" i="3" s="1"/>
  <c r="T172" i="3"/>
  <c r="U172" i="3" s="1"/>
  <c r="T93" i="3"/>
  <c r="U93" i="3" s="1"/>
  <c r="T64" i="3"/>
  <c r="U64" i="3" s="1"/>
  <c r="T53" i="3"/>
  <c r="U53" i="3" s="1"/>
  <c r="T32" i="3"/>
  <c r="U32" i="3" s="1"/>
  <c r="T141" i="3"/>
  <c r="U141" i="3" s="1"/>
  <c r="T24" i="3"/>
  <c r="U24" i="3" s="1"/>
  <c r="T119" i="3"/>
  <c r="U119" i="3" s="1"/>
  <c r="T92" i="3"/>
  <c r="U92" i="3" s="1"/>
  <c r="T43" i="3"/>
  <c r="U43" i="3" s="1"/>
  <c r="L263" i="2"/>
  <c r="M263" i="2" s="1"/>
  <c r="T69" i="3"/>
  <c r="U69" i="3" s="1"/>
  <c r="L251" i="2"/>
  <c r="M251" i="2" s="1"/>
  <c r="T127" i="3"/>
  <c r="U127" i="3" s="1"/>
  <c r="T103" i="3"/>
  <c r="U103" i="3" s="1"/>
  <c r="K273" i="2"/>
  <c r="K237" i="2"/>
  <c r="K236" i="2"/>
  <c r="L258" i="2"/>
  <c r="M258" i="2" s="1"/>
  <c r="L205" i="2"/>
  <c r="M205" i="2" s="1"/>
  <c r="L268" i="2"/>
  <c r="M268" i="2" s="1"/>
  <c r="L269" i="2"/>
  <c r="M269" i="2" s="1"/>
  <c r="K243" i="2"/>
  <c r="K207" i="2"/>
  <c r="K240" i="2"/>
  <c r="T155" i="3"/>
  <c r="U155" i="3" s="1"/>
  <c r="T85" i="3"/>
  <c r="U85" i="3" s="1"/>
  <c r="K247" i="2"/>
  <c r="T111" i="3"/>
  <c r="U111" i="3" s="1"/>
  <c r="T13" i="3"/>
  <c r="U13" i="3" s="1"/>
  <c r="L271" i="2"/>
  <c r="M271" i="2" s="1"/>
  <c r="T44" i="3"/>
  <c r="U44" i="3" s="1"/>
  <c r="T42" i="3"/>
  <c r="U42" i="3" s="1"/>
  <c r="T33" i="3"/>
  <c r="U33" i="3" s="1"/>
  <c r="T15" i="3"/>
  <c r="U15" i="3" s="1"/>
  <c r="T183" i="3"/>
  <c r="U183" i="3" s="1"/>
  <c r="T144" i="3"/>
  <c r="U144" i="3" s="1"/>
  <c r="T187" i="3"/>
  <c r="U187" i="3" s="1"/>
  <c r="L256" i="2"/>
  <c r="M256" i="2" s="1"/>
  <c r="T62" i="3"/>
  <c r="U62" i="3" s="1"/>
  <c r="T50" i="3"/>
  <c r="U50" i="3" s="1"/>
  <c r="T169" i="3"/>
  <c r="U169" i="3" s="1"/>
  <c r="T173" i="3"/>
  <c r="U173" i="3" s="1"/>
  <c r="T66" i="3"/>
  <c r="U66" i="3" s="1"/>
  <c r="T5" i="3"/>
  <c r="U5" i="3" s="1"/>
  <c r="L267" i="2"/>
  <c r="M267" i="2" s="1"/>
  <c r="T72" i="3"/>
  <c r="U72" i="3" s="1"/>
  <c r="T156" i="3"/>
  <c r="U156" i="3" s="1"/>
  <c r="T145" i="3"/>
  <c r="U145" i="3" s="1"/>
  <c r="T137" i="3"/>
  <c r="U137" i="3" s="1"/>
  <c r="T128" i="3"/>
  <c r="U128" i="3" s="1"/>
  <c r="T118" i="3"/>
  <c r="U118" i="3" s="1"/>
  <c r="T113" i="3"/>
  <c r="U113" i="3" s="1"/>
  <c r="T86" i="3"/>
  <c r="U86" i="3" s="1"/>
  <c r="T54" i="3"/>
  <c r="U54" i="3" s="1"/>
  <c r="T57" i="3"/>
  <c r="U57" i="3" s="1"/>
  <c r="T41" i="3"/>
  <c r="U41" i="3" s="1"/>
  <c r="T30" i="3"/>
  <c r="U30" i="3" s="1"/>
  <c r="T19" i="3"/>
  <c r="U19" i="3" s="1"/>
  <c r="T178" i="3"/>
  <c r="U178" i="3" s="1"/>
  <c r="K262" i="2"/>
  <c r="L266" i="2"/>
  <c r="M266" i="2" s="1"/>
  <c r="T106" i="3"/>
  <c r="U106" i="3" s="1"/>
  <c r="T105" i="3"/>
  <c r="U105" i="3" s="1"/>
  <c r="T79" i="3"/>
  <c r="U79" i="3" s="1"/>
  <c r="T59" i="3"/>
  <c r="U59" i="3" s="1"/>
  <c r="T21" i="3"/>
  <c r="U21" i="3" s="1"/>
  <c r="T8" i="3"/>
  <c r="U8" i="3" s="1"/>
  <c r="L270" i="2"/>
  <c r="M270" i="2" s="1"/>
  <c r="T61" i="3"/>
  <c r="U61" i="3" s="1"/>
  <c r="T35" i="3"/>
  <c r="U35" i="3" s="1"/>
  <c r="T16" i="3"/>
  <c r="U16" i="3" s="1"/>
  <c r="T152" i="3"/>
  <c r="U152" i="3" s="1"/>
  <c r="T174" i="3"/>
  <c r="U174" i="3" s="1"/>
  <c r="T18" i="3"/>
  <c r="U18" i="3" s="1"/>
  <c r="L210" i="2"/>
  <c r="M210" i="2" s="1"/>
  <c r="T51" i="3"/>
  <c r="U51" i="3" s="1"/>
  <c r="T36" i="3"/>
  <c r="U36" i="3" s="1"/>
  <c r="T25" i="3"/>
  <c r="U25" i="3" s="1"/>
  <c r="T7" i="3"/>
  <c r="U7" i="3" s="1"/>
  <c r="T180" i="3"/>
  <c r="U180" i="3" s="1"/>
  <c r="V45" i="3" l="1"/>
  <c r="K350" i="2"/>
  <c r="P368" i="3"/>
  <c r="V128" i="3"/>
  <c r="V84" i="3"/>
  <c r="V105" i="3"/>
  <c r="V67" i="3"/>
  <c r="V174" i="3"/>
  <c r="V169" i="3"/>
  <c r="V144" i="3"/>
  <c r="V21" i="3"/>
  <c r="V57" i="3"/>
  <c r="V59" i="3"/>
  <c r="V181" i="3"/>
  <c r="V44" i="3"/>
  <c r="V43" i="3"/>
  <c r="V54" i="3"/>
  <c r="V92" i="3"/>
  <c r="V154" i="3"/>
  <c r="V19" i="3"/>
  <c r="V93" i="3"/>
  <c r="V113" i="3"/>
  <c r="V141" i="3"/>
  <c r="V18" i="3"/>
  <c r="V118" i="3"/>
  <c r="V172" i="3"/>
  <c r="V66" i="3"/>
  <c r="V51" i="3"/>
  <c r="V50" i="3"/>
  <c r="V187" i="3"/>
  <c r="V79" i="3"/>
  <c r="V61" i="3"/>
  <c r="V137" i="3"/>
  <c r="V7" i="3"/>
  <c r="V185" i="3"/>
  <c r="V40" i="3"/>
  <c r="V65" i="3"/>
  <c r="V106" i="3"/>
  <c r="V155" i="3"/>
  <c r="V145" i="3"/>
  <c r="V104" i="3"/>
  <c r="V25" i="3"/>
  <c r="V111" i="3"/>
  <c r="V24" i="3"/>
  <c r="V30" i="3"/>
  <c r="V119" i="3"/>
  <c r="V33" i="3"/>
  <c r="V178" i="3"/>
  <c r="V173" i="3"/>
  <c r="V69" i="3"/>
  <c r="V53" i="3"/>
  <c r="V152" i="3"/>
  <c r="V127" i="3"/>
  <c r="V35" i="3"/>
  <c r="V36" i="3"/>
  <c r="V86" i="3"/>
  <c r="V15" i="3"/>
  <c r="V183" i="3"/>
  <c r="V166" i="3"/>
  <c r="V42" i="3"/>
  <c r="V85" i="3"/>
  <c r="V161" i="3"/>
  <c r="V52" i="3"/>
  <c r="V175" i="3"/>
  <c r="V13" i="3"/>
  <c r="V72" i="3"/>
  <c r="V148" i="3"/>
  <c r="V81" i="3"/>
  <c r="V147" i="3"/>
  <c r="V39" i="3"/>
  <c r="V180" i="3"/>
  <c r="V5" i="3"/>
  <c r="V62" i="3"/>
  <c r="V103" i="3"/>
  <c r="V64" i="3"/>
  <c r="V130" i="3"/>
  <c r="V149" i="3"/>
  <c r="V16" i="3"/>
  <c r="V168" i="3"/>
  <c r="V101" i="3"/>
  <c r="V157" i="3"/>
  <c r="V158" i="3"/>
  <c r="V186" i="3"/>
  <c r="V80" i="3"/>
  <c r="V117" i="3"/>
  <c r="V22" i="3"/>
  <c r="V38" i="3"/>
  <c r="V9" i="3"/>
  <c r="V34" i="3"/>
  <c r="V37" i="3"/>
  <c r="V28" i="3"/>
  <c r="V60" i="3"/>
  <c r="V47" i="3"/>
  <c r="V139" i="3"/>
  <c r="V82" i="3"/>
  <c r="V71" i="3"/>
  <c r="V163" i="3"/>
  <c r="V73" i="3"/>
  <c r="V75" i="3"/>
  <c r="V165" i="3"/>
  <c r="V94" i="3"/>
  <c r="V100" i="3"/>
  <c r="V27" i="3"/>
  <c r="V29" i="3"/>
  <c r="V98" i="3"/>
  <c r="V120" i="3"/>
  <c r="V188" i="3"/>
  <c r="V109" i="3"/>
  <c r="V56" i="3"/>
  <c r="V123" i="3"/>
  <c r="V68" i="3"/>
  <c r="V70" i="3"/>
  <c r="V164" i="3"/>
  <c r="V46" i="3"/>
  <c r="V134" i="3"/>
  <c r="V8" i="3"/>
  <c r="V41" i="3"/>
  <c r="V156" i="3"/>
  <c r="V32" i="3"/>
  <c r="V10" i="3"/>
  <c r="V78" i="3"/>
  <c r="V116" i="3"/>
  <c r="V96" i="3"/>
  <c r="V63" i="3"/>
  <c r="Y108" i="3"/>
  <c r="Y171" i="3"/>
  <c r="Y163" i="3"/>
  <c r="Y176" i="3"/>
  <c r="Y83" i="3"/>
  <c r="Y139" i="3"/>
  <c r="Y96" i="3"/>
  <c r="Y143" i="3"/>
  <c r="Y99" i="3"/>
  <c r="Y52" i="3"/>
  <c r="Y123" i="3"/>
  <c r="Y167" i="3"/>
  <c r="Y46" i="3"/>
  <c r="Y107" i="3"/>
  <c r="Y56" i="3"/>
  <c r="Y166" i="3"/>
  <c r="Y130" i="3"/>
  <c r="Y168" i="3"/>
  <c r="Y71" i="3"/>
  <c r="Y63" i="3"/>
  <c r="Y34" i="3"/>
  <c r="Y164" i="3"/>
  <c r="Y117" i="3"/>
  <c r="O12" i="1"/>
  <c r="Y77" i="3"/>
  <c r="Y142" i="3"/>
  <c r="Y120" i="3"/>
  <c r="Y150" i="3"/>
  <c r="Y165" i="3"/>
  <c r="Y76" i="3"/>
  <c r="Y31" i="3"/>
  <c r="Y82" i="3"/>
  <c r="Y162" i="3"/>
  <c r="O9" i="1"/>
  <c r="Y179" i="3"/>
  <c r="Y48" i="3"/>
  <c r="Y148" i="3"/>
  <c r="Y70" i="3"/>
  <c r="Y49" i="3"/>
  <c r="Y37" i="3"/>
  <c r="Y47" i="3"/>
  <c r="Y158" i="3"/>
  <c r="Y73" i="3"/>
  <c r="M12" i="1"/>
  <c r="Y81" i="3"/>
  <c r="Y101" i="3"/>
  <c r="Y149" i="3"/>
  <c r="Y89" i="3"/>
  <c r="M10" i="1"/>
  <c r="Y57" i="3"/>
  <c r="M5" i="1"/>
  <c r="M7" i="1"/>
  <c r="O5" i="1"/>
  <c r="Y116" i="3"/>
  <c r="O10" i="1"/>
  <c r="O7" i="1"/>
  <c r="Y11" i="3"/>
  <c r="Y17" i="3"/>
  <c r="Y74" i="3"/>
  <c r="Y23" i="3"/>
  <c r="Y91" i="3"/>
  <c r="Y7" i="3"/>
  <c r="Y169" i="3"/>
  <c r="Y79" i="3"/>
  <c r="Y20" i="3"/>
  <c r="Y93" i="3"/>
  <c r="Y121" i="3"/>
  <c r="Y137" i="3"/>
  <c r="Y95" i="3"/>
  <c r="Y184" i="3"/>
  <c r="Y124" i="3"/>
  <c r="Y146" i="3"/>
  <c r="Y14" i="3"/>
  <c r="Y12" i="3"/>
  <c r="Y170" i="3"/>
  <c r="Y6" i="3"/>
  <c r="Y144" i="3"/>
  <c r="Y114" i="3"/>
  <c r="Y141" i="3"/>
  <c r="Y92" i="3"/>
  <c r="Y151" i="3"/>
  <c r="Y127" i="3"/>
  <c r="Y128" i="3"/>
  <c r="Y126" i="3"/>
  <c r="Y152" i="3"/>
  <c r="Y111" i="3"/>
  <c r="Y131" i="3"/>
  <c r="Y42" i="3"/>
  <c r="Y154" i="3"/>
  <c r="Y161" i="3"/>
  <c r="Y122" i="3"/>
  <c r="Y175" i="3"/>
  <c r="Y58" i="3"/>
  <c r="Y153" i="3"/>
  <c r="Y86" i="3"/>
  <c r="Y87" i="3"/>
  <c r="Y140" i="3"/>
  <c r="Y129" i="3"/>
  <c r="Y69" i="3"/>
  <c r="Y97" i="3"/>
  <c r="Y145" i="3"/>
  <c r="Y110" i="3"/>
  <c r="Y138" i="3"/>
  <c r="Y135" i="3"/>
  <c r="Y112" i="3"/>
  <c r="Y136" i="3"/>
  <c r="Y132" i="3"/>
  <c r="Y125" i="3"/>
  <c r="Y26" i="3"/>
  <c r="Y102" i="3"/>
  <c r="Y90" i="3"/>
  <c r="Y88" i="3"/>
  <c r="Y5" i="3"/>
  <c r="N21" i="1"/>
  <c r="Y368" i="3" l="1"/>
  <c r="L21" i="1"/>
  <c r="M21" i="1"/>
  <c r="O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K3" authorId="0" shapeId="0" xr:uid="{00000000-0006-0000-0000-000001000000}">
      <text>
        <r>
          <rPr>
            <sz val="9"/>
            <color indexed="81"/>
            <rFont val="Tahoma"/>
            <family val="2"/>
          </rPr>
          <t>Les délais de retard se calculent généralement en jours ouvrés (c'est-à-dire les jours effectivement travaillés, en excluant les week-ends et jours fériés). Ce mode de calcul est fréquent, surtout dans les contrats et contextes légaux ou commerciaux.</t>
        </r>
      </text>
    </comment>
    <comment ref="K13" authorId="0" shapeId="0" xr:uid="{00000000-0006-0000-0000-000002000000}">
      <text>
        <r>
          <rPr>
            <sz val="9"/>
            <color indexed="81"/>
            <rFont val="Tahoma"/>
            <family val="2"/>
          </rPr>
          <t>Les délais de retard se calculent généralement en jours ouvrés (c'est-à-dire les jours effectivement travaillés, en excluant les week-ends et jours fériés). Ce mode de calcul est fréquent, surtout dans les contrats et contextes légaux ou commerciaux.</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HP</author>
    <author>DELL</author>
  </authors>
  <commentList>
    <comment ref="G4" authorId="0" shapeId="0" xr:uid="{00000000-0006-0000-0400-000001000000}">
      <text>
        <r>
          <rPr>
            <b/>
            <sz val="9"/>
            <color indexed="81"/>
            <rFont val="Tahoma"/>
            <family val="2"/>
          </rPr>
          <t>HP:</t>
        </r>
        <r>
          <rPr>
            <sz val="9"/>
            <color indexed="81"/>
            <rFont val="Tahoma"/>
            <family val="2"/>
          </rPr>
          <t xml:space="preserve">
MATERIEL
HTIllégal</t>
        </r>
      </text>
    </comment>
    <comment ref="O89" authorId="1" shapeId="0" xr:uid="{458EC581-D6BD-4835-AAC8-ADA6874277CC}">
      <text>
        <r>
          <rPr>
            <b/>
            <sz val="9"/>
            <color indexed="81"/>
            <rFont val="Tahoma"/>
            <family val="2"/>
          </rPr>
          <t>DELL:</t>
        </r>
        <r>
          <rPr>
            <sz val="9"/>
            <color indexed="81"/>
            <rFont val="Tahoma"/>
            <family val="2"/>
          </rPr>
          <t xml:space="preserve">
⚠️ La déduction n'est pas une avance, mais un remboursement de carburant que le locataire a acheté pour l'équipement/véhicule loué. La TVA reste calculée sur le montant brut de la location (3 800 000), confirmant que le carburant est un élément distinct de la prestation de location.
Chez le Bailleur (Propriétaire)
À l'émission de la facture
N° Compte Libellé Débit Crédit
411 Client (locataire) 4 306 500 
6055 Carburant (prise en charge de la dépense) 177 500 
706 Revenus locatifs  3 800 000
4431 TVA facturée  684 000
Totaux 4 484 000 4 484 000
</t>
        </r>
      </text>
    </comment>
    <comment ref="C334" authorId="1" shapeId="0" xr:uid="{B6E92214-310D-4F1B-8509-5B6645A5A614}">
      <text>
        <r>
          <rPr>
            <b/>
            <sz val="9"/>
            <color indexed="81"/>
            <rFont val="Tahoma"/>
            <family val="2"/>
          </rPr>
          <t>DELL:</t>
        </r>
        <r>
          <rPr>
            <sz val="9"/>
            <color indexed="81"/>
            <rFont val="Tahoma"/>
            <family val="2"/>
          </rPr>
          <t xml:space="preserve">
date de depot réel 17/03/2026 du au retard de transmision bu BC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G248" authorId="0" shapeId="0" xr:uid="{C900131B-7BCA-4548-BE90-46EDAD4D691E}">
      <text>
        <r>
          <rPr>
            <b/>
            <sz val="9"/>
            <color indexed="81"/>
            <rFont val="Tahoma"/>
            <family val="2"/>
          </rPr>
          <t>DELL:</t>
        </r>
        <r>
          <rPr>
            <sz val="9"/>
            <color indexed="81"/>
            <rFont val="Tahoma"/>
            <family val="2"/>
          </rPr>
          <t xml:space="preserve">
30 JOURS NET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<sst xmlns="http://schemas.openxmlformats.org/spreadsheetml/2006/main" count="8478" uniqueCount="849">
  <si>
    <t>N° BC</t>
  </si>
  <si>
    <t>LISTES DES FACTURES</t>
  </si>
  <si>
    <t>Total</t>
  </si>
  <si>
    <t xml:space="preserve">DATE DE PAIEMENT </t>
  </si>
  <si>
    <t xml:space="preserve">MODE </t>
  </si>
  <si>
    <t xml:space="preserve">REFERENCE </t>
  </si>
  <si>
    <t>ETS PAYEUR</t>
  </si>
  <si>
    <t>CLIENTS</t>
  </si>
  <si>
    <t>BNI</t>
  </si>
  <si>
    <t>SGCI</t>
  </si>
  <si>
    <t>BDU</t>
  </si>
  <si>
    <t>ORABANK</t>
  </si>
  <si>
    <t>FACTURE</t>
  </si>
  <si>
    <t>ECOBANK</t>
  </si>
  <si>
    <t>NSIA</t>
  </si>
  <si>
    <t>OBSERVATIONS</t>
  </si>
  <si>
    <t>BICICI</t>
  </si>
  <si>
    <t>BGFIBANK</t>
  </si>
  <si>
    <t>DATE</t>
  </si>
  <si>
    <t>NOM CLIENT</t>
  </si>
  <si>
    <t>MONTANT HT FACTURE</t>
  </si>
  <si>
    <t>RESTE A FACTURER</t>
  </si>
  <si>
    <t>TAUX D'EXECUTION</t>
  </si>
  <si>
    <t xml:space="preserve">CONDITION DE REGLEMENT CLIENTS </t>
  </si>
  <si>
    <t xml:space="preserve">CLIENT </t>
  </si>
  <si>
    <t>CONDITION DE PAIEMENT</t>
  </si>
  <si>
    <t>DATE DE FACTURATION</t>
  </si>
  <si>
    <t>MONTANT HT VALIDE</t>
  </si>
  <si>
    <t>MONTANT HT INITIAL</t>
  </si>
  <si>
    <t>DELAIS DE PAIEMENT FACTURES EN JOUR</t>
  </si>
  <si>
    <t>ACTIONS A MENER</t>
  </si>
  <si>
    <t>NOMBRE DE JOUR DE RETARD</t>
  </si>
  <si>
    <t>ACTION DE RECOUVREMENT</t>
  </si>
  <si>
    <t>FAIRE 1ERE RELANCE</t>
  </si>
  <si>
    <t>FAIRE 2EME RELANCE</t>
  </si>
  <si>
    <t>FAIRE 3EME RELANCE</t>
  </si>
  <si>
    <t>OUVRIR UN LITIGE</t>
  </si>
  <si>
    <t>DELAI</t>
  </si>
  <si>
    <t>DATE LIMITE</t>
  </si>
  <si>
    <t>STATUT</t>
  </si>
  <si>
    <t>MONTANT PAYE</t>
  </si>
  <si>
    <t>DATE PAIEMENT</t>
  </si>
  <si>
    <t>NUM DE FACTURE</t>
  </si>
  <si>
    <t>CLIENT</t>
  </si>
  <si>
    <t>MONTANT HT</t>
  </si>
  <si>
    <t>ACOMPTE SUR HT</t>
  </si>
  <si>
    <t>TVA</t>
  </si>
  <si>
    <t>MONTANT TTC</t>
  </si>
  <si>
    <t>ACOMPTE SUR TTC</t>
  </si>
  <si>
    <t>NET A PAYER</t>
  </si>
  <si>
    <t>MONTANT BC HT</t>
  </si>
  <si>
    <t>INTERVALLE BALANCE</t>
  </si>
  <si>
    <t>INTERVALLE DE BALANCE</t>
  </si>
  <si>
    <t>[0;29]</t>
  </si>
  <si>
    <t>[30;59]</t>
  </si>
  <si>
    <t>[60;89]</t>
  </si>
  <si>
    <t>[90;120]</t>
  </si>
  <si>
    <t>ENTITE</t>
  </si>
  <si>
    <t>&gt;120</t>
  </si>
  <si>
    <t>CATEGORIE CLIENT</t>
  </si>
  <si>
    <t>ENTREPRISE</t>
  </si>
  <si>
    <t>PARTICULIER</t>
  </si>
  <si>
    <t>CATEGORIE</t>
  </si>
  <si>
    <t>ESPECES</t>
  </si>
  <si>
    <t>DATE DE DEPOT</t>
  </si>
  <si>
    <t>COMPTE TRESORERIE</t>
  </si>
  <si>
    <t>TYPE MONNAIE</t>
  </si>
  <si>
    <t>SCRIPTURALE</t>
  </si>
  <si>
    <t>UBA</t>
  </si>
  <si>
    <t>CAISSE</t>
  </si>
  <si>
    <t>FIDUCIAIRE</t>
  </si>
  <si>
    <t>ELECTRONIQUE</t>
  </si>
  <si>
    <t>CHEQUE_VIREMENT_CARTE</t>
  </si>
  <si>
    <t>BILLET_ESPECES</t>
  </si>
  <si>
    <t>TRANSACTIONS VIA APPLICATION</t>
  </si>
  <si>
    <t>NATURE DE LA MONNAIE</t>
  </si>
  <si>
    <t>DOMICILIATION PAIEMENT</t>
  </si>
  <si>
    <t>MONTANT RECOUVRE</t>
  </si>
  <si>
    <t>RECAPITULATIF DES PAIEMENT</t>
  </si>
  <si>
    <t>ID BC UNIQUE</t>
  </si>
  <si>
    <t>MONTANT HT BIEN</t>
  </si>
  <si>
    <t>MONTANT HT SERVICE</t>
  </si>
  <si>
    <t>TYPE DE RECETTE</t>
  </si>
  <si>
    <t>HT</t>
  </si>
  <si>
    <t>TTC</t>
  </si>
  <si>
    <t>MONTANT DU</t>
  </si>
  <si>
    <t>NUMERO</t>
  </si>
  <si>
    <t>BOITE POSTALE</t>
  </si>
  <si>
    <t>TELEPHONE</t>
  </si>
  <si>
    <t>SOLDE N-1</t>
  </si>
  <si>
    <t>SOLDE N</t>
  </si>
  <si>
    <t>CORRESPONDANT</t>
  </si>
  <si>
    <t>SOLDE SUR FACTURE</t>
  </si>
  <si>
    <t xml:space="preserve"> </t>
  </si>
  <si>
    <t>ANNULATION DE LA PRESTATION PAR LE CLIENT</t>
  </si>
  <si>
    <t>PERIODE DEFINIE</t>
  </si>
  <si>
    <t>N° LIGNE_RF</t>
  </si>
  <si>
    <t>REGIME FISCALE</t>
  </si>
  <si>
    <t>DESIGNATION</t>
  </si>
  <si>
    <t>CODE TVA</t>
  </si>
  <si>
    <t>KENAM S</t>
  </si>
  <si>
    <t>PFO</t>
  </si>
  <si>
    <t>KOIRA BTP</t>
  </si>
  <si>
    <t>AFRIK BETON</t>
  </si>
  <si>
    <t>SOGENA</t>
  </si>
  <si>
    <t>M IBRAHIM SALHAB</t>
  </si>
  <si>
    <t>KOIRA SA</t>
  </si>
  <si>
    <t>BETEC-CI</t>
  </si>
  <si>
    <t>SCORE</t>
  </si>
  <si>
    <t>LOCATION DE CAMIONS</t>
  </si>
  <si>
    <t>VENTE DE MATERIEL</t>
  </si>
  <si>
    <t>LOCATION DE CAMION</t>
  </si>
  <si>
    <t>AVOIR SUR VENTE DE CONTREPLAQUETS</t>
  </si>
  <si>
    <t>LOCATION DE MACHINE</t>
  </si>
  <si>
    <t>ACHAT DE MATERIEL</t>
  </si>
  <si>
    <t>LOCATION DE MACHINES</t>
  </si>
  <si>
    <t>TVAF</t>
  </si>
  <si>
    <t>SOGIMAS</t>
  </si>
  <si>
    <t>1205106 C</t>
  </si>
  <si>
    <t>16 BP 387 ABIDJAN 16</t>
  </si>
  <si>
    <t>RNI</t>
  </si>
  <si>
    <t>27 22 48 45 45</t>
  </si>
  <si>
    <t>01 BP 5676 ABIDJAN 01 </t>
  </si>
  <si>
    <t>1750736 P</t>
  </si>
  <si>
    <t>26 BP 1121 Abidjan 26</t>
  </si>
  <si>
    <t> 27 21 22 22 21</t>
  </si>
  <si>
    <t>1600297 K</t>
  </si>
  <si>
    <t>27 22 54 54 41</t>
  </si>
  <si>
    <t>1332571 T</t>
  </si>
  <si>
    <t>1924576 J</t>
  </si>
  <si>
    <t>30 JOURS DATE DE RECEPTION</t>
  </si>
  <si>
    <t>15 JOURS MAX DATE DE RECEPTION</t>
  </si>
  <si>
    <t>LOCATION ENGINN</t>
  </si>
  <si>
    <t>ACHAT FER BETON</t>
  </si>
  <si>
    <t>LOCATION ENGIN ACHAT FER BETON, GRAVIER, SABLE</t>
  </si>
  <si>
    <t xml:space="preserve">40 JOURS DATE DE RECEPTION </t>
  </si>
  <si>
    <t>LOCATION CAMION PLATEAU</t>
  </si>
  <si>
    <t>ACHAT MATERIAUX</t>
  </si>
  <si>
    <t>PFO CONSTRUCTION</t>
  </si>
  <si>
    <t>ABIDJAN COCODY BD LATRILLE APRES SODEMI</t>
  </si>
  <si>
    <t>ACTIVITE</t>
  </si>
  <si>
    <t>SOCOPRIX – RIVIERA TRIANGLE – IMMEUBLE TECHNIBAT 1er Etage</t>
  </si>
  <si>
    <t>GENIE CIVIL</t>
  </si>
  <si>
    <t>Abidjan, Yopougon, Zone industrielle, Lots N°14, 14 bis et N°564, Ilot N°56, </t>
  </si>
  <si>
    <t>Rue des Brasseurs, Imm. Rive Droite, 3ème étage - Zone 3</t>
  </si>
  <si>
    <t>0818080 A</t>
  </si>
  <si>
    <t>03 BP 2176 Abidjan 03</t>
  </si>
  <si>
    <t>Rue des Points aux Fumeurs - Zone Industrielle Vridi</t>
  </si>
  <si>
    <t>27 21 27 49 81</t>
  </si>
  <si>
    <t>Commerce général de produits importés</t>
  </si>
  <si>
    <t>Cocody Angré 7ieme Tranche, Abidjan, Cote d'Ivoire</t>
  </si>
  <si>
    <t>Route et voirie</t>
  </si>
  <si>
    <t>IMPUTATION PROJET</t>
  </si>
  <si>
    <t>PROJET/CHANTIER</t>
  </si>
  <si>
    <t>654R7007</t>
  </si>
  <si>
    <t>342R8002</t>
  </si>
  <si>
    <t>348R8002</t>
  </si>
  <si>
    <t>CHEQUE</t>
  </si>
  <si>
    <t>3533908</t>
  </si>
  <si>
    <t>BTTP</t>
  </si>
  <si>
    <t>DG_FF</t>
  </si>
  <si>
    <t>305R8002</t>
  </si>
  <si>
    <t>255R8002</t>
  </si>
  <si>
    <t>1702539</t>
  </si>
  <si>
    <t>257B0301</t>
  </si>
  <si>
    <t>257B0209</t>
  </si>
  <si>
    <t>257B0204</t>
  </si>
  <si>
    <t>257B0101</t>
  </si>
  <si>
    <t>257B0100</t>
  </si>
  <si>
    <t>257B0104</t>
  </si>
  <si>
    <t>257B0207</t>
  </si>
  <si>
    <t>257B0203</t>
  </si>
  <si>
    <t>257B1102</t>
  </si>
  <si>
    <t>257B0401</t>
  </si>
  <si>
    <t>257B0005</t>
  </si>
  <si>
    <t>257B0001</t>
  </si>
  <si>
    <t>257B0003</t>
  </si>
  <si>
    <t>4059333</t>
  </si>
  <si>
    <t>015G4101</t>
  </si>
  <si>
    <t>019G4101</t>
  </si>
  <si>
    <t>018G4101</t>
  </si>
  <si>
    <t>017G4101</t>
  </si>
  <si>
    <t>016G4101</t>
  </si>
  <si>
    <t>006G4101</t>
  </si>
  <si>
    <t>950B0003</t>
  </si>
  <si>
    <t>010G4101</t>
  </si>
  <si>
    <t>011G4101</t>
  </si>
  <si>
    <t>0209134</t>
  </si>
  <si>
    <t>009G4101</t>
  </si>
  <si>
    <t>444B0200</t>
  </si>
  <si>
    <t>007G4101</t>
  </si>
  <si>
    <t>4059555</t>
  </si>
  <si>
    <t>348R7007</t>
  </si>
  <si>
    <t>1837405</t>
  </si>
  <si>
    <t>170R2101</t>
  </si>
  <si>
    <t>1837419</t>
  </si>
  <si>
    <t>1702641</t>
  </si>
  <si>
    <t>252B0005</t>
  </si>
  <si>
    <t>237B0002</t>
  </si>
  <si>
    <t>257B0109</t>
  </si>
  <si>
    <t>257B0200</t>
  </si>
  <si>
    <t>Colonne1</t>
  </si>
  <si>
    <t>252B0209</t>
  </si>
  <si>
    <t>257B0206</t>
  </si>
  <si>
    <t>257B109</t>
  </si>
  <si>
    <t>257B0801</t>
  </si>
  <si>
    <t>257B0504</t>
  </si>
  <si>
    <t>257B0105</t>
  </si>
  <si>
    <t>252B0402</t>
  </si>
  <si>
    <t>251B0206</t>
  </si>
  <si>
    <t>305R9012</t>
  </si>
  <si>
    <t>332R8002</t>
  </si>
  <si>
    <t>257B0403</t>
  </si>
  <si>
    <t>BC305691</t>
  </si>
  <si>
    <t>BC305371</t>
  </si>
  <si>
    <t>BC305692</t>
  </si>
  <si>
    <t>BC305716</t>
  </si>
  <si>
    <t>BC305723</t>
  </si>
  <si>
    <t>BC305724</t>
  </si>
  <si>
    <t>BC305688</t>
  </si>
  <si>
    <t>086_2025</t>
  </si>
  <si>
    <t xml:space="preserve">SOLDE REPORTE </t>
  </si>
  <si>
    <t>VENTE DE FER A BETON</t>
  </si>
  <si>
    <t>VENTE DE BOTTE DE FER</t>
  </si>
  <si>
    <t>BC25483</t>
  </si>
  <si>
    <t>BC305709</t>
  </si>
  <si>
    <t>BC103135</t>
  </si>
  <si>
    <t>BC305227</t>
  </si>
  <si>
    <t>BC305324</t>
  </si>
  <si>
    <t>5122015</t>
  </si>
  <si>
    <t>BRIDGE BANK</t>
  </si>
  <si>
    <t>DATE DE REMISE</t>
  </si>
  <si>
    <t>2376519</t>
  </si>
  <si>
    <t>1300496</t>
  </si>
  <si>
    <t>654R8002</t>
  </si>
  <si>
    <t>225R8002</t>
  </si>
  <si>
    <t>1300497</t>
  </si>
  <si>
    <t>655R8002</t>
  </si>
  <si>
    <t>0813732</t>
  </si>
  <si>
    <t>BMS-CI</t>
  </si>
  <si>
    <t>0836404</t>
  </si>
  <si>
    <t>0836407</t>
  </si>
  <si>
    <t>0813706</t>
  </si>
  <si>
    <t>1223196</t>
  </si>
  <si>
    <t>8106900</t>
  </si>
  <si>
    <t>0000987</t>
  </si>
  <si>
    <t>ORANGE BANK</t>
  </si>
  <si>
    <t>1223259</t>
  </si>
  <si>
    <t>1223220</t>
  </si>
  <si>
    <t>0824146</t>
  </si>
  <si>
    <t>KEITE MAHAMADOU</t>
  </si>
  <si>
    <t>8924146</t>
  </si>
  <si>
    <t>LIBELLE_REG</t>
  </si>
  <si>
    <t>BC305803</t>
  </si>
  <si>
    <t>BC305806</t>
  </si>
  <si>
    <t>BC305807</t>
  </si>
  <si>
    <t>BC305851</t>
  </si>
  <si>
    <t>BC305852</t>
  </si>
  <si>
    <t>BC305854</t>
  </si>
  <si>
    <t>BC305856</t>
  </si>
  <si>
    <t>BC305858</t>
  </si>
  <si>
    <t>OV</t>
  </si>
  <si>
    <t>7751</t>
  </si>
  <si>
    <t>082_2025</t>
  </si>
  <si>
    <t>7117593</t>
  </si>
  <si>
    <t>BC306006</t>
  </si>
  <si>
    <t>BC305987</t>
  </si>
  <si>
    <t>BC305741</t>
  </si>
  <si>
    <t>BC305912</t>
  </si>
  <si>
    <t>BC305959</t>
  </si>
  <si>
    <t>BC305994</t>
  </si>
  <si>
    <t>BC306003</t>
  </si>
  <si>
    <t>2184140</t>
  </si>
  <si>
    <t>0680060</t>
  </si>
  <si>
    <t>BC305913</t>
  </si>
  <si>
    <t>7415954</t>
  </si>
  <si>
    <t>AFRILAND FIRST BANK</t>
  </si>
  <si>
    <t xml:space="preserve">Faire le tri </t>
  </si>
  <si>
    <t>1837556</t>
  </si>
  <si>
    <t>MISE A DISPOSITION DE CITERNE A EAU ET CAMION PLATEAU</t>
  </si>
  <si>
    <t>BC306173</t>
  </si>
  <si>
    <t>MISE A DISPOSITION DE CAR, AUTOBETONNIERE ET PELLE/CHENILLE</t>
  </si>
  <si>
    <t>BC306191</t>
  </si>
  <si>
    <t>356R1005</t>
  </si>
  <si>
    <t>2182053</t>
  </si>
  <si>
    <t>LOCATION DE CAMION MOIS: MAI 2025</t>
  </si>
  <si>
    <t>LOCATION DE CAR DE TRANSPORT_MOIS: JUIN 2025</t>
  </si>
  <si>
    <t>LOCATION DE CAMION_MOIS: MAI 2025</t>
  </si>
  <si>
    <t>LOCATION D'ENGIN_MOIS: AOUT 2025</t>
  </si>
  <si>
    <t>LOCATION DE CAMION_MOIS: AOUT 2025</t>
  </si>
  <si>
    <t>LOCATION DE CAMION_MOIS: JUILLET 2025</t>
  </si>
  <si>
    <t>LOCATION DE BUS ET ENGINS_MOIS: MARS 2025</t>
  </si>
  <si>
    <t>LOCATION DE BUS ET ENGINS_MOIS: AOUT 2025</t>
  </si>
  <si>
    <t>LOCATION DE BUS ET ENGINS_MOIS: JUILLET 2025</t>
  </si>
  <si>
    <t>LOCATION DE BUS, CAMION ET ENGIN_MOIS: JUILLET 2025</t>
  </si>
  <si>
    <t>LOCATION DE BUS ET ENGIN_MOIS: AOUT 2025</t>
  </si>
  <si>
    <t>LOCATION DE BUS ET ENGIN_MOIS: JUILLET 2025</t>
  </si>
  <si>
    <t>LOCATION DE CAR DE TRANSPORT_MOIS: AOUT 2025</t>
  </si>
  <si>
    <t>LOCATION D'ENGIN_MOIS: JUILLET 2025</t>
  </si>
  <si>
    <t>LOCATION DE CAR DE TRANSPORT, CAMION ET ENGIN_MOIS: AOUT 2025</t>
  </si>
  <si>
    <t>LOCATION DE CAR DE TRANSPORT, CAMION ET ENGIN_MOIS: SEPTEMBRE 2025</t>
  </si>
  <si>
    <t>LOCATION DE CAMION_MOIS: JUIN 2025</t>
  </si>
  <si>
    <t>LOCATION DE CAMION_MOIS:  JUIN 2025</t>
  </si>
  <si>
    <t>MISE A DISPOSITION DE MATERIEL-MOIS: 09/2025</t>
  </si>
  <si>
    <t>MISE A DISPOSITION DE MATERIEL-MOIS: 10/2025</t>
  </si>
  <si>
    <t>TVANF</t>
  </si>
  <si>
    <t>MISE A DISPOSITION DE MATERIEL-MOIS: 07/2025</t>
  </si>
  <si>
    <t>BC306449</t>
  </si>
  <si>
    <t>BC306571</t>
  </si>
  <si>
    <t>BC306424</t>
  </si>
  <si>
    <t>BC306394</t>
  </si>
  <si>
    <t>BC606368</t>
  </si>
  <si>
    <t>BC306576</t>
  </si>
  <si>
    <t>BC306600</t>
  </si>
  <si>
    <t>BC306603</t>
  </si>
  <si>
    <t>BC306621</t>
  </si>
  <si>
    <t>BC306534</t>
  </si>
  <si>
    <t>BC306535</t>
  </si>
  <si>
    <t>BC306544</t>
  </si>
  <si>
    <t>BC306569</t>
  </si>
  <si>
    <t>BC306632</t>
  </si>
  <si>
    <t>MISE A DISPOSITION DE MATERIEL-MOIS: 08/2025</t>
  </si>
  <si>
    <t>BC306572</t>
  </si>
  <si>
    <t>BC306552</t>
  </si>
  <si>
    <t>BC306633</t>
  </si>
  <si>
    <t>BC306666</t>
  </si>
  <si>
    <t>03 BP 2176 ABIDJAN 03</t>
  </si>
  <si>
    <t xml:space="preserve">Abidjan, Vridi Rue Pointe des Fumeurs </t>
  </si>
  <si>
    <t>27 21 27 49 80/27 21 27 49 81</t>
  </si>
  <si>
    <t>MISE A DISPOSITION DE MATERIEL-MOIS: 11/2025</t>
  </si>
  <si>
    <t>GROUPE_REF</t>
  </si>
  <si>
    <t>230B0002</t>
  </si>
  <si>
    <t>255R1001</t>
  </si>
  <si>
    <t>261B0200</t>
  </si>
  <si>
    <t>444B0003</t>
  </si>
  <si>
    <t>250414</t>
  </si>
  <si>
    <t>1223200</t>
  </si>
  <si>
    <t>LOCATION DE CHARIOT</t>
  </si>
  <si>
    <t>LOCATION DE CAMION PLATEAU AA624GZ01</t>
  </si>
  <si>
    <t>BC102825</t>
  </si>
  <si>
    <t>BC25848</t>
  </si>
  <si>
    <t>BC25849</t>
  </si>
  <si>
    <t>BC103466</t>
  </si>
  <si>
    <t>BC103469</t>
  </si>
  <si>
    <t>BC14459</t>
  </si>
  <si>
    <t>ETS. MSSZ</t>
  </si>
  <si>
    <t>9410647 J</t>
  </si>
  <si>
    <t>05 BP 1120 ABIDJAN 05</t>
  </si>
  <si>
    <t>27 22 42 73 48</t>
  </si>
  <si>
    <t>27 21 22 22 21</t>
  </si>
  <si>
    <t>LOCALISATION</t>
  </si>
  <si>
    <t>CAI2501</t>
  </si>
  <si>
    <t>REMIS A DG FF</t>
  </si>
  <si>
    <t>BC103481</t>
  </si>
  <si>
    <t>BC306758</t>
  </si>
  <si>
    <t>BC103599</t>
  </si>
  <si>
    <t>BC306804</t>
  </si>
  <si>
    <t>BC306805</t>
  </si>
  <si>
    <t>MISE A DISPOSITION DE MATERIEL_OCTOBRE 2025</t>
  </si>
  <si>
    <t>BC306341</t>
  </si>
  <si>
    <t>BC306817</t>
  </si>
  <si>
    <t>MISE A DISPOSITION DE MATERIEL_MAI 2025</t>
  </si>
  <si>
    <t>BC306824</t>
  </si>
  <si>
    <t>MISE A DISPOSITION DE MATERIEL_AOUT 2025</t>
  </si>
  <si>
    <t>MISE A DISPOSITION DE MATERIEL_SEPTEMBRE 2025</t>
  </si>
  <si>
    <t>2184367</t>
  </si>
  <si>
    <t>101125-07/MF</t>
  </si>
  <si>
    <t>101125-08/MF</t>
  </si>
  <si>
    <t>MISE A DISPOSITON DE MATERIEL</t>
  </si>
  <si>
    <t>ANNULE ET REMPLACE LA FACTURE 00071 DU 22/07/25</t>
  </si>
  <si>
    <t>AGBOVILLE</t>
  </si>
  <si>
    <t>MISE A DISPOSITION DE MATERIEL-PELLES/ROUES</t>
  </si>
  <si>
    <t>MISE A DISPOSITION DE MATERIEL-NOVEMBRE 2025</t>
  </si>
  <si>
    <t>BC307026</t>
  </si>
  <si>
    <t>BC307179</t>
  </si>
  <si>
    <t>MISE A DISPOSITION DE MATERIEL-AOUT 2025</t>
  </si>
  <si>
    <t>MISE A DISPOSITION DE MATERIEL-OCTOBRE 2025</t>
  </si>
  <si>
    <t>BC307204</t>
  </si>
  <si>
    <t>BC307205</t>
  </si>
  <si>
    <t>BC307284</t>
  </si>
  <si>
    <t>BC307368</t>
  </si>
  <si>
    <t>Situation réelle</t>
  </si>
  <si>
    <t>Terme professionnel</t>
  </si>
  <si>
    <t>Échue et non payée</t>
  </si>
  <si>
    <t>IMPAYÉE</t>
  </si>
  <si>
    <t>Échue et partiellement payée</t>
  </si>
  <si>
    <r>
      <t>PARTIELLEMENT IMPAYÉE</t>
    </r>
    <r>
      <rPr>
        <sz val="8"/>
        <color theme="1"/>
        <rFont val="Verdana"/>
        <family val="2"/>
      </rPr>
      <t xml:space="preserve"> ou </t>
    </r>
    <r>
      <rPr>
        <b/>
        <sz val="8"/>
        <color theme="1"/>
        <rFont val="Verdana"/>
        <family val="2"/>
      </rPr>
      <t>PAIEMENT PARTIEL</t>
    </r>
  </si>
  <si>
    <t>Non échue</t>
  </si>
  <si>
    <t>NON ÉCHUE</t>
  </si>
  <si>
    <t>Totalement payée</t>
  </si>
  <si>
    <t>PAYÉE</t>
  </si>
  <si>
    <t>Annulée</t>
  </si>
  <si>
    <t>FACTURE ANNULÉE</t>
  </si>
  <si>
    <t>Terminologie correcte selon la situation</t>
  </si>
  <si>
    <t>PR2508-0107</t>
  </si>
  <si>
    <t>BC RESTANT ANNULEE PAR LE CLIENT-DEFAUT D'EXECUTION</t>
  </si>
  <si>
    <t>BC307455</t>
  </si>
  <si>
    <t>BC307458</t>
  </si>
  <si>
    <t>26MA00094</t>
  </si>
  <si>
    <t>BC306504</t>
  </si>
  <si>
    <t>26MA00015</t>
  </si>
  <si>
    <t>26MA00020</t>
  </si>
  <si>
    <t>26MA00082</t>
  </si>
  <si>
    <t>26MA00089</t>
  </si>
  <si>
    <t>26MA00138</t>
  </si>
  <si>
    <t>26MA00140</t>
  </si>
  <si>
    <t>26MA00038</t>
  </si>
  <si>
    <t>BC250218</t>
  </si>
  <si>
    <t>BC101817</t>
  </si>
  <si>
    <t>BC201309</t>
  </si>
  <si>
    <t>BC2411697</t>
  </si>
  <si>
    <t>BC2410465</t>
  </si>
  <si>
    <t>BC201468</t>
  </si>
  <si>
    <t>BC201461</t>
  </si>
  <si>
    <t>BC201437</t>
  </si>
  <si>
    <t>BC2409263</t>
  </si>
  <si>
    <t>BC201393</t>
  </si>
  <si>
    <t>BC201400</t>
  </si>
  <si>
    <t>BC201399</t>
  </si>
  <si>
    <t>BC201394</t>
  </si>
  <si>
    <t>BC201396</t>
  </si>
  <si>
    <t>BC201398</t>
  </si>
  <si>
    <t>BC201397</t>
  </si>
  <si>
    <t>BC201401</t>
  </si>
  <si>
    <t>BC201395</t>
  </si>
  <si>
    <t>BC250206</t>
  </si>
  <si>
    <t>211R3002</t>
  </si>
  <si>
    <t>2182204</t>
  </si>
  <si>
    <t>7435074</t>
  </si>
  <si>
    <t>A2164691V2600000001</t>
  </si>
  <si>
    <t>MISE A DISPOSITION DE MATERIEL</t>
  </si>
  <si>
    <t>BASSAM</t>
  </si>
  <si>
    <t>REJET DU CLIENT</t>
  </si>
  <si>
    <t>FACTURE NON ANNULE REVOIR FORMULE</t>
  </si>
  <si>
    <t>PR2510-0172</t>
  </si>
  <si>
    <t>M BUER</t>
  </si>
  <si>
    <t>VENTE DE CONTRE-PLAQUE</t>
  </si>
  <si>
    <t>FOURNITURE DE MATERIAUX</t>
  </si>
  <si>
    <t>26BA00027</t>
  </si>
  <si>
    <t>CAIS260113</t>
  </si>
  <si>
    <t>CAISSE KS</t>
  </si>
  <si>
    <t>BC201324</t>
  </si>
  <si>
    <t>BC201329</t>
  </si>
  <si>
    <t>BC201331</t>
  </si>
  <si>
    <t>BC201330</t>
  </si>
  <si>
    <t>BC201328</t>
  </si>
  <si>
    <t>BC201325</t>
  </si>
  <si>
    <t>BC201326</t>
  </si>
  <si>
    <t>BC201332</t>
  </si>
  <si>
    <t>BC200828</t>
  </si>
  <si>
    <t>BC201021</t>
  </si>
  <si>
    <t>NAVIRE_ABK</t>
  </si>
  <si>
    <t>BC101360</t>
  </si>
  <si>
    <t>BC101444</t>
  </si>
  <si>
    <t>BC101480</t>
  </si>
  <si>
    <t>BC101476</t>
  </si>
  <si>
    <t>BC101432</t>
  </si>
  <si>
    <t>BC101373</t>
  </si>
  <si>
    <t>BC101383</t>
  </si>
  <si>
    <t>BC101548</t>
  </si>
  <si>
    <t>BC201244</t>
  </si>
  <si>
    <t>BC201245</t>
  </si>
  <si>
    <t>BC201246</t>
  </si>
  <si>
    <t>BC201247</t>
  </si>
  <si>
    <t>BC201248</t>
  </si>
  <si>
    <t>BC201250</t>
  </si>
  <si>
    <t>BC201253</t>
  </si>
  <si>
    <t>BC201254</t>
  </si>
  <si>
    <t>BC201255</t>
  </si>
  <si>
    <t>BC201256</t>
  </si>
  <si>
    <t>BC201259</t>
  </si>
  <si>
    <t>BC201260</t>
  </si>
  <si>
    <t>BC201261</t>
  </si>
  <si>
    <t>BC201263</t>
  </si>
  <si>
    <t>BC201264</t>
  </si>
  <si>
    <t>BC201257</t>
  </si>
  <si>
    <t>BC101516</t>
  </si>
  <si>
    <t>BC200871</t>
  </si>
  <si>
    <t>BC200849</t>
  </si>
  <si>
    <t>BC200870</t>
  </si>
  <si>
    <t>BC200869</t>
  </si>
  <si>
    <t>BC200861</t>
  </si>
  <si>
    <t>BC200860</t>
  </si>
  <si>
    <t>BC200852</t>
  </si>
  <si>
    <t>BC101169</t>
  </si>
  <si>
    <t>BC101167</t>
  </si>
  <si>
    <t>BC101017</t>
  </si>
  <si>
    <t>BC200691</t>
  </si>
  <si>
    <t>BC200850</t>
  </si>
  <si>
    <t>BC200851</t>
  </si>
  <si>
    <t>BC200853</t>
  </si>
  <si>
    <t>BC200855</t>
  </si>
  <si>
    <t>BC200854</t>
  </si>
  <si>
    <t>BC200856</t>
  </si>
  <si>
    <t>BC200857</t>
  </si>
  <si>
    <t>BC200858</t>
  </si>
  <si>
    <t>BC200839</t>
  </si>
  <si>
    <t>BC200840</t>
  </si>
  <si>
    <t>BC200841</t>
  </si>
  <si>
    <t>BC200842</t>
  </si>
  <si>
    <t>BC200843</t>
  </si>
  <si>
    <t>BC200844</t>
  </si>
  <si>
    <t>BC200845</t>
  </si>
  <si>
    <t>BC200846</t>
  </si>
  <si>
    <t>BC200847</t>
  </si>
  <si>
    <t>BC200848</t>
  </si>
  <si>
    <t>BC200859</t>
  </si>
  <si>
    <t>BC200862</t>
  </si>
  <si>
    <t>BC200863</t>
  </si>
  <si>
    <t>BC200864</t>
  </si>
  <si>
    <t>BC200865</t>
  </si>
  <si>
    <t>BC200866</t>
  </si>
  <si>
    <t>BC200867</t>
  </si>
  <si>
    <t>BC200868</t>
  </si>
  <si>
    <t>BC200873</t>
  </si>
  <si>
    <t>BC200874</t>
  </si>
  <si>
    <t>BC200877</t>
  </si>
  <si>
    <t>BC200875</t>
  </si>
  <si>
    <t>BC101208</t>
  </si>
  <si>
    <t>BC101249</t>
  </si>
  <si>
    <t>BC101266</t>
  </si>
  <si>
    <t>BC900010</t>
  </si>
  <si>
    <t>BC201699</t>
  </si>
  <si>
    <t>BC201644</t>
  </si>
  <si>
    <t>BC201743</t>
  </si>
  <si>
    <t>BC201742</t>
  </si>
  <si>
    <t>BC201741</t>
  </si>
  <si>
    <t>BC201744</t>
  </si>
  <si>
    <t>BC201738</t>
  </si>
  <si>
    <t>BC2409272</t>
  </si>
  <si>
    <t>BC201768</t>
  </si>
  <si>
    <t>BC201779</t>
  </si>
  <si>
    <t>BC201771</t>
  </si>
  <si>
    <t>BC201781</t>
  </si>
  <si>
    <t>BC201778</t>
  </si>
  <si>
    <t>BC201791</t>
  </si>
  <si>
    <t>BC250288</t>
  </si>
  <si>
    <t>BC201876</t>
  </si>
  <si>
    <t>BC201976</t>
  </si>
  <si>
    <t>BC2307807</t>
  </si>
  <si>
    <t>BC302752</t>
  </si>
  <si>
    <t>BC302791</t>
  </si>
  <si>
    <t>BC302795</t>
  </si>
  <si>
    <t>BC302775</t>
  </si>
  <si>
    <t>BC302675</t>
  </si>
  <si>
    <t>BC302763</t>
  </si>
  <si>
    <t>BC302786</t>
  </si>
  <si>
    <t>BC302678</t>
  </si>
  <si>
    <t>BC302818</t>
  </si>
  <si>
    <t>BC201767</t>
  </si>
  <si>
    <t>BC202011</t>
  </si>
  <si>
    <t>BC202003</t>
  </si>
  <si>
    <t>211R2009</t>
  </si>
  <si>
    <t>BC250357</t>
  </si>
  <si>
    <t>BC250409</t>
  </si>
  <si>
    <t>BC303173</t>
  </si>
  <si>
    <t>BC202238</t>
  </si>
  <si>
    <t>BC202237</t>
  </si>
  <si>
    <t>BC202239</t>
  </si>
  <si>
    <t>BC202236</t>
  </si>
  <si>
    <t>BC202235</t>
  </si>
  <si>
    <t>BC202234</t>
  </si>
  <si>
    <t>BC202233</t>
  </si>
  <si>
    <t>LAGUNA GOLF</t>
  </si>
  <si>
    <t>PR250531</t>
  </si>
  <si>
    <t>BC303282</t>
  </si>
  <si>
    <t>BC303346</t>
  </si>
  <si>
    <t>BC303347</t>
  </si>
  <si>
    <t>BC303322</t>
  </si>
  <si>
    <t>BC303280</t>
  </si>
  <si>
    <t>BC303457</t>
  </si>
  <si>
    <t>BC303468</t>
  </si>
  <si>
    <t>BC303467</t>
  </si>
  <si>
    <t>BC303438</t>
  </si>
  <si>
    <t>BC303397</t>
  </si>
  <si>
    <t>ABJ NORD ET GD ABJ</t>
  </si>
  <si>
    <t>BC303394</t>
  </si>
  <si>
    <t>BC303554</t>
  </si>
  <si>
    <t>BC303576</t>
  </si>
  <si>
    <t>BC25277</t>
  </si>
  <si>
    <t>BC202031</t>
  </si>
  <si>
    <t>BC303761</t>
  </si>
  <si>
    <t>BC303726</t>
  </si>
  <si>
    <t>BC303728</t>
  </si>
  <si>
    <t>BC303730</t>
  </si>
  <si>
    <t>BC303779</t>
  </si>
  <si>
    <t>BC303847</t>
  </si>
  <si>
    <t>BC303900</t>
  </si>
  <si>
    <t>BC202737</t>
  </si>
  <si>
    <t>BC303912</t>
  </si>
  <si>
    <t>BC304010</t>
  </si>
  <si>
    <t>BC304012</t>
  </si>
  <si>
    <t>BC304011</t>
  </si>
  <si>
    <t>BC304167</t>
  </si>
  <si>
    <t>BC304166</t>
  </si>
  <si>
    <t>BC304201</t>
  </si>
  <si>
    <t>BC304234</t>
  </si>
  <si>
    <t>BC25337</t>
  </si>
  <si>
    <t>BC304330</t>
  </si>
  <si>
    <t>BC304584</t>
  </si>
  <si>
    <t>BC304647</t>
  </si>
  <si>
    <t>BC304674</t>
  </si>
  <si>
    <t>BC304724</t>
  </si>
  <si>
    <t>BC25403</t>
  </si>
  <si>
    <t>BC304847</t>
  </si>
  <si>
    <t>BC102747</t>
  </si>
  <si>
    <t>BC102741</t>
  </si>
  <si>
    <t>BC102740</t>
  </si>
  <si>
    <t>BC203106</t>
  </si>
  <si>
    <t>BC600228</t>
  </si>
  <si>
    <t>BC600227</t>
  </si>
  <si>
    <t>BC600226</t>
  </si>
  <si>
    <t>BC600225</t>
  </si>
  <si>
    <t>BC203105</t>
  </si>
  <si>
    <t>BC25540</t>
  </si>
  <si>
    <t>BC304956</t>
  </si>
  <si>
    <t>BC305077</t>
  </si>
  <si>
    <t>015G3114</t>
  </si>
  <si>
    <t>BC305351</t>
  </si>
  <si>
    <t>SONGON</t>
  </si>
  <si>
    <t>BC305478</t>
  </si>
  <si>
    <t>BC305503</t>
  </si>
  <si>
    <t>BC305514</t>
  </si>
  <si>
    <t>BC-SCORE-8917</t>
  </si>
  <si>
    <t>BC305632</t>
  </si>
  <si>
    <t>BC305599</t>
  </si>
  <si>
    <t>019R4101</t>
  </si>
  <si>
    <t>BC304187</t>
  </si>
  <si>
    <t>BC305335</t>
  </si>
  <si>
    <t>742RCA01</t>
  </si>
  <si>
    <t>335R8002</t>
  </si>
  <si>
    <t>4060319</t>
  </si>
  <si>
    <t>DATE F° 26/12/2024</t>
  </si>
  <si>
    <t>DATE F° 31/12/2024</t>
  </si>
  <si>
    <t>DATE F° 06/12/2024</t>
  </si>
  <si>
    <t>DATE F° 10/12/2024</t>
  </si>
  <si>
    <t>DATE F° 19/12/2024</t>
  </si>
  <si>
    <t>DATE F° 23/12/2024</t>
  </si>
  <si>
    <t>DATE F° 09/10/2024</t>
  </si>
  <si>
    <t>DATE F° 18/10/2024</t>
  </si>
  <si>
    <t>DATE F° 21/10/2024</t>
  </si>
  <si>
    <t>DATE F° 23/10/2024</t>
  </si>
  <si>
    <t>DATE F° 24/10/2024</t>
  </si>
  <si>
    <t>DATE F° 06/11/2024</t>
  </si>
  <si>
    <t>DATE F° 19/11/2024</t>
  </si>
  <si>
    <t>51 EXT</t>
  </si>
  <si>
    <t>191 EXO24</t>
  </si>
  <si>
    <t>197 EXO24</t>
  </si>
  <si>
    <t>198 EXO24</t>
  </si>
  <si>
    <t>199 EXO24</t>
  </si>
  <si>
    <t>195 EXO24</t>
  </si>
  <si>
    <t>194 EXO24</t>
  </si>
  <si>
    <t>196 EXO24</t>
  </si>
  <si>
    <t>200 EXO24</t>
  </si>
  <si>
    <t>190 EXO24</t>
  </si>
  <si>
    <t>189 EXO24</t>
  </si>
  <si>
    <t>188 EXO24</t>
  </si>
  <si>
    <t>204 EXO24</t>
  </si>
  <si>
    <t>202 EXO24</t>
  </si>
  <si>
    <t>203 EXO24</t>
  </si>
  <si>
    <t>160 EXO24</t>
  </si>
  <si>
    <t>182 EXO24</t>
  </si>
  <si>
    <t>184 EXO24</t>
  </si>
  <si>
    <t>185 EXO24</t>
  </si>
  <si>
    <t>186 EXO24</t>
  </si>
  <si>
    <t>187 EXO24</t>
  </si>
  <si>
    <t>151 EXO24</t>
  </si>
  <si>
    <t>152 EXO24</t>
  </si>
  <si>
    <t>153 EXO24</t>
  </si>
  <si>
    <t>154 EXO24</t>
  </si>
  <si>
    <t>155 EXO24</t>
  </si>
  <si>
    <t>156 EXO24</t>
  </si>
  <si>
    <t>LOCATION DE BUS DE TRANSPORT-NOVEMBRE 2024</t>
  </si>
  <si>
    <t>BC101339</t>
  </si>
  <si>
    <t>178 EXO24</t>
  </si>
  <si>
    <t>179 EXO24</t>
  </si>
  <si>
    <t>180 EXO24</t>
  </si>
  <si>
    <t>162 EXO24</t>
  </si>
  <si>
    <t>157 EXO24</t>
  </si>
  <si>
    <t>158 EXO24</t>
  </si>
  <si>
    <t>177 EXO24</t>
  </si>
  <si>
    <t>166 EXO24</t>
  </si>
  <si>
    <t>167 EXO24</t>
  </si>
  <si>
    <t>164 EXO24</t>
  </si>
  <si>
    <t>183 EXO24</t>
  </si>
  <si>
    <t>176 EXO24</t>
  </si>
  <si>
    <t>170 EXO24</t>
  </si>
  <si>
    <t>163 EXO24</t>
  </si>
  <si>
    <t>181 EXO24</t>
  </si>
  <si>
    <t>193 EXO24</t>
  </si>
  <si>
    <t>175 EXO24</t>
  </si>
  <si>
    <t>174 EXO24</t>
  </si>
  <si>
    <t>173 EXO24</t>
  </si>
  <si>
    <t>171 EXO24</t>
  </si>
  <si>
    <t>161 EXO24</t>
  </si>
  <si>
    <t>169 EXO24</t>
  </si>
  <si>
    <t>165 EXO24</t>
  </si>
  <si>
    <t>168 EXO24</t>
  </si>
  <si>
    <t>LOCATION DE CAMION BENNE-41900WWCI01</t>
  </si>
  <si>
    <t>BC201252</t>
  </si>
  <si>
    <t>MISE A DISPOSITION MATERIEL-DECEMBRE 2025</t>
  </si>
  <si>
    <t>26M00392</t>
  </si>
  <si>
    <t>4060361</t>
  </si>
  <si>
    <t>BC3066897</t>
  </si>
  <si>
    <t>26MA00289</t>
  </si>
  <si>
    <t>MISE A DISPOSITION DE MATERIEL-DECEMBRE 2025</t>
  </si>
  <si>
    <t>019G3110</t>
  </si>
  <si>
    <t>26MA00528</t>
  </si>
  <si>
    <t>26MA00613</t>
  </si>
  <si>
    <t>26MA00686</t>
  </si>
  <si>
    <t>26MA00688</t>
  </si>
  <si>
    <t>26MA00745</t>
  </si>
  <si>
    <t>26MA00813</t>
  </si>
  <si>
    <t>26MA00814</t>
  </si>
  <si>
    <t>26MA00815</t>
  </si>
  <si>
    <t>26MA00470</t>
  </si>
  <si>
    <t>BC306927</t>
  </si>
  <si>
    <t>26MA00687</t>
  </si>
  <si>
    <t>26MA00872</t>
  </si>
  <si>
    <t>MISE A DISPOSITION DE MATERIEL-JANVIER 2025</t>
  </si>
  <si>
    <t>26MA00931</t>
  </si>
  <si>
    <t>022G4101</t>
  </si>
  <si>
    <t>26MA00943</t>
  </si>
  <si>
    <t>MISE A DISPOSITION DE MATERIEL-JANVIER 2026</t>
  </si>
  <si>
    <t>26MA01055</t>
  </si>
  <si>
    <t>26MA01056</t>
  </si>
  <si>
    <t>26MA01074</t>
  </si>
  <si>
    <t>26MA01073</t>
  </si>
  <si>
    <t>021G4101</t>
  </si>
  <si>
    <t>26MA01083</t>
  </si>
  <si>
    <t>26MA01110</t>
  </si>
  <si>
    <t>26MA01167</t>
  </si>
  <si>
    <t>KHALIF INGENIERIE</t>
  </si>
  <si>
    <t>23 BP 2992 ABIDJAN 23</t>
  </si>
  <si>
    <t>YOPOUGON NOUVEAU QUARTIER</t>
  </si>
  <si>
    <t>07 49 82 12 75</t>
  </si>
  <si>
    <t>CONSTRUCTION METALLIQUE, BATIMENT TCE</t>
  </si>
  <si>
    <t>01 KPG</t>
  </si>
  <si>
    <t>3610850</t>
  </si>
  <si>
    <t>VERSUS BANK</t>
  </si>
  <si>
    <t>AVANCE</t>
  </si>
  <si>
    <t>019G3101</t>
  </si>
  <si>
    <t>0000409</t>
  </si>
  <si>
    <t>KEDA CERAMIC</t>
  </si>
  <si>
    <t>CODE PROJET</t>
  </si>
  <si>
    <t>TX BITUMAGE PETIT NASSIAN-KAFOLO-TEHINI-MAD ENGIN</t>
  </si>
  <si>
    <t>ROUTE DABAKALA-KONG TX MAD ENGIN</t>
  </si>
  <si>
    <t>TX PROLONGEMENT BD MITTERAND-TX MAD ENGIN</t>
  </si>
  <si>
    <t>COMPLEXE RESIDENTIEL-KONG GROS ŒUVRE GL</t>
  </si>
  <si>
    <t>COMPLEXE RESIDENTIEL-KONG TX</t>
  </si>
  <si>
    <t>COMPLEXE RESIDENTIEL KONG-CHARPENTE COUVERTURE BOIS-05 VILLAS FAMILLE</t>
  </si>
  <si>
    <t>FERMETURE AKOUEDO-TX REMOD V. P. CANNIVEAUX</t>
  </si>
  <si>
    <t>COMPLEXE RESIDENTIEL KONG-GROS ŒUVRE M.O</t>
  </si>
  <si>
    <t>ATM MENUISERIE EXTERIEURE-ASSINIE</t>
  </si>
  <si>
    <t>VILLA 20 GROS ŒUVRE MACONNERIE</t>
  </si>
  <si>
    <t>COMPLEXE RESIDENTIEL-KONG-GROS ŒUVRE DRAINAGE</t>
  </si>
  <si>
    <t>COMPLEXE RESIDENTIEL-KONG-AMENAGEMENT EXT TERRASSEMENT</t>
  </si>
  <si>
    <t>COMPLEXE RESIDENTIEL KONG-GROS ŒUVRE FONDATION</t>
  </si>
  <si>
    <t>COMPLEXE RESIDENTIEL KONG-VRD VOIRIE CHE</t>
  </si>
  <si>
    <t>BC201018</t>
  </si>
  <si>
    <t>BC201052</t>
  </si>
  <si>
    <t>BC101465</t>
  </si>
  <si>
    <t>BC101559</t>
  </si>
  <si>
    <t>BC201251</t>
  </si>
  <si>
    <t>M1504817</t>
  </si>
  <si>
    <t>REHAB. TOUR C GROS ŒUVRE M. OE</t>
  </si>
  <si>
    <t>COMPLEXE RES. KONG CLOISON DOUBLAGE</t>
  </si>
  <si>
    <t>COMPLEXE RES. KONG GLE</t>
  </si>
  <si>
    <t>VRD UNIVERSITE ODIENNE FRS CH BUS</t>
  </si>
  <si>
    <t>COMPLEXE RES. KONG AMENGT EXT P</t>
  </si>
  <si>
    <t>COMPLEXE RES KONG GLE INST CHANT</t>
  </si>
  <si>
    <t>SNA PEDRO SOUBRE LOCATION EXTERNE</t>
  </si>
  <si>
    <t>020G4101</t>
  </si>
  <si>
    <t>SOUBRE LOCATION EXTERNES POUR LE SE</t>
  </si>
  <si>
    <t>ATELIER ODIENNE CHARGE FG PRESTATAIRE</t>
  </si>
  <si>
    <t>COT GB LOT 5 TX ENGIN LOCATION</t>
  </si>
  <si>
    <t>CARRIERE ODIENNE INSTALLATIONS CARR</t>
  </si>
  <si>
    <t>ATELIER ODIENNE CHARGE ACT LOC EXT</t>
  </si>
  <si>
    <t>ATELIER KONG CHARGE ACT LOCATION</t>
  </si>
  <si>
    <t>ATELIER DIVO CHARGE ACT LOC EXT</t>
  </si>
  <si>
    <t>UNIVERSITE D ODIENNE GROS ŒUVRE</t>
  </si>
  <si>
    <t>ATELIER BOUAKE CHARGE ACT LOCAT° EXT</t>
  </si>
  <si>
    <t>ATELIER COTIERE CHARGES ACT LOCAT° EXT</t>
  </si>
  <si>
    <t>ATELIER SONGON CHARGES ACT LOCAT°</t>
  </si>
  <si>
    <t>ATELIER KONG CHARGE ACT LOCAT° EXT</t>
  </si>
  <si>
    <t>ATELIER BINGERVILLE SM LOCATION EXTERNES</t>
  </si>
  <si>
    <t>ATELIER DABAKALA CHARGRES ACT LOC E</t>
  </si>
  <si>
    <t>ATELIER PETIT NASS. KT SM LOCAT°</t>
  </si>
  <si>
    <t>ATELIER KORHOGO SM LOCATION EXTERNES</t>
  </si>
  <si>
    <t>COMPLEXE RES. KONG GROS ŒUVRE MACO</t>
  </si>
  <si>
    <t>UNIVERSITE D ODIENNE GL INSTALL° CH</t>
  </si>
  <si>
    <t>TX PROLONGEMENT BD MITTERAND-INST ENTREP</t>
  </si>
  <si>
    <t>MUSEE DE COCODY GROS ŒUVRE GL</t>
  </si>
  <si>
    <t>ROUTE DABAKALA-KONG TX S-T</t>
  </si>
  <si>
    <t>PEAGE ROUTIER DIVO TX ENGIN LOCAT°</t>
  </si>
  <si>
    <t>RENF RTE KORHOGO-BO INST CENT ENR</t>
  </si>
  <si>
    <t>VRD UNIVERSITE ODIENNE TX</t>
  </si>
  <si>
    <t>REHAB. TOUR C CHARPENTE COUVERTURE M</t>
  </si>
  <si>
    <t>COMPLEXE RES KONG AMENAGT EX RESEA E</t>
  </si>
  <si>
    <t>COMPLEXE RES. KONG REVT FASCADES M.</t>
  </si>
  <si>
    <t>COMPLEXE RES KONG RES KONG GLE FRS</t>
  </si>
  <si>
    <t>N_F</t>
  </si>
  <si>
    <t>NOM DU PROJET</t>
  </si>
  <si>
    <t>ATELIER TEHINI-BOUNA LOCATION EXTERNES PO</t>
  </si>
  <si>
    <t>26MA01357</t>
  </si>
  <si>
    <t>26MA01383</t>
  </si>
  <si>
    <t>MISE A DISPOSITION DE MATERIEL-FEVRIER 2026</t>
  </si>
  <si>
    <t>26MA01355</t>
  </si>
  <si>
    <t>26MA01362</t>
  </si>
  <si>
    <t>1951591</t>
  </si>
  <si>
    <t>BC15479</t>
  </si>
  <si>
    <t>NOM PROJET</t>
  </si>
  <si>
    <t>KOUTO-NIELLE_TRAVAUX COFFRAGE</t>
  </si>
  <si>
    <t>KOUTO-NIELLE-NBEMGUE_LOCATION EXTERNE</t>
  </si>
  <si>
    <t>0000649</t>
  </si>
  <si>
    <t>BA</t>
  </si>
  <si>
    <t>MISE A DISPOSITION DE MATERIEL-JUILLET 2024</t>
  </si>
  <si>
    <t>BC2413341</t>
  </si>
  <si>
    <t>26BA00294</t>
  </si>
  <si>
    <t>BC201737</t>
  </si>
  <si>
    <t>MISE A DISPOSITION DE MATERIEL-DECEMBRE 2024</t>
  </si>
  <si>
    <t>BC201739</t>
  </si>
  <si>
    <t>MISE A DISPOSITION DE MATERIEL-OCTOBRE 2024</t>
  </si>
  <si>
    <t>BC201780</t>
  </si>
  <si>
    <t>BC201277</t>
  </si>
  <si>
    <t>MISE A DISPOSITION DE MATERIEL-AOUT 2024</t>
  </si>
  <si>
    <t>BC201790</t>
  </si>
  <si>
    <t>26RI00191</t>
  </si>
  <si>
    <t>26BA01109</t>
  </si>
  <si>
    <t>26BA01155</t>
  </si>
  <si>
    <t>MISE A DISPOSITION DE MATERIEL-NOVEMBRE 2024</t>
  </si>
  <si>
    <t>26BA01151</t>
  </si>
  <si>
    <t>26BA01224</t>
  </si>
  <si>
    <t>COMPLEXE RES. KONG REVT DUR</t>
  </si>
  <si>
    <t>MISE A DISPOSITION DE MATERIEL-MARS 2026</t>
  </si>
  <si>
    <t>662RFC07</t>
  </si>
  <si>
    <t>26RI00718</t>
  </si>
  <si>
    <t>MISE A DISPOSITION DE MATERIEL-MAI 2025</t>
  </si>
  <si>
    <t>BC304216</t>
  </si>
  <si>
    <t>26BA00805</t>
  </si>
  <si>
    <t>444B1802</t>
  </si>
  <si>
    <t>ROUTE TEHNI-BOUNA FC-MATERIELS ET</t>
  </si>
  <si>
    <t>UNIVERSITE D'ODIENNE DEBOURS CENT</t>
  </si>
  <si>
    <t>LOCATION DE CAMION PLATEAU-AA624GZ01+ CAM GRUE 6245JL01</t>
  </si>
  <si>
    <t>26MA01564</t>
  </si>
  <si>
    <t>26MA01572</t>
  </si>
  <si>
    <t>26MA01576</t>
  </si>
  <si>
    <t>26MA01577</t>
  </si>
  <si>
    <t>JOURS DE RETARD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</si>
</sst>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64" formatCode="_-* #,##0.00\ _€_-;\-* #,##0.00\ _€_-;_-* &quot;-&quot;??\ _€_-;_-@_-"/>
    <numFmt numFmtId="165" formatCode="[&gt;=10000000000]#\-###\-###\-###;[&gt;=10000000]\(###\)&quot; &quot;###\-####;000\-0000"/>
    <numFmt numFmtId="166" formatCode="#,##0_ ;[Red]\-#,##0\ "/>
    <numFmt numFmtId="167" formatCode="_-* #,##0\ _€_-;\-* #,##0\ _€_-;_-* &quot;-&quot;??\ _€_-;_-@_-"/>
    <numFmt numFmtId="168" formatCode="0.0"/>
  </numFmts>
  <fonts count="53" x14ac:knownFonts="1">
    <font>
      <sz val="8"/>
      <color theme="1"/>
      <name val="Verdana"/>
      <family val="2"/>
    </font>
    <font>
      <sz val="11"/>
      <color theme="1"/>
      <name val="Calibri"/>
      <family val="2"/>
      <scheme val="minor"/>
    </font>
    <font>
      <sz val="11"/>
      <color theme="1"/>
      <name val="Calibri"/>
      <family val="2"/>
      <scheme val="minor"/>
    </font>
    <font>
      <b/>
      <sz val="8"/>
      <color theme="0"/>
      <name val="Verdana"/>
      <family val="2"/>
    </font>
    <font>
      <b/>
      <sz val="8"/>
      <color theme="1"/>
      <name val="Verdana"/>
      <family val="2"/>
    </font>
    <font>
      <sz val="8"/>
      <color theme="0"/>
      <name val="Verdana"/>
      <family val="2"/>
    </font>
    <font>
      <b/>
      <sz val="13"/>
      <color theme="1"/>
      <name val="Verdana"/>
      <family val="2"/>
    </font>
    <font>
      <b/>
      <sz val="12"/>
      <color theme="1"/>
      <name val="Verdana"/>
      <family val="2"/>
    </font>
    <font>
      <sz val="12"/>
      <color theme="1"/>
      <name val="Verdana"/>
      <family val="2"/>
    </font>
    <font>
      <sz val="8"/>
      <name val="Verdana"/>
      <family val="2"/>
    </font>
    <font>
      <sz val="8"/>
      <color theme="1"/>
      <name val="Verdana"/>
      <family val="2"/>
    </font>
    <font>
      <b/>
      <i/>
      <sz val="9"/>
      <color rgb="FFFF0000"/>
      <name val="Verdana"/>
      <family val="2"/>
    </font>
    <font>
      <sz val="8"/>
      <color theme="1"/>
      <name val="Verdana"/>
      <family val="2"/>
    </font>
    <font>
      <sz val="9"/>
      <color indexed="81"/>
      <name val="Tahoma"/>
      <family val="2"/>
    </font>
    <font>
      <b/>
      <sz val="9"/>
      <color indexed="81"/>
      <name val="Tahoma"/>
      <family val="2"/>
    </font>
    <font>
      <sz val="8"/>
      <color theme="1"/>
      <name val="Verdana"/>
      <family val="2"/>
    </font>
    <font>
      <b/>
      <sz val="8"/>
      <color rgb="FFFFC000"/>
      <name val="Verdana"/>
      <family val="2"/>
    </font>
    <font>
      <sz val="7"/>
      <color rgb="FF333333"/>
      <name val="Verdana"/>
      <family val="2"/>
    </font>
    <font>
      <sz val="8"/>
      <color theme="1"/>
      <name val="Verdana"/>
      <family val="2"/>
    </font>
    <font>
      <sz val="8"/>
      <color theme="1"/>
      <name val="Verdana"/>
      <family val="2"/>
    </font>
    <font>
      <b/>
      <sz val="8"/>
      <color rgb="FFFF0000"/>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i/>
      <sz val="8"/>
      <color theme="1"/>
      <name val="Verdana"/>
      <family val="2"/>
    </font>
    <font>
      <sz val="8"/>
      <color theme="1"/>
      <name val="Verdana"/>
      <family val="2"/>
    </font>
    <font>
      <b/>
      <sz val="8"/>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b/>
      <sz val="8"/>
      <color rgb="FFFFFFCC"/>
      <name val="Verdana"/>
      <family val="2"/>
    </font>
    <font>
      <b/>
      <sz val="8"/>
      <color theme="9" tint="-0.249977111117893"/>
      <name val="Verdana"/>
      <family val="2"/>
    </font>
    <font>
      <u/>
      <sz val="11"/>
      <color theme="10"/>
      <name val="Calibri"/>
      <family val="2"/>
      <scheme val="minor"/>
    </font>
    <font>
      <sz val="8"/>
      <color theme="9" tint="-0.249977111117893"/>
      <name val="Verdana"/>
      <family val="2"/>
    </font>
    <font>
      <b/>
      <i/>
      <sz val="8"/>
      <color theme="1"/>
      <name val="Verdana"/>
      <family val="2"/>
    </font>
    <font>
      <sz val="8"/>
      <color theme="1"/>
      <name val="Verdana"/>
      <family val="2"/>
    </font>
    <font>
      <b/>
      <i/>
      <sz val="8"/>
      <color rgb="FFC00000"/>
      <name val="Verdana"/>
      <family val="2"/>
    </font>
    <font>
      <sz val="12"/>
      <color theme="1"/>
      <name val="Century Gothic"/>
      <family val="2"/>
    </font>
    <font>
      <sz val="8"/>
      <color theme="1"/>
      <name val="Verdana"/>
      <family val="2"/>
    </font>
    <font>
      <sz val="8"/>
      <color theme="1"/>
      <name val="Verdana"/>
      <family val="2"/>
    </font>
    <font>
      <sz val="8"/>
      <color theme="1"/>
      <name val="Verdana"/>
      <family val="2"/>
    </font>
    <font>
      <sz val="8"/>
      <color theme="1"/>
      <name val="Verdana"/>
      <family val="2"/>
    </font>
    <font>
      <b/>
      <sz val="8"/>
      <color theme="9" tint="-0.499984740745262"/>
      <name val="Verdana"/>
      <family val="2"/>
    </font>
    <font>
      <sz val="8"/>
      <color theme="1"/>
      <name val="Verdana"/>
      <family val="2"/>
    </font>
    <font>
      <sz val="8"/>
      <color theme="1"/>
      <name val="Verdana"/>
      <family val="2"/>
    </font>
  </fonts>
  <fills count="10">
    <fill>
      <patternFill patternType="none"/>
    </fill>
    <fill>
      <patternFill patternType="gray125"/>
    </fill>
    <fill>
      <patternFill patternType="solid">
        <fgColor theme="1"/>
        <bgColor theme="1"/>
      </patternFill>
    </fill>
    <fill>
      <gradientFill degree="90">
        <stop position="0">
          <color theme="0" tint="-0.1490218817712943"/>
        </stop>
        <stop position="0.5">
          <color theme="0"/>
        </stop>
        <stop position="1">
          <color theme="0" tint="-0.1490218817712943"/>
        </stop>
      </gradientFill>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DADC2"/>
        <bgColor indexed="64"/>
      </patternFill>
    </fill>
    <fill>
      <patternFill patternType="solid">
        <fgColor rgb="FFFDD1FD"/>
        <bgColor indexed="64"/>
      </patternFill>
    </fill>
  </fills>
  <borders count="8">
    <border>
      <left/>
      <right/>
      <top/>
      <bottom/>
      <diagonal/>
    </border>
    <border>
      <left/>
      <right/>
      <top style="thin">
        <color theme="1"/>
      </top>
      <bottom/>
      <diagonal/>
    </border>
    <border>
      <left/>
      <right style="thin">
        <color theme="1"/>
      </right>
      <top style="thin">
        <color theme="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1"/>
      </left>
      <right/>
      <top/>
      <bottom/>
      <diagonal/>
    </border>
    <border>
      <left style="thin">
        <color auto="1"/>
      </left>
      <right/>
      <top/>
      <bottom/>
      <diagonal/>
    </border>
    <border>
      <left/>
      <right style="thin">
        <color theme="1"/>
      </right>
      <top/>
      <bottom/>
      <diagonal/>
    </border>
  </borders>
  <cellStyleXfs count="9">
    <xf numFmtId="0" fontId="0" fillId="0" borderId="0"/>
    <xf numFmtId="164" fontId="12" fillId="0" borderId="0" applyFont="0" applyFill="0" applyBorder="0" applyAlignment="0" applyProtection="0"/>
    <xf numFmtId="9" fontId="12" fillId="0" borderId="0" applyFont="0" applyFill="0" applyBorder="0" applyAlignment="0" applyProtection="0"/>
    <xf numFmtId="0" fontId="2" fillId="0" borderId="0"/>
    <xf numFmtId="164" fontId="2" fillId="0" borderId="0" applyFont="0" applyFill="0" applyBorder="0" applyAlignment="0" applyProtection="0"/>
    <xf numFmtId="0" fontId="1" fillId="0" borderId="0"/>
    <xf numFmtId="0" fontId="40" fillId="0" borderId="0" applyNumberFormat="0" applyFill="0" applyBorder="0" applyAlignment="0" applyProtection="0"/>
    <xf numFmtId="41" fontId="10" fillId="0" borderId="0" applyFont="0" applyFill="0" applyBorder="0" applyAlignment="0" applyProtection="0"/>
    <xf numFmtId="164" fontId="10" fillId="0" borderId="0" applyFont="0" applyFill="0" applyBorder="0" applyAlignment="0" applyProtection="0"/>
  </cellStyleXfs>
  <cellXfs count="490">
    <xf numFmtId="0" fontId="0" fillId="0" borderId="0" xfId="0"/>
    <xf numFmtId="0" fontId="4" fillId="0" borderId="0" xfId="0" applyFont="1"/>
    <xf numFmtId="0" fontId="0" fillId="0" borderId="1" xfId="0" applyBorder="1"/>
    <xf numFmtId="14" fontId="0" fillId="0" borderId="0" xfId="0" applyNumberFormat="1"/>
    <xf numFmtId="3" fontId="0" fillId="0" borderId="0" xfId="0" applyNumberFormat="1"/>
    <xf numFmtId="3" fontId="0" fillId="0" borderId="1" xfId="0" applyNumberFormat="1" applyBorder="1"/>
    <xf numFmtId="0" fontId="0" fillId="0" borderId="0" xfId="0" applyAlignment="1">
      <alignment horizontal="left"/>
    </xf>
    <xf numFmtId="14" fontId="0" fillId="0" borderId="1" xfId="0" applyNumberFormat="1" applyBorder="1"/>
    <xf numFmtId="0" fontId="0" fillId="0" borderId="1" xfId="0" quotePrefix="1" applyBorder="1"/>
    <xf numFmtId="14" fontId="0" fillId="0" borderId="1" xfId="0" quotePrefix="1" applyNumberFormat="1" applyBorder="1"/>
    <xf numFmtId="166" fontId="0" fillId="0" borderId="0" xfId="0" applyNumberFormat="1"/>
    <xf numFmtId="0" fontId="0" fillId="0" borderId="1" xfId="0" applyBorder="1" applyAlignment="1">
      <alignment horizontal="left"/>
    </xf>
    <xf numFmtId="14" fontId="10" fillId="0" borderId="1" xfId="0" applyNumberFormat="1" applyFont="1" applyBorder="1"/>
    <xf numFmtId="0" fontId="10" fillId="0" borderId="1" xfId="0" applyFont="1" applyBorder="1"/>
    <xf numFmtId="3" fontId="10" fillId="0" borderId="1" xfId="0" applyNumberFormat="1" applyFont="1" applyBorder="1"/>
    <xf numFmtId="0" fontId="10" fillId="0" borderId="1" xfId="0" applyFont="1" applyBorder="1" applyAlignment="1">
      <alignment horizontal="left"/>
    </xf>
    <xf numFmtId="0" fontId="11" fillId="0" borderId="0" xfId="0" applyFont="1"/>
    <xf numFmtId="0" fontId="0" fillId="0" borderId="7" xfId="0" applyBorder="1"/>
    <xf numFmtId="167" fontId="0" fillId="0" borderId="0" xfId="1" applyNumberFormat="1" applyFont="1"/>
    <xf numFmtId="167" fontId="0" fillId="0" borderId="0" xfId="0" applyNumberFormat="1"/>
    <xf numFmtId="167" fontId="10" fillId="0" borderId="0" xfId="1" applyNumberFormat="1" applyFont="1"/>
    <xf numFmtId="0" fontId="0" fillId="0" borderId="0" xfId="0" quotePrefix="1"/>
    <xf numFmtId="0" fontId="10" fillId="0" borderId="0" xfId="0" applyFont="1"/>
    <xf numFmtId="167" fontId="0" fillId="0" borderId="1" xfId="1" applyNumberFormat="1" applyFont="1" applyBorder="1"/>
    <xf numFmtId="167" fontId="10" fillId="0" borderId="1" xfId="1" applyNumberFormat="1" applyFont="1" applyBorder="1"/>
    <xf numFmtId="1" fontId="0" fillId="0" borderId="1" xfId="0" applyNumberFormat="1" applyBorder="1"/>
    <xf numFmtId="1" fontId="10" fillId="0" borderId="1" xfId="0" applyNumberFormat="1" applyFont="1" applyBorder="1"/>
    <xf numFmtId="2" fontId="8" fillId="3" borderId="3" xfId="0" applyNumberFormat="1" applyFont="1" applyFill="1" applyBorder="1" applyAlignment="1">
      <alignment horizontal="centerContinuous" vertical="center"/>
    </xf>
    <xf numFmtId="2" fontId="8" fillId="3" borderId="4" xfId="0" applyNumberFormat="1" applyFont="1" applyFill="1" applyBorder="1" applyAlignment="1">
      <alignment horizontal="centerContinuous" vertical="center"/>
    </xf>
    <xf numFmtId="0" fontId="0" fillId="0" borderId="0" xfId="0" applyAlignment="1">
      <alignment vertical="center"/>
    </xf>
    <xf numFmtId="0" fontId="7" fillId="3" borderId="6" xfId="0" applyFont="1" applyFill="1" applyBorder="1" applyAlignment="1">
      <alignment horizontal="centerContinuous" vertical="center"/>
    </xf>
    <xf numFmtId="0" fontId="7" fillId="3" borderId="0" xfId="0" applyFont="1" applyFill="1" applyAlignment="1">
      <alignment horizontal="centerContinuous" vertical="center"/>
    </xf>
    <xf numFmtId="0" fontId="0" fillId="0" borderId="1" xfId="0" quotePrefix="1" applyBorder="1" applyAlignment="1">
      <alignment horizontal="left"/>
    </xf>
    <xf numFmtId="14" fontId="0" fillId="0" borderId="1" xfId="0" applyNumberFormat="1" applyBorder="1" applyAlignment="1">
      <alignment horizontal="left"/>
    </xf>
    <xf numFmtId="9" fontId="0" fillId="0" borderId="0" xfId="2" applyFont="1"/>
    <xf numFmtId="14" fontId="0" fillId="0" borderId="0" xfId="0" quotePrefix="1" applyNumberFormat="1"/>
    <xf numFmtId="3" fontId="0" fillId="0" borderId="0" xfId="0" quotePrefix="1" applyNumberFormat="1"/>
    <xf numFmtId="0" fontId="5" fillId="2" borderId="0" xfId="0" applyFont="1" applyFill="1" applyAlignment="1">
      <alignment vertical="center"/>
    </xf>
    <xf numFmtId="0" fontId="3" fillId="2" borderId="0" xfId="0" applyFont="1" applyFill="1" applyAlignment="1">
      <alignment vertical="center"/>
    </xf>
    <xf numFmtId="0" fontId="3" fillId="2" borderId="5" xfId="0" applyFont="1" applyFill="1" applyBorder="1" applyAlignment="1">
      <alignment vertical="center"/>
    </xf>
    <xf numFmtId="0" fontId="3" fillId="2" borderId="0" xfId="0" applyFont="1" applyFill="1" applyAlignment="1">
      <alignment vertical="center" wrapText="1"/>
    </xf>
    <xf numFmtId="3" fontId="3" fillId="2" borderId="0" xfId="0" applyNumberFormat="1" applyFont="1" applyFill="1" applyAlignment="1">
      <alignment vertical="center"/>
    </xf>
    <xf numFmtId="0" fontId="4" fillId="0" borderId="0" xfId="0" applyFont="1" applyAlignment="1">
      <alignment vertical="center"/>
    </xf>
    <xf numFmtId="9" fontId="0" fillId="0" borderId="0" xfId="0" applyNumberFormat="1"/>
    <xf numFmtId="14" fontId="9" fillId="0" borderId="1" xfId="0" applyNumberFormat="1" applyFont="1" applyBorder="1"/>
    <xf numFmtId="0" fontId="9" fillId="0" borderId="1" xfId="0" applyFont="1" applyBorder="1"/>
    <xf numFmtId="3" fontId="9" fillId="0" borderId="1" xfId="0" applyNumberFormat="1" applyFont="1" applyBorder="1"/>
    <xf numFmtId="0" fontId="9" fillId="0" borderId="1" xfId="0" applyFont="1" applyBorder="1" applyAlignment="1">
      <alignment horizontal="left"/>
    </xf>
    <xf numFmtId="1" fontId="9" fillId="0" borderId="1" xfId="0" applyNumberFormat="1" applyFont="1" applyBorder="1"/>
    <xf numFmtId="167" fontId="9" fillId="0" borderId="1" xfId="1" applyNumberFormat="1" applyFont="1" applyBorder="1"/>
    <xf numFmtId="0" fontId="9" fillId="0" borderId="0" xfId="0" applyFont="1"/>
    <xf numFmtId="0" fontId="9" fillId="0" borderId="1" xfId="0" quotePrefix="1" applyFont="1" applyBorder="1"/>
    <xf numFmtId="0" fontId="0" fillId="0" borderId="0" xfId="0" applyAlignment="1">
      <alignment horizontal="left" indent="14"/>
    </xf>
    <xf numFmtId="0" fontId="0" fillId="0" borderId="0" xfId="0" applyAlignment="1">
      <alignment horizontal="right" indent="2"/>
    </xf>
    <xf numFmtId="49" fontId="0" fillId="0" borderId="2" xfId="0" applyNumberFormat="1" applyBorder="1"/>
    <xf numFmtId="49" fontId="0" fillId="0" borderId="1" xfId="0" applyNumberFormat="1" applyBorder="1"/>
    <xf numFmtId="167" fontId="0" fillId="0" borderId="0" xfId="1" applyNumberFormat="1" applyFont="1" applyAlignment="1">
      <alignment vertical="center"/>
    </xf>
    <xf numFmtId="0" fontId="17" fillId="0" borderId="0" xfId="0" quotePrefix="1" applyFont="1"/>
    <xf numFmtId="49" fontId="0" fillId="0" borderId="0" xfId="0" applyNumberFormat="1"/>
    <xf numFmtId="167" fontId="0" fillId="0" borderId="7" xfId="0" applyNumberFormat="1" applyBorder="1"/>
    <xf numFmtId="0" fontId="18" fillId="0" borderId="0" xfId="0" applyFont="1"/>
    <xf numFmtId="14" fontId="18" fillId="0" borderId="1" xfId="0" applyNumberFormat="1" applyFont="1" applyBorder="1"/>
    <xf numFmtId="0" fontId="18" fillId="0" borderId="1" xfId="0" applyFont="1" applyBorder="1"/>
    <xf numFmtId="3" fontId="18" fillId="0" borderId="1" xfId="0" applyNumberFormat="1" applyFont="1" applyBorder="1"/>
    <xf numFmtId="1" fontId="18" fillId="0" borderId="1" xfId="0" applyNumberFormat="1" applyFont="1" applyBorder="1"/>
    <xf numFmtId="167" fontId="18" fillId="0" borderId="1" xfId="1" applyNumberFormat="1" applyFont="1" applyBorder="1"/>
    <xf numFmtId="167" fontId="7" fillId="0" borderId="0" xfId="1" applyNumberFormat="1" applyFont="1"/>
    <xf numFmtId="0" fontId="7" fillId="0" borderId="0" xfId="0" applyFont="1"/>
    <xf numFmtId="0" fontId="7" fillId="0" borderId="0" xfId="0" applyFont="1" applyAlignment="1">
      <alignment horizontal="left"/>
    </xf>
    <xf numFmtId="14" fontId="7" fillId="0" borderId="0" xfId="0" applyNumberFormat="1" applyFont="1"/>
    <xf numFmtId="167" fontId="0" fillId="0" borderId="0" xfId="1" applyNumberFormat="1" applyFont="1" applyFill="1"/>
    <xf numFmtId="14" fontId="18" fillId="0" borderId="0" xfId="0" applyNumberFormat="1" applyFont="1"/>
    <xf numFmtId="0" fontId="19" fillId="0" borderId="0" xfId="0" applyFont="1"/>
    <xf numFmtId="14" fontId="19" fillId="0" borderId="0" xfId="0" applyNumberFormat="1" applyFont="1"/>
    <xf numFmtId="14" fontId="19" fillId="0" borderId="1" xfId="0" applyNumberFormat="1" applyFont="1" applyBorder="1"/>
    <xf numFmtId="3" fontId="19" fillId="0" borderId="1" xfId="0" applyNumberFormat="1" applyFont="1" applyBorder="1"/>
    <xf numFmtId="1" fontId="19" fillId="0" borderId="1" xfId="0" applyNumberFormat="1" applyFont="1" applyBorder="1"/>
    <xf numFmtId="0" fontId="19" fillId="0" borderId="1" xfId="0" applyFont="1" applyBorder="1"/>
    <xf numFmtId="167" fontId="19" fillId="0" borderId="1" xfId="1" applyNumberFormat="1" applyFont="1" applyBorder="1"/>
    <xf numFmtId="0" fontId="0" fillId="0" borderId="0" xfId="0" applyAlignment="1">
      <alignment vertical="center" wrapText="1"/>
    </xf>
    <xf numFmtId="0" fontId="0" fillId="0" borderId="0" xfId="0" applyAlignment="1">
      <alignment horizontal="left" vertical="center"/>
    </xf>
    <xf numFmtId="0" fontId="20" fillId="0" borderId="0" xfId="0" applyFont="1"/>
    <xf numFmtId="0" fontId="21" fillId="0" borderId="0" xfId="0" applyFont="1"/>
    <xf numFmtId="14" fontId="21" fillId="0" borderId="0" xfId="0" applyNumberFormat="1" applyFont="1"/>
    <xf numFmtId="14" fontId="21" fillId="0" borderId="1" xfId="0" applyNumberFormat="1" applyFont="1" applyBorder="1"/>
    <xf numFmtId="3" fontId="21" fillId="0" borderId="1" xfId="0" applyNumberFormat="1" applyFont="1" applyBorder="1"/>
    <xf numFmtId="0" fontId="21" fillId="0" borderId="1" xfId="0" applyFont="1" applyBorder="1" applyAlignment="1">
      <alignment horizontal="left"/>
    </xf>
    <xf numFmtId="1" fontId="21" fillId="0" borderId="1" xfId="0" applyNumberFormat="1" applyFont="1" applyBorder="1"/>
    <xf numFmtId="0" fontId="21" fillId="0" borderId="1" xfId="0" applyFont="1" applyBorder="1"/>
    <xf numFmtId="167" fontId="21" fillId="0" borderId="1" xfId="1" applyNumberFormat="1" applyFont="1" applyBorder="1"/>
    <xf numFmtId="166" fontId="0" fillId="0" borderId="0" xfId="1" applyNumberFormat="1" applyFont="1"/>
    <xf numFmtId="0" fontId="6" fillId="3" borderId="0" xfId="0" applyFont="1" applyFill="1" applyAlignment="1">
      <alignment vertical="center"/>
    </xf>
    <xf numFmtId="0" fontId="22" fillId="0" borderId="0" xfId="0" applyFont="1"/>
    <xf numFmtId="14" fontId="22" fillId="0" borderId="0" xfId="0" applyNumberFormat="1" applyFont="1"/>
    <xf numFmtId="14" fontId="22" fillId="0" borderId="1" xfId="0" applyNumberFormat="1" applyFont="1" applyBorder="1"/>
    <xf numFmtId="3" fontId="22" fillId="0" borderId="1" xfId="0" applyNumberFormat="1" applyFont="1" applyBorder="1"/>
    <xf numFmtId="1" fontId="22" fillId="0" borderId="1" xfId="0" applyNumberFormat="1" applyFont="1" applyBorder="1"/>
    <xf numFmtId="0" fontId="22" fillId="0" borderId="1" xfId="0" applyFont="1" applyBorder="1"/>
    <xf numFmtId="167" fontId="22" fillId="0" borderId="1" xfId="1" applyNumberFormat="1" applyFont="1" applyBorder="1"/>
    <xf numFmtId="1" fontId="0" fillId="5" borderId="7" xfId="0" applyNumberFormat="1" applyFill="1" applyBorder="1"/>
    <xf numFmtId="49" fontId="0" fillId="0" borderId="0" xfId="0" applyNumberFormat="1" applyAlignment="1">
      <alignment horizontal="left"/>
    </xf>
    <xf numFmtId="49" fontId="0" fillId="0" borderId="0" xfId="0" quotePrefix="1" applyNumberFormat="1" applyAlignment="1">
      <alignment horizontal="left"/>
    </xf>
    <xf numFmtId="0" fontId="24" fillId="0" borderId="0" xfId="0" applyFont="1"/>
    <xf numFmtId="14" fontId="24" fillId="0" borderId="0" xfId="0" applyNumberFormat="1" applyFont="1"/>
    <xf numFmtId="14" fontId="24" fillId="0" borderId="1" xfId="0" applyNumberFormat="1" applyFont="1" applyBorder="1"/>
    <xf numFmtId="167" fontId="24" fillId="0" borderId="1" xfId="1" applyNumberFormat="1" applyFont="1" applyBorder="1"/>
    <xf numFmtId="3" fontId="24" fillId="0" borderId="1" xfId="0" applyNumberFormat="1" applyFont="1" applyBorder="1"/>
    <xf numFmtId="1" fontId="24" fillId="0" borderId="1" xfId="0" applyNumberFormat="1" applyFont="1" applyBorder="1"/>
    <xf numFmtId="0" fontId="24" fillId="0" borderId="1" xfId="0" applyFont="1" applyBorder="1"/>
    <xf numFmtId="0" fontId="25" fillId="0" borderId="0" xfId="0" applyFont="1"/>
    <xf numFmtId="14" fontId="25" fillId="0" borderId="0" xfId="0" applyNumberFormat="1" applyFont="1"/>
    <xf numFmtId="14" fontId="25" fillId="0" borderId="1" xfId="0" applyNumberFormat="1" applyFont="1" applyBorder="1"/>
    <xf numFmtId="167" fontId="25" fillId="0" borderId="1" xfId="1" applyNumberFormat="1" applyFont="1" applyBorder="1"/>
    <xf numFmtId="3" fontId="25" fillId="0" borderId="1" xfId="0" applyNumberFormat="1" applyFont="1" applyBorder="1"/>
    <xf numFmtId="1" fontId="25" fillId="0" borderId="1" xfId="0" applyNumberFormat="1" applyFont="1" applyBorder="1"/>
    <xf numFmtId="0" fontId="25" fillId="0" borderId="1" xfId="0" applyFont="1" applyBorder="1"/>
    <xf numFmtId="0" fontId="26" fillId="0" borderId="0" xfId="0" applyFont="1"/>
    <xf numFmtId="14" fontId="26" fillId="0" borderId="0" xfId="0" applyNumberFormat="1" applyFont="1"/>
    <xf numFmtId="14" fontId="26" fillId="0" borderId="1" xfId="0" applyNumberFormat="1" applyFont="1" applyBorder="1"/>
    <xf numFmtId="167" fontId="26" fillId="0" borderId="1" xfId="1" applyNumberFormat="1" applyFont="1" applyBorder="1"/>
    <xf numFmtId="3" fontId="26" fillId="0" borderId="1" xfId="0" applyNumberFormat="1" applyFont="1" applyBorder="1"/>
    <xf numFmtId="1" fontId="26" fillId="0" borderId="1" xfId="0" applyNumberFormat="1" applyFont="1" applyBorder="1"/>
    <xf numFmtId="0" fontId="26" fillId="0" borderId="1" xfId="0" applyFont="1" applyBorder="1"/>
    <xf numFmtId="0" fontId="27" fillId="0" borderId="0" xfId="0" applyFont="1"/>
    <xf numFmtId="14" fontId="27" fillId="0" borderId="0" xfId="0" applyNumberFormat="1" applyFont="1"/>
    <xf numFmtId="14" fontId="27" fillId="0" borderId="1" xfId="0" applyNumberFormat="1" applyFont="1" applyBorder="1"/>
    <xf numFmtId="167" fontId="27" fillId="0" borderId="1" xfId="1" applyNumberFormat="1" applyFont="1" applyBorder="1"/>
    <xf numFmtId="3" fontId="27" fillId="0" borderId="1" xfId="0" applyNumberFormat="1" applyFont="1" applyBorder="1"/>
    <xf numFmtId="1" fontId="27" fillId="0" borderId="1" xfId="0" applyNumberFormat="1" applyFont="1" applyBorder="1"/>
    <xf numFmtId="0" fontId="27" fillId="0" borderId="1" xfId="0" applyFont="1" applyBorder="1"/>
    <xf numFmtId="0" fontId="28" fillId="0" borderId="0" xfId="0" applyFont="1"/>
    <xf numFmtId="14" fontId="28" fillId="0" borderId="0" xfId="0" applyNumberFormat="1" applyFont="1"/>
    <xf numFmtId="14" fontId="28" fillId="0" borderId="1" xfId="0" applyNumberFormat="1" applyFont="1" applyBorder="1"/>
    <xf numFmtId="167" fontId="28" fillId="0" borderId="1" xfId="1" applyNumberFormat="1" applyFont="1" applyBorder="1"/>
    <xf numFmtId="3" fontId="28" fillId="0" borderId="1" xfId="0" applyNumberFormat="1" applyFont="1" applyBorder="1"/>
    <xf numFmtId="1" fontId="28" fillId="0" borderId="1" xfId="0" applyNumberFormat="1" applyFont="1" applyBorder="1"/>
    <xf numFmtId="0" fontId="28" fillId="0" borderId="1" xfId="0" applyFont="1" applyBorder="1"/>
    <xf numFmtId="0" fontId="30" fillId="0" borderId="0" xfId="0" applyFont="1"/>
    <xf numFmtId="14" fontId="30" fillId="0" borderId="0" xfId="0" applyNumberFormat="1" applyFont="1"/>
    <xf numFmtId="167" fontId="30" fillId="0" borderId="0" xfId="1" applyNumberFormat="1" applyFont="1"/>
    <xf numFmtId="167" fontId="8" fillId="3" borderId="4" xfId="1" applyNumberFormat="1" applyFont="1" applyFill="1" applyBorder="1" applyAlignment="1">
      <alignment horizontal="centerContinuous" vertical="center"/>
    </xf>
    <xf numFmtId="0" fontId="31" fillId="0" borderId="0" xfId="0" applyFont="1"/>
    <xf numFmtId="14" fontId="31" fillId="0" borderId="0" xfId="0" applyNumberFormat="1" applyFont="1"/>
    <xf numFmtId="14" fontId="31" fillId="0" borderId="1" xfId="0" applyNumberFormat="1" applyFont="1" applyBorder="1"/>
    <xf numFmtId="167" fontId="31" fillId="0" borderId="1" xfId="1" applyNumberFormat="1" applyFont="1" applyBorder="1"/>
    <xf numFmtId="3" fontId="31" fillId="0" borderId="1" xfId="0" applyNumberFormat="1" applyFont="1" applyBorder="1"/>
    <xf numFmtId="14" fontId="31" fillId="0" borderId="1" xfId="0" applyNumberFormat="1" applyFont="1" applyBorder="1" applyAlignment="1">
      <alignment horizontal="left"/>
    </xf>
    <xf numFmtId="1" fontId="31" fillId="0" borderId="1" xfId="0" applyNumberFormat="1" applyFont="1" applyBorder="1"/>
    <xf numFmtId="0" fontId="31" fillId="0" borderId="1" xfId="0" applyFont="1" applyBorder="1"/>
    <xf numFmtId="49" fontId="0" fillId="0" borderId="1" xfId="0" quotePrefix="1" applyNumberFormat="1" applyBorder="1" applyAlignment="1">
      <alignment horizontal="left"/>
    </xf>
    <xf numFmtId="14" fontId="0" fillId="4" borderId="0" xfId="0" applyNumberFormat="1" applyFill="1"/>
    <xf numFmtId="167" fontId="34" fillId="0" borderId="0" xfId="1" applyNumberFormat="1" applyFont="1"/>
    <xf numFmtId="166" fontId="31" fillId="0" borderId="1" xfId="0" applyNumberFormat="1" applyFont="1" applyBorder="1"/>
    <xf numFmtId="166" fontId="0" fillId="0" borderId="1" xfId="0" applyNumberFormat="1" applyBorder="1"/>
    <xf numFmtId="166" fontId="31" fillId="0" borderId="0" xfId="1" applyNumberFormat="1" applyFont="1" applyBorder="1"/>
    <xf numFmtId="166" fontId="0" fillId="0" borderId="1" xfId="1" applyNumberFormat="1" applyFont="1" applyBorder="1"/>
    <xf numFmtId="166" fontId="0" fillId="0" borderId="0" xfId="1" applyNumberFormat="1" applyFont="1" applyBorder="1"/>
    <xf numFmtId="166" fontId="9" fillId="0" borderId="0" xfId="1" applyNumberFormat="1" applyFont="1" applyBorder="1"/>
    <xf numFmtId="166" fontId="10" fillId="0" borderId="0" xfId="1" applyNumberFormat="1" applyFont="1" applyBorder="1"/>
    <xf numFmtId="166" fontId="18" fillId="0" borderId="0" xfId="1" applyNumberFormat="1" applyFont="1" applyBorder="1"/>
    <xf numFmtId="166" fontId="19" fillId="0" borderId="0" xfId="1" applyNumberFormat="1" applyFont="1" applyBorder="1"/>
    <xf numFmtId="166" fontId="21" fillId="0" borderId="0" xfId="1" applyNumberFormat="1" applyFont="1" applyBorder="1"/>
    <xf numFmtId="166" fontId="25" fillId="0" borderId="0" xfId="1" applyNumberFormat="1" applyFont="1" applyBorder="1"/>
    <xf numFmtId="166" fontId="22" fillId="0" borderId="0" xfId="1" applyNumberFormat="1" applyFont="1" applyBorder="1"/>
    <xf numFmtId="166" fontId="28" fillId="0" borderId="0" xfId="1" applyNumberFormat="1" applyFont="1" applyBorder="1"/>
    <xf numFmtId="166" fontId="24" fillId="0" borderId="0" xfId="1" applyNumberFormat="1" applyFont="1" applyBorder="1"/>
    <xf numFmtId="166" fontId="26" fillId="0" borderId="0" xfId="1" applyNumberFormat="1" applyFont="1" applyBorder="1"/>
    <xf numFmtId="166" fontId="27" fillId="0" borderId="0" xfId="1" applyNumberFormat="1" applyFont="1" applyBorder="1"/>
    <xf numFmtId="166" fontId="9" fillId="0" borderId="1" xfId="1" applyNumberFormat="1" applyFont="1" applyBorder="1"/>
    <xf numFmtId="166" fontId="9" fillId="0" borderId="1" xfId="0" applyNumberFormat="1" applyFont="1" applyBorder="1"/>
    <xf numFmtId="166" fontId="25" fillId="0" borderId="1" xfId="0" applyNumberFormat="1" applyFont="1" applyBorder="1"/>
    <xf numFmtId="166" fontId="22" fillId="0" borderId="1" xfId="0" applyNumberFormat="1" applyFont="1" applyBorder="1"/>
    <xf numFmtId="166" fontId="28" fillId="0" borderId="1" xfId="0" applyNumberFormat="1" applyFont="1" applyBorder="1"/>
    <xf numFmtId="166" fontId="24" fillId="0" borderId="1" xfId="0" applyNumberFormat="1" applyFont="1" applyBorder="1"/>
    <xf numFmtId="166" fontId="26" fillId="0" borderId="1" xfId="0" applyNumberFormat="1" applyFont="1" applyBorder="1"/>
    <xf numFmtId="166" fontId="27" fillId="0" borderId="1" xfId="0" applyNumberFormat="1" applyFont="1" applyBorder="1"/>
    <xf numFmtId="166" fontId="10" fillId="0" borderId="1" xfId="0" applyNumberFormat="1" applyFont="1" applyBorder="1"/>
    <xf numFmtId="166" fontId="5" fillId="0" borderId="1" xfId="0" applyNumberFormat="1" applyFont="1" applyBorder="1"/>
    <xf numFmtId="166" fontId="10" fillId="0" borderId="1" xfId="1" applyNumberFormat="1" applyFont="1" applyBorder="1"/>
    <xf numFmtId="166" fontId="18" fillId="0" borderId="1" xfId="1" applyNumberFormat="1" applyFont="1" applyBorder="1"/>
    <xf numFmtId="166" fontId="18" fillId="0" borderId="1" xfId="0" applyNumberFormat="1" applyFont="1" applyBorder="1"/>
    <xf numFmtId="166" fontId="19" fillId="0" borderId="1" xfId="1" applyNumberFormat="1" applyFont="1" applyBorder="1"/>
    <xf numFmtId="166" fontId="19" fillId="0" borderId="1" xfId="0" applyNumberFormat="1" applyFont="1" applyBorder="1"/>
    <xf numFmtId="166" fontId="21" fillId="0" borderId="1" xfId="1" applyNumberFormat="1" applyFont="1" applyBorder="1"/>
    <xf numFmtId="166" fontId="21" fillId="0" borderId="1" xfId="0" applyNumberFormat="1" applyFont="1" applyBorder="1"/>
    <xf numFmtId="166" fontId="25" fillId="0" borderId="1" xfId="1" applyNumberFormat="1" applyFont="1" applyBorder="1"/>
    <xf numFmtId="166" fontId="22" fillId="0" borderId="1" xfId="1" applyNumberFormat="1" applyFont="1" applyBorder="1"/>
    <xf numFmtId="166" fontId="28" fillId="0" borderId="1" xfId="1" applyNumberFormat="1" applyFont="1" applyBorder="1"/>
    <xf numFmtId="166" fontId="24" fillId="0" borderId="1" xfId="1" applyNumberFormat="1" applyFont="1" applyBorder="1"/>
    <xf numFmtId="166" fontId="26" fillId="0" borderId="1" xfId="1" applyNumberFormat="1" applyFont="1" applyBorder="1"/>
    <xf numFmtId="166" fontId="27" fillId="0" borderId="1" xfId="1" applyNumberFormat="1" applyFont="1" applyBorder="1"/>
    <xf numFmtId="166" fontId="31" fillId="0" borderId="1" xfId="1" applyNumberFormat="1" applyFont="1" applyBorder="1"/>
    <xf numFmtId="167" fontId="35" fillId="0" borderId="0" xfId="1" applyNumberFormat="1" applyFont="1"/>
    <xf numFmtId="0" fontId="35" fillId="0" borderId="0" xfId="0" applyFont="1"/>
    <xf numFmtId="14" fontId="35" fillId="0" borderId="0" xfId="0" applyNumberFormat="1" applyFont="1"/>
    <xf numFmtId="14" fontId="35" fillId="0" borderId="1" xfId="0" applyNumberFormat="1" applyFont="1" applyBorder="1"/>
    <xf numFmtId="166" fontId="35" fillId="0" borderId="1" xfId="1" applyNumberFormat="1" applyFont="1" applyBorder="1"/>
    <xf numFmtId="166" fontId="35" fillId="0" borderId="1" xfId="0" applyNumberFormat="1" applyFont="1" applyBorder="1"/>
    <xf numFmtId="14" fontId="35" fillId="0" borderId="1" xfId="0" applyNumberFormat="1" applyFont="1" applyBorder="1" applyAlignment="1">
      <alignment horizontal="left"/>
    </xf>
    <xf numFmtId="3" fontId="35" fillId="0" borderId="1" xfId="0" applyNumberFormat="1" applyFont="1" applyBorder="1"/>
    <xf numFmtId="1" fontId="35" fillId="0" borderId="1" xfId="0" applyNumberFormat="1" applyFont="1" applyBorder="1"/>
    <xf numFmtId="0" fontId="35" fillId="0" borderId="1" xfId="0" applyFont="1" applyBorder="1"/>
    <xf numFmtId="167" fontId="35" fillId="0" borderId="1" xfId="1" applyNumberFormat="1" applyFont="1" applyBorder="1"/>
    <xf numFmtId="166" fontId="35" fillId="0" borderId="0" xfId="1" applyNumberFormat="1" applyFont="1" applyBorder="1"/>
    <xf numFmtId="0" fontId="36" fillId="0" borderId="0" xfId="0" applyFont="1"/>
    <xf numFmtId="167" fontId="36" fillId="0" borderId="0" xfId="1" applyNumberFormat="1" applyFont="1"/>
    <xf numFmtId="14" fontId="36" fillId="0" borderId="0" xfId="0" applyNumberFormat="1" applyFont="1"/>
    <xf numFmtId="14" fontId="36" fillId="0" borderId="1" xfId="0" applyNumberFormat="1" applyFont="1" applyBorder="1"/>
    <xf numFmtId="166" fontId="36" fillId="0" borderId="0" xfId="1" applyNumberFormat="1" applyFont="1" applyBorder="1"/>
    <xf numFmtId="167" fontId="37" fillId="0" borderId="0" xfId="1" applyNumberFormat="1" applyFont="1"/>
    <xf numFmtId="0" fontId="37" fillId="0" borderId="0" xfId="0" applyFont="1"/>
    <xf numFmtId="14" fontId="37" fillId="0" borderId="0" xfId="0" applyNumberFormat="1" applyFont="1"/>
    <xf numFmtId="14" fontId="37" fillId="0" borderId="1" xfId="0" applyNumberFormat="1" applyFont="1" applyBorder="1"/>
    <xf numFmtId="166" fontId="37" fillId="0" borderId="1" xfId="1" applyNumberFormat="1" applyFont="1" applyBorder="1"/>
    <xf numFmtId="166" fontId="37" fillId="0" borderId="1" xfId="0" applyNumberFormat="1" applyFont="1" applyBorder="1"/>
    <xf numFmtId="3" fontId="37" fillId="0" borderId="1" xfId="0" applyNumberFormat="1" applyFont="1" applyBorder="1"/>
    <xf numFmtId="1" fontId="37" fillId="0" borderId="1" xfId="0" applyNumberFormat="1" applyFont="1" applyBorder="1"/>
    <xf numFmtId="0" fontId="37" fillId="0" borderId="1" xfId="0" applyFont="1" applyBorder="1"/>
    <xf numFmtId="167" fontId="37" fillId="0" borderId="1" xfId="1" applyNumberFormat="1" applyFont="1" applyBorder="1"/>
    <xf numFmtId="166" fontId="37" fillId="0" borderId="0" xfId="1" applyNumberFormat="1" applyFont="1" applyBorder="1"/>
    <xf numFmtId="0" fontId="4" fillId="0" borderId="0" xfId="0" applyFont="1" applyAlignment="1">
      <alignment horizontal="right"/>
    </xf>
    <xf numFmtId="168" fontId="0" fillId="0" borderId="0" xfId="0" applyNumberFormat="1" applyAlignment="1">
      <alignment horizontal="center"/>
    </xf>
    <xf numFmtId="167" fontId="0" fillId="0" borderId="0" xfId="0" applyNumberFormat="1" applyAlignment="1">
      <alignment horizontal="center"/>
    </xf>
    <xf numFmtId="0" fontId="0" fillId="0" borderId="0" xfId="1" applyNumberFormat="1" applyFont="1" applyAlignment="1">
      <alignment horizontal="left"/>
    </xf>
    <xf numFmtId="14" fontId="0" fillId="0" borderId="0" xfId="0" applyNumberFormat="1" applyAlignment="1">
      <alignment horizontal="left"/>
    </xf>
    <xf numFmtId="1" fontId="0" fillId="0" borderId="0" xfId="0" applyNumberFormat="1"/>
    <xf numFmtId="166" fontId="37" fillId="0" borderId="0" xfId="1" applyNumberFormat="1" applyFont="1"/>
    <xf numFmtId="1" fontId="37" fillId="0" borderId="0" xfId="0" applyNumberFormat="1" applyFont="1"/>
    <xf numFmtId="3" fontId="39" fillId="2" borderId="0" xfId="0" applyNumberFormat="1" applyFont="1" applyFill="1" applyAlignment="1">
      <alignment vertical="center"/>
    </xf>
    <xf numFmtId="167" fontId="39" fillId="2" borderId="0" xfId="1" applyNumberFormat="1" applyFont="1" applyFill="1" applyBorder="1" applyAlignment="1">
      <alignment vertical="center"/>
    </xf>
    <xf numFmtId="166" fontId="0" fillId="0" borderId="0" xfId="1" applyNumberFormat="1" applyFont="1" applyBorder="1" applyAlignment="1">
      <alignment horizontal="center"/>
    </xf>
    <xf numFmtId="167" fontId="0" fillId="0" borderId="0" xfId="1" applyNumberFormat="1" applyFont="1" applyBorder="1"/>
    <xf numFmtId="14" fontId="0" fillId="0" borderId="1" xfId="1" applyNumberFormat="1" applyFont="1" applyBorder="1"/>
    <xf numFmtId="166" fontId="0" fillId="0" borderId="1" xfId="1" applyNumberFormat="1" applyFont="1" applyBorder="1" applyAlignment="1">
      <alignment horizontal="right"/>
    </xf>
    <xf numFmtId="166" fontId="9" fillId="0" borderId="1" xfId="1" applyNumberFormat="1" applyFont="1" applyBorder="1" applyAlignment="1">
      <alignment horizontal="right"/>
    </xf>
    <xf numFmtId="166" fontId="10" fillId="0" borderId="1" xfId="1" applyNumberFormat="1" applyFont="1" applyBorder="1" applyAlignment="1">
      <alignment horizontal="right"/>
    </xf>
    <xf numFmtId="166" fontId="18" fillId="0" borderId="1" xfId="1" applyNumberFormat="1" applyFont="1" applyBorder="1" applyAlignment="1">
      <alignment horizontal="right"/>
    </xf>
    <xf numFmtId="166" fontId="19" fillId="0" borderId="1" xfId="1" applyNumberFormat="1" applyFont="1" applyBorder="1" applyAlignment="1">
      <alignment horizontal="right"/>
    </xf>
    <xf numFmtId="166" fontId="21" fillId="0" borderId="1" xfId="1" applyNumberFormat="1" applyFont="1" applyBorder="1" applyAlignment="1">
      <alignment horizontal="right"/>
    </xf>
    <xf numFmtId="166" fontId="25" fillId="0" borderId="1" xfId="1" applyNumberFormat="1" applyFont="1" applyBorder="1" applyAlignment="1">
      <alignment horizontal="right"/>
    </xf>
    <xf numFmtId="166" fontId="22" fillId="0" borderId="1" xfId="1" applyNumberFormat="1" applyFont="1" applyBorder="1" applyAlignment="1">
      <alignment horizontal="right"/>
    </xf>
    <xf numFmtId="166" fontId="28" fillId="0" borderId="1" xfId="1" applyNumberFormat="1" applyFont="1" applyBorder="1" applyAlignment="1">
      <alignment horizontal="right"/>
    </xf>
    <xf numFmtId="166" fontId="24" fillId="0" borderId="1" xfId="1" applyNumberFormat="1" applyFont="1" applyBorder="1" applyAlignment="1">
      <alignment horizontal="right"/>
    </xf>
    <xf numFmtId="166" fontId="26" fillId="0" borderId="1" xfId="1" applyNumberFormat="1" applyFont="1" applyBorder="1" applyAlignment="1">
      <alignment horizontal="right"/>
    </xf>
    <xf numFmtId="166" fontId="27" fillId="0" borderId="1" xfId="1" applyNumberFormat="1" applyFont="1" applyBorder="1" applyAlignment="1">
      <alignment horizontal="right"/>
    </xf>
    <xf numFmtId="166" fontId="31" fillId="0" borderId="1" xfId="1" applyNumberFormat="1" applyFont="1" applyBorder="1" applyAlignment="1">
      <alignment horizontal="right"/>
    </xf>
    <xf numFmtId="166" fontId="35" fillId="0" borderId="1" xfId="1" applyNumberFormat="1" applyFont="1" applyBorder="1" applyAlignment="1">
      <alignment horizontal="right"/>
    </xf>
    <xf numFmtId="166" fontId="37" fillId="0" borderId="1" xfId="1" applyNumberFormat="1" applyFont="1" applyBorder="1" applyAlignment="1">
      <alignment horizontal="right"/>
    </xf>
    <xf numFmtId="166" fontId="0" fillId="0" borderId="0" xfId="1" applyNumberFormat="1" applyFont="1" applyBorder="1" applyAlignment="1">
      <alignment horizontal="right"/>
    </xf>
    <xf numFmtId="14" fontId="41" fillId="0" borderId="0" xfId="0" applyNumberFormat="1" applyFont="1"/>
    <xf numFmtId="0" fontId="41" fillId="0" borderId="0" xfId="0" applyFont="1"/>
    <xf numFmtId="1" fontId="0" fillId="0" borderId="0" xfId="0" applyNumberFormat="1" applyAlignment="1">
      <alignment horizontal="left"/>
    </xf>
    <xf numFmtId="14" fontId="30" fillId="0" borderId="0" xfId="0" applyNumberFormat="1" applyFont="1" applyAlignment="1">
      <alignment horizontal="left"/>
    </xf>
    <xf numFmtId="0" fontId="0" fillId="0" borderId="0" xfId="0" quotePrefix="1" applyAlignment="1">
      <alignment horizontal="left"/>
    </xf>
    <xf numFmtId="168" fontId="0" fillId="0" borderId="0" xfId="0" applyNumberFormat="1" applyAlignment="1">
      <alignment horizontal="left"/>
    </xf>
    <xf numFmtId="0" fontId="4" fillId="0" borderId="0" xfId="0" applyFont="1" applyAlignment="1">
      <alignment horizontal="left"/>
    </xf>
    <xf numFmtId="0" fontId="30" fillId="0" borderId="0" xfId="0" applyFont="1" applyAlignment="1">
      <alignment horizontal="left"/>
    </xf>
    <xf numFmtId="0" fontId="30" fillId="0" borderId="0" xfId="0" quotePrefix="1" applyFont="1" applyAlignment="1">
      <alignment horizontal="left"/>
    </xf>
    <xf numFmtId="166" fontId="37" fillId="0" borderId="1" xfId="1" applyNumberFormat="1" applyFont="1" applyBorder="1" applyAlignment="1">
      <alignment horizontal="center"/>
    </xf>
    <xf numFmtId="1" fontId="37" fillId="0" borderId="0" xfId="0" applyNumberFormat="1" applyFont="1" applyAlignment="1">
      <alignment horizontal="left"/>
    </xf>
    <xf numFmtId="166" fontId="0" fillId="0" borderId="1" xfId="1" applyNumberFormat="1" applyFont="1" applyBorder="1" applyAlignment="1">
      <alignment horizontal="center"/>
    </xf>
    <xf numFmtId="166" fontId="0" fillId="0" borderId="0" xfId="1" applyNumberFormat="1" applyFont="1" applyFill="1" applyAlignment="1">
      <alignment vertical="center"/>
    </xf>
    <xf numFmtId="41" fontId="0" fillId="0" borderId="0" xfId="7" applyFont="1"/>
    <xf numFmtId="41" fontId="7" fillId="0" borderId="0" xfId="7" applyFont="1"/>
    <xf numFmtId="41" fontId="0" fillId="0" borderId="0" xfId="7" applyFont="1" applyAlignment="1"/>
    <xf numFmtId="41" fontId="33" fillId="0" borderId="0" xfId="7" applyFont="1" applyAlignment="1"/>
    <xf numFmtId="41" fontId="21" fillId="0" borderId="0" xfId="7" applyFont="1" applyAlignment="1"/>
    <xf numFmtId="41" fontId="30" fillId="0" borderId="0" xfId="7" applyFont="1" applyAlignment="1"/>
    <xf numFmtId="41" fontId="35" fillId="0" borderId="0" xfId="7" applyFont="1" applyAlignment="1"/>
    <xf numFmtId="41" fontId="34" fillId="0" borderId="0" xfId="7" applyFont="1" applyAlignment="1"/>
    <xf numFmtId="41" fontId="10" fillId="0" borderId="0" xfId="7" applyFont="1" applyAlignment="1"/>
    <xf numFmtId="41" fontId="28" fillId="0" borderId="0" xfId="7" applyFont="1" applyAlignment="1"/>
    <xf numFmtId="41" fontId="21" fillId="0" borderId="0" xfId="7" applyFont="1" applyFill="1" applyAlignment="1"/>
    <xf numFmtId="41" fontId="23" fillId="0" borderId="0" xfId="7" applyFont="1" applyAlignment="1"/>
    <xf numFmtId="41" fontId="27" fillId="0" borderId="0" xfId="7" applyFont="1" applyAlignment="1"/>
    <xf numFmtId="41" fontId="24" fillId="0" borderId="0" xfId="7" applyFont="1" applyAlignment="1"/>
    <xf numFmtId="41" fontId="25" fillId="0" borderId="0" xfId="7" applyFont="1" applyAlignment="1"/>
    <xf numFmtId="41" fontId="29" fillId="0" borderId="0" xfId="7" applyFont="1" applyAlignment="1"/>
    <xf numFmtId="41" fontId="22" fillId="0" borderId="0" xfId="7" applyFont="1" applyAlignment="1"/>
    <xf numFmtId="41" fontId="31" fillId="0" borderId="0" xfId="7" applyFont="1" applyAlignment="1"/>
    <xf numFmtId="41" fontId="0" fillId="0" borderId="0" xfId="7" applyFont="1" applyFill="1" applyAlignment="1"/>
    <xf numFmtId="41" fontId="15" fillId="0" borderId="0" xfId="7" applyFont="1" applyAlignment="1"/>
    <xf numFmtId="41" fontId="19" fillId="0" borderId="0" xfId="7" applyFont="1" applyAlignment="1"/>
    <xf numFmtId="41" fontId="18" fillId="0" borderId="0" xfId="7" applyFont="1" applyAlignment="1"/>
    <xf numFmtId="41" fontId="36" fillId="0" borderId="0" xfId="7" applyFont="1" applyAlignment="1"/>
    <xf numFmtId="41" fontId="37" fillId="0" borderId="0" xfId="7" applyFont="1" applyAlignment="1"/>
    <xf numFmtId="41" fontId="0" fillId="0" borderId="0" xfId="0" applyNumberFormat="1"/>
    <xf numFmtId="166" fontId="37" fillId="0" borderId="0" xfId="1" applyNumberFormat="1" applyFont="1" applyBorder="1" applyAlignment="1">
      <alignment horizontal="center"/>
    </xf>
    <xf numFmtId="166" fontId="37" fillId="0" borderId="0" xfId="1" applyNumberFormat="1" applyFont="1" applyBorder="1" applyAlignment="1">
      <alignment horizontal="right"/>
    </xf>
    <xf numFmtId="167" fontId="37" fillId="0" borderId="0" xfId="1" applyNumberFormat="1" applyFont="1" applyBorder="1"/>
    <xf numFmtId="0" fontId="43" fillId="0" borderId="0" xfId="0" applyFont="1"/>
    <xf numFmtId="14" fontId="43" fillId="0" borderId="0" xfId="0" applyNumberFormat="1" applyFont="1"/>
    <xf numFmtId="14" fontId="43" fillId="0" borderId="1" xfId="0" applyNumberFormat="1" applyFont="1" applyBorder="1"/>
    <xf numFmtId="166" fontId="43" fillId="0" borderId="1" xfId="1" applyNumberFormat="1" applyFont="1" applyBorder="1" applyAlignment="1">
      <alignment horizontal="center"/>
    </xf>
    <xf numFmtId="166" fontId="43" fillId="0" borderId="1" xfId="1" applyNumberFormat="1" applyFont="1" applyBorder="1" applyAlignment="1">
      <alignment horizontal="right"/>
    </xf>
    <xf numFmtId="166" fontId="43" fillId="0" borderId="1" xfId="1" applyNumberFormat="1" applyFont="1" applyBorder="1"/>
    <xf numFmtId="166" fontId="43" fillId="0" borderId="1" xfId="0" applyNumberFormat="1" applyFont="1" applyBorder="1"/>
    <xf numFmtId="0" fontId="43" fillId="0" borderId="1" xfId="0" applyFont="1" applyBorder="1"/>
    <xf numFmtId="3" fontId="43" fillId="0" borderId="1" xfId="0" applyNumberFormat="1" applyFont="1" applyBorder="1"/>
    <xf numFmtId="1" fontId="43" fillId="0" borderId="1" xfId="0" applyNumberFormat="1" applyFont="1" applyBorder="1"/>
    <xf numFmtId="167" fontId="43" fillId="0" borderId="1" xfId="1" applyNumberFormat="1" applyFont="1" applyBorder="1"/>
    <xf numFmtId="166" fontId="43" fillId="0" borderId="0" xfId="1" applyNumberFormat="1" applyFont="1"/>
    <xf numFmtId="0" fontId="44" fillId="8" borderId="0" xfId="0" applyFont="1" applyFill="1" applyAlignment="1">
      <alignment horizontal="center"/>
    </xf>
    <xf numFmtId="0" fontId="45" fillId="0" borderId="0" xfId="5" applyFont="1"/>
    <xf numFmtId="166" fontId="43" fillId="0" borderId="0" xfId="1" applyNumberFormat="1" applyFont="1" applyBorder="1" applyAlignment="1">
      <alignment horizontal="center"/>
    </xf>
    <xf numFmtId="166" fontId="43" fillId="0" borderId="0" xfId="1" applyNumberFormat="1" applyFont="1" applyBorder="1" applyAlignment="1">
      <alignment horizontal="right"/>
    </xf>
    <xf numFmtId="166" fontId="43" fillId="0" borderId="0" xfId="1" applyNumberFormat="1" applyFont="1" applyBorder="1"/>
    <xf numFmtId="167" fontId="43" fillId="0" borderId="0" xfId="1" applyNumberFormat="1" applyFont="1" applyBorder="1"/>
    <xf numFmtId="41" fontId="4" fillId="0" borderId="0" xfId="7" applyFont="1" applyFill="1" applyAlignment="1"/>
    <xf numFmtId="167" fontId="42" fillId="0" borderId="0" xfId="1" applyNumberFormat="1" applyFont="1" applyFill="1"/>
    <xf numFmtId="167" fontId="10" fillId="0" borderId="0" xfId="1" applyNumberFormat="1" applyFont="1" applyFill="1"/>
    <xf numFmtId="0" fontId="42" fillId="0" borderId="0" xfId="0" applyFont="1" applyAlignment="1">
      <alignment horizontal="left"/>
    </xf>
    <xf numFmtId="14" fontId="42" fillId="0" borderId="0" xfId="0" applyNumberFormat="1" applyFont="1"/>
    <xf numFmtId="0" fontId="42" fillId="0" borderId="0" xfId="0" applyFont="1"/>
    <xf numFmtId="0" fontId="46" fillId="0" borderId="0" xfId="0" applyFont="1"/>
    <xf numFmtId="14" fontId="46" fillId="0" borderId="0" xfId="0" applyNumberFormat="1" applyFont="1"/>
    <xf numFmtId="14" fontId="46" fillId="0" borderId="1" xfId="0" applyNumberFormat="1" applyFont="1" applyBorder="1"/>
    <xf numFmtId="166" fontId="46" fillId="0" borderId="1" xfId="1" applyNumberFormat="1" applyFont="1" applyBorder="1" applyAlignment="1">
      <alignment horizontal="center"/>
    </xf>
    <xf numFmtId="166" fontId="46" fillId="0" borderId="1" xfId="1" applyNumberFormat="1" applyFont="1" applyBorder="1" applyAlignment="1">
      <alignment horizontal="right"/>
    </xf>
    <xf numFmtId="166" fontId="46" fillId="0" borderId="1" xfId="1" applyNumberFormat="1" applyFont="1" applyBorder="1"/>
    <xf numFmtId="166" fontId="46" fillId="0" borderId="1" xfId="0" applyNumberFormat="1" applyFont="1" applyBorder="1"/>
    <xf numFmtId="0" fontId="46" fillId="0" borderId="1" xfId="0" applyFont="1" applyBorder="1"/>
    <xf numFmtId="3" fontId="46" fillId="0" borderId="1" xfId="0" applyNumberFormat="1" applyFont="1" applyBorder="1"/>
    <xf numFmtId="1" fontId="46" fillId="0" borderId="1" xfId="0" applyNumberFormat="1" applyFont="1" applyBorder="1"/>
    <xf numFmtId="167" fontId="46" fillId="0" borderId="1" xfId="1" applyNumberFormat="1" applyFont="1" applyBorder="1"/>
    <xf numFmtId="166" fontId="46" fillId="0" borderId="0" xfId="1" applyNumberFormat="1" applyFont="1"/>
    <xf numFmtId="166" fontId="35" fillId="0" borderId="0" xfId="1" applyNumberFormat="1" applyFont="1" applyBorder="1" applyAlignment="1">
      <alignment horizontal="right"/>
    </xf>
    <xf numFmtId="165" fontId="0" fillId="0" borderId="0" xfId="0" applyNumberFormat="1" applyAlignment="1">
      <alignment vertical="center"/>
    </xf>
    <xf numFmtId="166" fontId="0" fillId="0" borderId="0" xfId="1" applyNumberFormat="1" applyFont="1" applyFill="1" applyBorder="1" applyAlignment="1">
      <alignment vertical="center"/>
    </xf>
    <xf numFmtId="41" fontId="0" fillId="0" borderId="0" xfId="7" applyFont="1" applyAlignment="1">
      <alignment vertical="center"/>
    </xf>
    <xf numFmtId="41" fontId="0" fillId="0" borderId="0" xfId="0" applyNumberFormat="1" applyAlignment="1">
      <alignment vertical="center"/>
    </xf>
    <xf numFmtId="165" fontId="0" fillId="0" borderId="0" xfId="0" applyNumberFormat="1" applyAlignment="1">
      <alignment vertical="center" wrapText="1"/>
    </xf>
    <xf numFmtId="0" fontId="47" fillId="0" borderId="0" xfId="0" applyFont="1"/>
    <xf numFmtId="14" fontId="47" fillId="0" borderId="0" xfId="0" applyNumberFormat="1" applyFont="1"/>
    <xf numFmtId="14" fontId="47" fillId="0" borderId="1" xfId="0" applyNumberFormat="1" applyFont="1" applyBorder="1"/>
    <xf numFmtId="166" fontId="47" fillId="0" borderId="1" xfId="1" applyNumberFormat="1" applyFont="1" applyBorder="1" applyAlignment="1">
      <alignment horizontal="center"/>
    </xf>
    <xf numFmtId="166" fontId="47" fillId="0" borderId="1" xfId="1" applyNumberFormat="1" applyFont="1" applyBorder="1" applyAlignment="1">
      <alignment horizontal="right"/>
    </xf>
    <xf numFmtId="166" fontId="47" fillId="0" borderId="1" xfId="1" applyNumberFormat="1" applyFont="1" applyBorder="1"/>
    <xf numFmtId="166" fontId="47" fillId="0" borderId="1" xfId="0" applyNumberFormat="1" applyFont="1" applyBorder="1"/>
    <xf numFmtId="0" fontId="47" fillId="0" borderId="1" xfId="0" applyFont="1" applyBorder="1"/>
    <xf numFmtId="3" fontId="47" fillId="0" borderId="1" xfId="0" applyNumberFormat="1" applyFont="1" applyBorder="1"/>
    <xf numFmtId="1" fontId="47" fillId="0" borderId="1" xfId="0" applyNumberFormat="1" applyFont="1" applyBorder="1"/>
    <xf numFmtId="167" fontId="47" fillId="0" borderId="1" xfId="1" applyNumberFormat="1" applyFont="1" applyBorder="1"/>
    <xf numFmtId="166" fontId="47" fillId="0" borderId="0" xfId="1" applyNumberFormat="1" applyFont="1"/>
    <xf numFmtId="166" fontId="47" fillId="0" borderId="0" xfId="1" applyNumberFormat="1" applyFont="1" applyBorder="1" applyAlignment="1">
      <alignment horizontal="center"/>
    </xf>
    <xf numFmtId="166" fontId="47" fillId="0" borderId="0" xfId="1" applyNumberFormat="1" applyFont="1" applyBorder="1" applyAlignment="1">
      <alignment horizontal="right"/>
    </xf>
    <xf numFmtId="166" fontId="47" fillId="0" borderId="0" xfId="1" applyNumberFormat="1" applyFont="1" applyBorder="1"/>
    <xf numFmtId="166" fontId="47" fillId="0" borderId="0" xfId="0" applyNumberFormat="1" applyFont="1"/>
    <xf numFmtId="3" fontId="47" fillId="0" borderId="0" xfId="0" applyNumberFormat="1" applyFont="1"/>
    <xf numFmtId="1" fontId="47" fillId="0" borderId="0" xfId="0" applyNumberFormat="1" applyFont="1"/>
    <xf numFmtId="167" fontId="47" fillId="0" borderId="0" xfId="1" applyNumberFormat="1" applyFont="1" applyBorder="1"/>
    <xf numFmtId="1" fontId="9" fillId="0" borderId="1" xfId="0" quotePrefix="1" applyNumberFormat="1" applyFont="1" applyBorder="1" applyAlignment="1">
      <alignment horizontal="left"/>
    </xf>
    <xf numFmtId="1" fontId="0" fillId="0" borderId="1" xfId="0" quotePrefix="1" applyNumberFormat="1" applyBorder="1" applyAlignment="1">
      <alignment horizontal="left"/>
    </xf>
    <xf numFmtId="1" fontId="43" fillId="0" borderId="1" xfId="0" applyNumberFormat="1" applyFont="1" applyBorder="1" applyAlignment="1">
      <alignment horizontal="left"/>
    </xf>
    <xf numFmtId="1" fontId="9" fillId="0" borderId="1" xfId="0" applyNumberFormat="1" applyFont="1" applyBorder="1" applyAlignment="1">
      <alignment horizontal="left"/>
    </xf>
    <xf numFmtId="1" fontId="37" fillId="0" borderId="1" xfId="0" applyNumberFormat="1" applyFont="1" applyBorder="1" applyAlignment="1">
      <alignment horizontal="left"/>
    </xf>
    <xf numFmtId="1" fontId="46" fillId="0" borderId="1" xfId="0" applyNumberFormat="1" applyFont="1" applyBorder="1" applyAlignment="1">
      <alignment horizontal="left"/>
    </xf>
    <xf numFmtId="1" fontId="47" fillId="0" borderId="0" xfId="0" applyNumberFormat="1" applyFont="1" applyAlignment="1">
      <alignment horizontal="left"/>
    </xf>
    <xf numFmtId="0" fontId="47" fillId="0" borderId="0" xfId="0" applyFont="1" applyAlignment="1">
      <alignment horizontal="left"/>
    </xf>
    <xf numFmtId="0" fontId="21" fillId="0" borderId="0" xfId="0" applyFont="1" applyAlignment="1">
      <alignment horizontal="left"/>
    </xf>
    <xf numFmtId="0" fontId="4" fillId="0" borderId="0" xfId="0" applyFont="1" applyAlignment="1">
      <alignment horizontal="center" vertical="center" wrapText="1"/>
    </xf>
    <xf numFmtId="0" fontId="4" fillId="0" borderId="0" xfId="0" applyFont="1" applyAlignment="1">
      <alignment vertical="center" wrapText="1"/>
    </xf>
    <xf numFmtId="0" fontId="8" fillId="0" borderId="0" xfId="0" applyFont="1"/>
    <xf numFmtId="0" fontId="48" fillId="0" borderId="0" xfId="0" applyFont="1"/>
    <xf numFmtId="14" fontId="48" fillId="0" borderId="0" xfId="0" applyNumberFormat="1" applyFont="1"/>
    <xf numFmtId="14" fontId="48" fillId="0" borderId="1" xfId="0" applyNumberFormat="1" applyFont="1" applyBorder="1"/>
    <xf numFmtId="1" fontId="48" fillId="0" borderId="1" xfId="0" applyNumberFormat="1" applyFont="1" applyBorder="1" applyAlignment="1">
      <alignment horizontal="left"/>
    </xf>
    <xf numFmtId="166" fontId="48" fillId="0" borderId="1" xfId="1" applyNumberFormat="1" applyFont="1" applyBorder="1" applyAlignment="1">
      <alignment horizontal="center"/>
    </xf>
    <xf numFmtId="166" fontId="48" fillId="0" borderId="1" xfId="1" applyNumberFormat="1" applyFont="1" applyBorder="1" applyAlignment="1">
      <alignment horizontal="right"/>
    </xf>
    <xf numFmtId="166" fontId="48" fillId="0" borderId="1" xfId="1" applyNumberFormat="1" applyFont="1" applyBorder="1"/>
    <xf numFmtId="166" fontId="48" fillId="0" borderId="1" xfId="0" applyNumberFormat="1" applyFont="1" applyBorder="1"/>
    <xf numFmtId="0" fontId="48" fillId="0" borderId="1" xfId="0" applyFont="1" applyBorder="1"/>
    <xf numFmtId="3" fontId="48" fillId="0" borderId="1" xfId="0" applyNumberFormat="1" applyFont="1" applyBorder="1"/>
    <xf numFmtId="1" fontId="48" fillId="0" borderId="1" xfId="0" applyNumberFormat="1" applyFont="1" applyBorder="1"/>
    <xf numFmtId="167" fontId="48" fillId="0" borderId="1" xfId="1" applyNumberFormat="1" applyFont="1" applyBorder="1"/>
    <xf numFmtId="166" fontId="48" fillId="0" borderId="0" xfId="1" applyNumberFormat="1" applyFont="1"/>
    <xf numFmtId="1" fontId="9" fillId="0" borderId="0" xfId="0" quotePrefix="1" applyNumberFormat="1" applyFont="1" applyAlignment="1">
      <alignment horizontal="left"/>
    </xf>
    <xf numFmtId="1" fontId="9" fillId="0" borderId="0" xfId="0" applyNumberFormat="1" applyFont="1" applyAlignment="1">
      <alignment horizontal="left"/>
    </xf>
    <xf numFmtId="1" fontId="43" fillId="0" borderId="0" xfId="0" applyNumberFormat="1" applyFont="1" applyAlignment="1">
      <alignment horizontal="left"/>
    </xf>
    <xf numFmtId="1" fontId="4" fillId="0" borderId="0" xfId="0" applyNumberFormat="1" applyFont="1" applyAlignment="1">
      <alignment horizontal="left"/>
    </xf>
    <xf numFmtId="166" fontId="37" fillId="0" borderId="0" xfId="0" applyNumberFormat="1" applyFont="1"/>
    <xf numFmtId="166" fontId="43" fillId="0" borderId="0" xfId="0" applyNumberFormat="1" applyFont="1"/>
    <xf numFmtId="3" fontId="37" fillId="0" borderId="0" xfId="0" applyNumberFormat="1" applyFont="1"/>
    <xf numFmtId="3" fontId="43" fillId="0" borderId="0" xfId="0" applyNumberFormat="1" applyFont="1"/>
    <xf numFmtId="1" fontId="43" fillId="0" borderId="0" xfId="0" applyNumberFormat="1" applyFont="1"/>
    <xf numFmtId="41" fontId="49" fillId="0" borderId="0" xfId="7" applyFont="1" applyAlignment="1"/>
    <xf numFmtId="14" fontId="0" fillId="0" borderId="0" xfId="1" applyNumberFormat="1" applyFont="1" applyAlignment="1">
      <alignment horizontal="left"/>
    </xf>
    <xf numFmtId="14" fontId="4" fillId="0" borderId="0" xfId="0" applyNumberFormat="1" applyFont="1"/>
    <xf numFmtId="168" fontId="4" fillId="0" borderId="0" xfId="0" applyNumberFormat="1" applyFont="1" applyAlignment="1">
      <alignment horizontal="left"/>
    </xf>
    <xf numFmtId="166" fontId="4" fillId="0" borderId="0" xfId="1" applyNumberFormat="1" applyFont="1"/>
    <xf numFmtId="1" fontId="0" fillId="0" borderId="1" xfId="0" applyNumberFormat="1" applyBorder="1" applyAlignment="1">
      <alignment horizontal="left"/>
    </xf>
    <xf numFmtId="166" fontId="0" fillId="0" borderId="1" xfId="7" applyNumberFormat="1" applyFont="1" applyBorder="1"/>
    <xf numFmtId="166" fontId="0" fillId="0" borderId="0" xfId="7" applyNumberFormat="1" applyFont="1" applyBorder="1"/>
    <xf numFmtId="0" fontId="50" fillId="0" borderId="0" xfId="0" applyFont="1"/>
    <xf numFmtId="41" fontId="51" fillId="0" borderId="0" xfId="7" applyFont="1" applyAlignment="1"/>
    <xf numFmtId="167" fontId="0" fillId="0" borderId="0" xfId="1" applyNumberFormat="1" applyFont="1" applyAlignment="1">
      <alignment horizontal="left"/>
    </xf>
    <xf numFmtId="49" fontId="0" fillId="0" borderId="0" xfId="1" applyNumberFormat="1" applyFont="1" applyAlignment="1">
      <alignment horizontal="left"/>
    </xf>
    <xf numFmtId="49" fontId="4" fillId="0" borderId="0" xfId="0" applyNumberFormat="1" applyFont="1"/>
    <xf numFmtId="49" fontId="0" fillId="0" borderId="0" xfId="1" applyNumberFormat="1" applyFont="1" applyAlignment="1"/>
    <xf numFmtId="0" fontId="51" fillId="0" borderId="0" xfId="0" applyFont="1"/>
    <xf numFmtId="166" fontId="51" fillId="0" borderId="0" xfId="1" applyNumberFormat="1" applyFont="1"/>
    <xf numFmtId="0" fontId="0" fillId="4" borderId="0" xfId="0" applyFill="1"/>
    <xf numFmtId="49" fontId="0" fillId="4" borderId="0" xfId="0" applyNumberFormat="1" applyFill="1"/>
    <xf numFmtId="41" fontId="0" fillId="4" borderId="0" xfId="7" applyFont="1" applyFill="1" applyAlignment="1"/>
    <xf numFmtId="167" fontId="0" fillId="4" borderId="0" xfId="1" applyNumberFormat="1" applyFont="1" applyFill="1"/>
    <xf numFmtId="0" fontId="0" fillId="4" borderId="0" xfId="0" applyFill="1" applyAlignment="1">
      <alignment horizontal="left"/>
    </xf>
    <xf numFmtId="49" fontId="0" fillId="4" borderId="0" xfId="0" applyNumberFormat="1" applyFill="1" applyAlignment="1">
      <alignment horizontal="left"/>
    </xf>
    <xf numFmtId="14" fontId="0" fillId="4" borderId="0" xfId="0" applyNumberFormat="1" applyFill="1" applyAlignment="1">
      <alignment horizontal="left"/>
    </xf>
    <xf numFmtId="167" fontId="10" fillId="4" borderId="0" xfId="1" applyNumberFormat="1" applyFont="1" applyFill="1"/>
    <xf numFmtId="0" fontId="4" fillId="6" borderId="0" xfId="0" applyFont="1" applyFill="1"/>
    <xf numFmtId="49" fontId="4" fillId="6" borderId="0" xfId="0" applyNumberFormat="1" applyFont="1" applyFill="1"/>
    <xf numFmtId="41" fontId="4" fillId="6" borderId="0" xfId="7" applyFont="1" applyFill="1" applyAlignment="1"/>
    <xf numFmtId="167" fontId="4" fillId="6" borderId="0" xfId="1" applyNumberFormat="1" applyFont="1" applyFill="1"/>
    <xf numFmtId="0" fontId="4" fillId="6" borderId="0" xfId="0" applyFont="1" applyFill="1" applyAlignment="1">
      <alignment horizontal="left"/>
    </xf>
    <xf numFmtId="49" fontId="4" fillId="6" borderId="0" xfId="0" quotePrefix="1" applyNumberFormat="1" applyFont="1" applyFill="1" applyAlignment="1">
      <alignment horizontal="left"/>
    </xf>
    <xf numFmtId="14" fontId="4" fillId="6" borderId="0" xfId="0" applyNumberFormat="1" applyFont="1" applyFill="1" applyAlignment="1">
      <alignment horizontal="left"/>
    </xf>
    <xf numFmtId="14" fontId="4" fillId="6" borderId="0" xfId="0" applyNumberFormat="1" applyFont="1" applyFill="1"/>
    <xf numFmtId="0" fontId="4" fillId="6" borderId="0" xfId="0" quotePrefix="1" applyFont="1" applyFill="1" applyAlignment="1">
      <alignment horizontal="left"/>
    </xf>
    <xf numFmtId="41" fontId="42" fillId="6" borderId="0" xfId="7" applyFont="1" applyFill="1" applyAlignment="1"/>
    <xf numFmtId="167" fontId="42" fillId="6" borderId="0" xfId="1" applyNumberFormat="1" applyFont="1" applyFill="1"/>
    <xf numFmtId="0" fontId="42" fillId="6" borderId="0" xfId="0" applyFont="1" applyFill="1" applyAlignment="1">
      <alignment horizontal="left"/>
    </xf>
    <xf numFmtId="14" fontId="42" fillId="6" borderId="0" xfId="0" applyNumberFormat="1" applyFont="1" applyFill="1"/>
    <xf numFmtId="0" fontId="42" fillId="6" borderId="0" xfId="0" applyFont="1" applyFill="1"/>
    <xf numFmtId="49" fontId="4" fillId="6" borderId="0" xfId="0" applyNumberFormat="1" applyFont="1" applyFill="1" applyAlignment="1">
      <alignment horizontal="left"/>
    </xf>
    <xf numFmtId="14" fontId="51" fillId="0" borderId="1" xfId="0" applyNumberFormat="1" applyFont="1" applyBorder="1"/>
    <xf numFmtId="166" fontId="51" fillId="0" borderId="1" xfId="1" applyNumberFormat="1" applyFont="1" applyBorder="1" applyAlignment="1">
      <alignment horizontal="center"/>
    </xf>
    <xf numFmtId="166" fontId="51" fillId="0" borderId="1" xfId="1" applyNumberFormat="1" applyFont="1" applyBorder="1" applyAlignment="1">
      <alignment horizontal="right"/>
    </xf>
    <xf numFmtId="166" fontId="51" fillId="0" borderId="1" xfId="1" applyNumberFormat="1" applyFont="1" applyBorder="1"/>
    <xf numFmtId="166" fontId="51" fillId="0" borderId="1" xfId="0" applyNumberFormat="1" applyFont="1" applyBorder="1"/>
    <xf numFmtId="0" fontId="51" fillId="0" borderId="1" xfId="0" applyFont="1" applyBorder="1"/>
    <xf numFmtId="3" fontId="51" fillId="0" borderId="1" xfId="0" applyNumberFormat="1" applyFont="1" applyBorder="1"/>
    <xf numFmtId="1" fontId="51" fillId="0" borderId="1" xfId="0" applyNumberFormat="1" applyFont="1" applyBorder="1"/>
    <xf numFmtId="167" fontId="51" fillId="0" borderId="1" xfId="1" applyNumberFormat="1" applyFont="1" applyBorder="1"/>
    <xf numFmtId="1" fontId="47" fillId="0" borderId="1" xfId="0" applyNumberFormat="1" applyFont="1" applyBorder="1" applyAlignment="1">
      <alignment horizontal="left"/>
    </xf>
    <xf numFmtId="1" fontId="46" fillId="0" borderId="0" xfId="0" applyNumberFormat="1" applyFont="1" applyAlignment="1">
      <alignment horizontal="left"/>
    </xf>
    <xf numFmtId="168" fontId="0" fillId="0" borderId="1" xfId="0" applyNumberFormat="1" applyBorder="1" applyAlignment="1">
      <alignment horizontal="left"/>
    </xf>
    <xf numFmtId="3" fontId="0" fillId="0" borderId="0" xfId="0" quotePrefix="1" applyNumberFormat="1" applyAlignment="1">
      <alignment horizontal="left"/>
    </xf>
    <xf numFmtId="14" fontId="4" fillId="0" borderId="1" xfId="0" applyNumberFormat="1" applyFont="1" applyBorder="1"/>
    <xf numFmtId="1" fontId="4" fillId="0" borderId="1" xfId="0" applyNumberFormat="1" applyFont="1" applyBorder="1" applyAlignment="1">
      <alignment horizontal="left"/>
    </xf>
    <xf numFmtId="166" fontId="4" fillId="0" borderId="1" xfId="1" applyNumberFormat="1" applyFont="1" applyBorder="1" applyAlignment="1">
      <alignment horizontal="center"/>
    </xf>
    <xf numFmtId="166" fontId="46" fillId="0" borderId="0" xfId="1" applyNumberFormat="1" applyFont="1" applyBorder="1" applyAlignment="1">
      <alignment horizontal="center"/>
    </xf>
    <xf numFmtId="166" fontId="4" fillId="0" borderId="1" xfId="1" applyNumberFormat="1" applyFont="1" applyBorder="1" applyAlignment="1">
      <alignment horizontal="right"/>
    </xf>
    <xf numFmtId="166" fontId="46" fillId="0" borderId="0" xfId="1" applyNumberFormat="1" applyFont="1" applyBorder="1" applyAlignment="1">
      <alignment horizontal="right"/>
    </xf>
    <xf numFmtId="166" fontId="36" fillId="0" borderId="0" xfId="1" applyNumberFormat="1" applyFont="1" applyBorder="1" applyAlignment="1">
      <alignment horizontal="right"/>
    </xf>
    <xf numFmtId="166" fontId="4" fillId="0" borderId="1" xfId="1" applyNumberFormat="1" applyFont="1" applyBorder="1"/>
    <xf numFmtId="166" fontId="46" fillId="0" borderId="0" xfId="1" applyNumberFormat="1" applyFont="1" applyBorder="1"/>
    <xf numFmtId="166" fontId="4" fillId="0" borderId="1" xfId="0" applyNumberFormat="1" applyFont="1" applyBorder="1"/>
    <xf numFmtId="166" fontId="46" fillId="0" borderId="0" xfId="0" applyNumberFormat="1" applyFont="1"/>
    <xf numFmtId="166" fontId="36" fillId="0" borderId="0" xfId="0" applyNumberFormat="1" applyFont="1"/>
    <xf numFmtId="0" fontId="4" fillId="0" borderId="1" xfId="0" applyFont="1" applyBorder="1"/>
    <xf numFmtId="3" fontId="4" fillId="0" borderId="1" xfId="0" applyNumberFormat="1" applyFont="1" applyBorder="1"/>
    <xf numFmtId="3" fontId="46" fillId="0" borderId="0" xfId="0" applyNumberFormat="1" applyFont="1"/>
    <xf numFmtId="3" fontId="36" fillId="0" borderId="0" xfId="0" applyNumberFormat="1" applyFont="1"/>
    <xf numFmtId="1" fontId="4" fillId="0" borderId="1" xfId="0" applyNumberFormat="1" applyFont="1" applyBorder="1"/>
    <xf numFmtId="1" fontId="46" fillId="0" borderId="0" xfId="0" applyNumberFormat="1" applyFont="1"/>
    <xf numFmtId="1" fontId="36" fillId="0" borderId="0" xfId="0" applyNumberFormat="1" applyFont="1"/>
    <xf numFmtId="167" fontId="4" fillId="0" borderId="1" xfId="1" applyNumberFormat="1" applyFont="1" applyBorder="1"/>
    <xf numFmtId="167" fontId="46" fillId="0" borderId="0" xfId="1" applyNumberFormat="1" applyFont="1" applyBorder="1"/>
    <xf numFmtId="167" fontId="36" fillId="0" borderId="0" xfId="1" applyNumberFormat="1" applyFont="1" applyBorder="1"/>
    <xf numFmtId="41" fontId="4" fillId="0" borderId="0" xfId="7" applyFont="1" applyAlignment="1"/>
    <xf numFmtId="0" fontId="4" fillId="9" borderId="0" xfId="0" applyFont="1" applyFill="1" applyAlignment="1">
      <alignment horizontal="left"/>
    </xf>
    <xf numFmtId="0" fontId="4" fillId="9" borderId="0" xfId="0" applyFont="1" applyFill="1"/>
    <xf numFmtId="49" fontId="4" fillId="9" borderId="0" xfId="0" applyNumberFormat="1" applyFont="1" applyFill="1"/>
    <xf numFmtId="41" fontId="4" fillId="9" borderId="0" xfId="7" applyFont="1" applyFill="1" applyAlignment="1"/>
    <xf numFmtId="167" fontId="4" fillId="9" borderId="0" xfId="1" applyNumberFormat="1" applyFont="1" applyFill="1"/>
    <xf numFmtId="49" fontId="4" fillId="9" borderId="0" xfId="0" applyNumberFormat="1" applyFont="1" applyFill="1" applyAlignment="1">
      <alignment horizontal="left"/>
    </xf>
    <xf numFmtId="14" fontId="4" fillId="9" borderId="0" xfId="0" applyNumberFormat="1" applyFont="1" applyFill="1" applyAlignment="1">
      <alignment horizontal="left"/>
    </xf>
    <xf numFmtId="14" fontId="4" fillId="9" borderId="0" xfId="0" applyNumberFormat="1" applyFont="1" applyFill="1"/>
    <xf numFmtId="49" fontId="4" fillId="9" borderId="0" xfId="0" quotePrefix="1" applyNumberFormat="1" applyFont="1" applyFill="1" applyAlignment="1">
      <alignment horizontal="left"/>
    </xf>
    <xf numFmtId="0" fontId="4" fillId="9" borderId="0" xfId="0" quotePrefix="1" applyFont="1" applyFill="1" applyAlignment="1">
      <alignment horizontal="left"/>
    </xf>
    <xf numFmtId="14" fontId="4" fillId="9" borderId="0" xfId="0" quotePrefix="1" applyNumberFormat="1" applyFont="1" applyFill="1"/>
    <xf numFmtId="0" fontId="4" fillId="9" borderId="0" xfId="0" quotePrefix="1" applyFont="1" applyFill="1"/>
    <xf numFmtId="1" fontId="32" fillId="0" borderId="1" xfId="0" quotePrefix="1" applyNumberFormat="1" applyFont="1" applyBorder="1" applyAlignment="1">
      <alignment horizontal="left"/>
    </xf>
    <xf numFmtId="167" fontId="7" fillId="0" borderId="0" xfId="1" applyNumberFormat="1" applyFont="1" applyFill="1"/>
    <xf numFmtId="167" fontId="25" fillId="0" borderId="0" xfId="1" applyNumberFormat="1" applyFont="1" applyFill="1"/>
    <xf numFmtId="167" fontId="30" fillId="0" borderId="0" xfId="1" applyNumberFormat="1" applyFont="1" applyFill="1"/>
    <xf numFmtId="167" fontId="4" fillId="0" borderId="0" xfId="1" applyNumberFormat="1" applyFont="1" applyFill="1"/>
    <xf numFmtId="0" fontId="39" fillId="2" borderId="0" xfId="0" applyFont="1" applyFill="1" applyAlignment="1">
      <alignment vertical="center"/>
    </xf>
    <xf numFmtId="0" fontId="38" fillId="2" borderId="0" xfId="0" applyFont="1" applyFill="1" applyAlignment="1">
      <alignment vertical="center"/>
    </xf>
    <xf numFmtId="0" fontId="3" fillId="2" borderId="0" xfId="0" applyFont="1" applyFill="1" applyAlignment="1">
      <alignment horizontal="center" vertical="center"/>
    </xf>
    <xf numFmtId="0" fontId="16" fillId="2" borderId="0" xfId="0" applyFont="1" applyFill="1" applyAlignment="1">
      <alignment vertical="center"/>
    </xf>
    <xf numFmtId="41" fontId="52" fillId="0" borderId="0" xfId="7" applyFont="1" applyAlignment="1"/>
    <xf numFmtId="167" fontId="52" fillId="0" borderId="0" xfId="1" applyNumberFormat="1" applyFont="1"/>
    <xf numFmtId="41" fontId="51" fillId="7" borderId="0" xfId="7" applyFont="1" applyFill="1" applyAlignment="1"/>
    <xf numFmtId="168" fontId="0" fillId="0" borderId="0" xfId="0" applyNumberFormat="1" applyAlignment="1">
      <alignment horizontal="left" vertical="center"/>
    </xf>
    <xf numFmtId="0" fontId="5" fillId="2" borderId="0" xfId="0" applyFont="1" applyFill="1" applyAlignment="1">
      <alignment horizontal="left" vertical="center"/>
    </xf>
    <xf numFmtId="166" fontId="0" fillId="0" borderId="1" xfId="8" applyNumberFormat="1" applyFont="1" applyBorder="1"/>
    <xf numFmtId="167" fontId="0" fillId="0" borderId="0" xfId="8" applyNumberFormat="1" applyFont="1"/>
    <xf numFmtId="166" fontId="0" fillId="0" borderId="0" xfId="8" applyNumberFormat="1" applyFont="1" applyBorder="1"/>
    <xf numFmtId="14" fontId="0" fillId="0" borderId="0" xfId="0" quotePrefix="1" applyNumberFormat="1" applyAlignment="1">
      <alignment horizontal="left"/>
    </xf>
  </cellXfs>
  <cellStyles count="9">
    <cellStyle name="Lien hypertexte 2" xfId="6" xr:uid="{2AC1C3BC-C53B-4B67-95BB-F3F09BE48E44}"/>
    <cellStyle name="Milliers" xfId="1" builtinId="3"/>
    <cellStyle name="Milliers [0]" xfId="7" builtinId="6"/>
    <cellStyle name="Milliers 2" xfId="4" xr:uid="{00000000-0005-0000-0000-000002000000}"/>
    <cellStyle name="Milliers 3" xfId="8" xr:uid="{BE95F256-3407-4AF2-9E3F-87E909E22C3B}"/>
    <cellStyle name="Normal" xfId="0" builtinId="0"/>
    <cellStyle name="Normal 2" xfId="3" xr:uid="{00000000-0005-0000-0000-000004000000}"/>
    <cellStyle name="Normal 3" xfId="5" xr:uid="{BD8893FB-0D5B-453F-8500-48D9726ACA5C}"/>
    <cellStyle name="Pourcentage" xfId="2" builtinId="5"/>
  </cellStyles>
  <dxfs count="168">
    <dxf>
      <font>
        <color rgb="FF9C0006"/>
      </font>
      <fill>
        <patternFill>
          <bgColor rgb="FFFFC7CE"/>
        </patternFill>
      </fill>
    </dxf>
    <dxf>
      <font>
        <b/>
        <i val="0"/>
        <color rgb="FFC00000"/>
      </font>
    </dxf>
    <dxf>
      <font>
        <b/>
        <i val="0"/>
        <color rgb="FF00B050"/>
      </font>
    </dxf>
    <dxf>
      <font>
        <b/>
        <i val="0"/>
        <color theme="9" tint="-0.24994659260841701"/>
      </font>
    </dxf>
    <dxf>
      <font>
        <b/>
        <i/>
        <color theme="4" tint="-0.24994659260841701"/>
      </font>
    </dxf>
    <dxf>
      <font>
        <color rgb="FF9C0006"/>
      </font>
      <fill>
        <patternFill>
          <bgColor rgb="FFFFC7CE"/>
        </patternFill>
      </fill>
    </dxf>
    <dxf>
      <font>
        <b/>
        <i val="0"/>
        <color rgb="FFC00000"/>
      </font>
    </dxf>
    <dxf>
      <font>
        <b/>
        <i val="0"/>
        <color rgb="FF00B050"/>
      </font>
    </dxf>
    <dxf>
      <font>
        <b/>
        <i val="0"/>
        <color theme="9" tint="-0.24994659260841701"/>
      </font>
    </dxf>
    <dxf>
      <font>
        <b/>
        <i/>
        <color theme="4" tint="-0.24994659260841701"/>
      </font>
    </dxf>
    <dxf>
      <font>
        <b val="0"/>
        <i val="0"/>
        <color rgb="FF008E40"/>
      </font>
    </dxf>
    <dxf>
      <border>
        <left style="thin">
          <color theme="0" tint="-0.24994659260841701"/>
        </left>
        <right style="thin">
          <color theme="0" tint="-0.24994659260841701"/>
        </right>
        <top style="thin">
          <color theme="0" tint="-0.24994659260841701"/>
        </top>
        <bottom style="thin">
          <color theme="0" tint="-0.24994659260841701"/>
        </bottom>
        <vertical/>
        <horizontal/>
      </border>
    </dxf>
    <dxf>
      <fill>
        <patternFill>
          <bgColor theme="9" tint="0.79998168889431442"/>
        </patternFill>
      </fill>
    </dxf>
    <dxf>
      <fill>
        <patternFill>
          <bgColor rgb="FFFFCCFF"/>
        </patternFill>
      </fill>
    </dxf>
    <dxf>
      <fill>
        <patternFill>
          <bgColor rgb="FFFDADC2"/>
        </patternFill>
      </fill>
    </dxf>
    <dxf>
      <fill>
        <patternFill>
          <bgColor theme="9" tint="0.79998168889431442"/>
        </patternFill>
      </fill>
    </dxf>
    <dxf>
      <fill>
        <patternFill>
          <bgColor rgb="FFFFCCFF"/>
        </patternFill>
      </fill>
    </dxf>
    <dxf>
      <fill>
        <patternFill>
          <bgColor rgb="FFFDADC2"/>
        </patternFill>
      </fill>
    </dxf>
    <dxf>
      <fill>
        <patternFill>
          <bgColor theme="9" tint="0.79998168889431442"/>
        </patternFill>
      </fill>
    </dxf>
    <dxf>
      <fill>
        <patternFill>
          <bgColor rgb="FFFFCCFF"/>
        </patternFill>
      </fill>
    </dxf>
    <dxf>
      <fill>
        <patternFill>
          <bgColor rgb="FFFDADC2"/>
        </patternFill>
      </fill>
    </dxf>
    <dxf>
      <fill>
        <patternFill>
          <bgColor theme="9" tint="0.79998168889431442"/>
        </patternFill>
      </fill>
    </dxf>
    <dxf>
      <fill>
        <patternFill>
          <bgColor rgb="FFFFCCFF"/>
        </patternFill>
      </fill>
    </dxf>
    <dxf>
      <fill>
        <patternFill>
          <bgColor rgb="FFFDADC2"/>
        </patternFill>
      </fill>
    </dxf>
    <dxf>
      <fill>
        <patternFill>
          <bgColor theme="9" tint="0.79998168889431442"/>
        </patternFill>
      </fill>
    </dxf>
    <dxf>
      <fill>
        <patternFill>
          <bgColor rgb="FFFFCCFF"/>
        </patternFill>
      </fill>
    </dxf>
    <dxf>
      <fill>
        <patternFill>
          <bgColor rgb="FFFDADC2"/>
        </patternFill>
      </fill>
    </dxf>
    <dxf>
      <fill>
        <patternFill>
          <bgColor theme="9" tint="0.79998168889431442"/>
        </patternFill>
      </fill>
    </dxf>
    <dxf>
      <fill>
        <patternFill>
          <bgColor rgb="FFFFCCFF"/>
        </patternFill>
      </fill>
    </dxf>
    <dxf>
      <fill>
        <patternFill>
          <bgColor rgb="FFFDADC2"/>
        </patternFill>
      </fill>
    </dxf>
    <dxf>
      <font>
        <color rgb="FF9C0006"/>
      </font>
      <fill>
        <patternFill>
          <bgColor rgb="FFFFC7CE"/>
        </patternFill>
      </fill>
    </dxf>
    <dxf>
      <numFmt numFmtId="0" formatCode="General"/>
    </dxf>
    <dxf>
      <numFmt numFmtId="0" formatCode="General"/>
    </dxf>
    <dxf>
      <numFmt numFmtId="3" formatCode="#,##0"/>
    </dxf>
    <dxf>
      <numFmt numFmtId="166" formatCode="#,##0_ ;[Red]\-#,##0\ "/>
      <border diagonalUp="0" diagonalDown="0">
        <left/>
        <right/>
        <top style="thin">
          <color theme="1"/>
        </top>
        <bottom/>
      </border>
    </dxf>
    <dxf>
      <numFmt numFmtId="1" formatCode="0"/>
      <fill>
        <patternFill patternType="solid">
          <fgColor indexed="64"/>
          <bgColor rgb="FFFFC000"/>
        </patternFill>
      </fill>
      <border diagonalUp="0" diagonalDown="0" outline="0">
        <left/>
        <right style="thin">
          <color theme="1"/>
        </right>
        <top/>
        <bottom/>
      </border>
    </dxf>
    <dxf>
      <border diagonalUp="0" diagonalDown="0" outline="0">
        <left/>
        <right style="thin">
          <color theme="1"/>
        </right>
        <top/>
        <bottom/>
      </border>
    </dxf>
    <dxf>
      <alignment horizontal="left" vertical="bottom" textRotation="0" wrapText="0" indent="0" justifyLastLine="0" shrinkToFit="0" readingOrder="0"/>
      <border diagonalUp="0" diagonalDown="0" outline="0">
        <left/>
        <right/>
        <top style="thin">
          <color theme="1"/>
        </top>
        <bottom/>
      </border>
    </dxf>
    <dxf>
      <alignment horizontal="left" vertical="bottom" textRotation="0" wrapText="0" indent="0" justifyLastLine="0" shrinkToFit="0" readingOrder="0"/>
    </dxf>
    <dxf>
      <numFmt numFmtId="1" formatCode="0"/>
      <alignment horizontal="left" vertical="bottom" textRotation="0" wrapText="0" indent="0" justifyLastLine="0" shrinkToFit="0" readingOrder="0"/>
      <border diagonalUp="0" diagonalDown="0" outline="0">
        <left/>
        <right/>
        <top style="thin">
          <color theme="1"/>
        </top>
        <bottom/>
      </border>
    </dxf>
    <dxf>
      <border diagonalUp="0" diagonalDown="0" outline="0">
        <left/>
        <right style="thin">
          <color theme="1"/>
        </right>
        <top/>
        <bottom/>
      </border>
    </dxf>
    <dxf>
      <alignment horizontal="left" vertical="bottom" textRotation="0" wrapText="0" indent="0" justifyLastLine="0" shrinkToFit="0" readingOrder="0"/>
      <border diagonalUp="0" diagonalDown="0" outline="0">
        <left/>
        <right/>
        <top style="thin">
          <color theme="1"/>
        </top>
        <bottom/>
      </border>
    </dxf>
    <dxf>
      <numFmt numFmtId="19" formatCode="dd/mm/yyyy"/>
      <border diagonalUp="0" diagonalDown="0" outline="0">
        <left/>
        <right/>
        <top style="thin">
          <color theme="1"/>
        </top>
        <bottom/>
      </border>
    </dxf>
    <dxf>
      <border outline="0">
        <left style="thin">
          <color rgb="FF000000"/>
        </left>
        <top style="thin">
          <color rgb="FF000000"/>
        </top>
        <bottom style="thin">
          <color rgb="FF000000"/>
        </bottom>
      </border>
    </dxf>
    <dxf>
      <alignment horizontal="general" vertical="center" textRotation="0" indent="0" justifyLastLine="0" shrinkToFit="0" readingOrder="0"/>
    </dxf>
    <dxf>
      <numFmt numFmtId="0" formatCode="General"/>
    </dxf>
    <dxf>
      <numFmt numFmtId="0" formatCode="General"/>
    </dxf>
    <dxf>
      <numFmt numFmtId="0" formatCode="General"/>
    </dxf>
    <dxf>
      <numFmt numFmtId="167" formatCode="_-* #,##0\ _€_-;\-* #,##0\ _€_-;_-* &quot;-&quot;??\ _€_-;_-@_-"/>
    </dxf>
    <dxf>
      <numFmt numFmtId="166" formatCode="#,##0_ ;[Red]\-#,##0\ "/>
    </dxf>
    <dxf>
      <numFmt numFmtId="167" formatCode="_-* #,##0\ _€_-;\-* #,##0\ _€_-;_-* &quot;-&quot;??\ _€_-;_-@_-"/>
    </dxf>
    <dxf>
      <numFmt numFmtId="166" formatCode="#,##0_ ;[Red]\-#,##0\ "/>
    </dxf>
    <dxf>
      <numFmt numFmtId="3" formatCode="#,##0"/>
    </dxf>
    <dxf>
      <numFmt numFmtId="166" formatCode="#,##0_ ;[Red]\-#,##0\ "/>
      <border diagonalUp="0" diagonalDown="0">
        <left/>
        <right/>
        <top style="thin">
          <color theme="1"/>
        </top>
        <bottom/>
      </border>
    </dxf>
    <dxf>
      <numFmt numFmtId="167" formatCode="_-* #,##0\ _€_-;\-* #,##0\ _€_-;_-* &quot;-&quot;??\ _€_-;_-@_-"/>
      <border diagonalUp="0" diagonalDown="0" outline="0">
        <left/>
        <right style="thin">
          <color theme="1"/>
        </right>
        <top/>
        <bottom/>
      </border>
    </dxf>
    <dxf>
      <numFmt numFmtId="166" formatCode="#,##0_ ;[Red]\-#,##0\ "/>
      <border diagonalUp="0" diagonalDown="0">
        <left/>
        <right/>
        <top style="thin">
          <color theme="1"/>
        </top>
        <bottom/>
      </border>
    </dxf>
    <dxf>
      <border diagonalUp="0" diagonalDown="0" outline="0">
        <left/>
        <right style="thin">
          <color theme="1"/>
        </right>
        <top/>
        <bottom/>
      </border>
    </dxf>
    <dxf>
      <border diagonalUp="0" diagonalDown="0">
        <left/>
        <right/>
        <top style="thin">
          <color theme="1"/>
        </top>
        <bottom/>
        <vertical/>
        <horizontal/>
      </border>
    </dxf>
    <dxf>
      <numFmt numFmtId="1" formatCode="0"/>
      <fill>
        <patternFill patternType="solid">
          <fgColor indexed="64"/>
          <bgColor rgb="FFFFC000"/>
        </patternFill>
      </fill>
      <border diagonalUp="0" diagonalDown="0" outline="0">
        <left/>
        <right style="thin">
          <color theme="1"/>
        </right>
        <top/>
        <bottom/>
      </border>
    </dxf>
    <dxf>
      <border diagonalUp="0" diagonalDown="0" outline="0">
        <left/>
        <right style="thin">
          <color theme="1"/>
        </right>
        <top/>
        <bottom/>
      </border>
    </dxf>
    <dxf>
      <alignment horizontal="left" vertical="bottom" textRotation="0" wrapText="0" indent="0" justifyLastLine="0" shrinkToFit="0" readingOrder="0"/>
      <border diagonalUp="0" diagonalDown="0">
        <left/>
        <right/>
        <top style="thin">
          <color theme="1"/>
        </top>
        <bottom/>
        <vertical/>
        <horizontal/>
      </border>
    </dxf>
    <dxf>
      <border diagonalUp="0" diagonalDown="0" outline="0">
        <left/>
        <right style="thin">
          <color theme="1"/>
        </right>
        <top/>
        <bottom/>
      </border>
    </dxf>
    <dxf>
      <alignment horizontal="left" vertical="bottom" textRotation="0" wrapText="0" indent="0" justifyLastLine="0" shrinkToFit="0" readingOrder="0"/>
      <border diagonalUp="0" diagonalDown="0">
        <left/>
        <right/>
        <top style="thin">
          <color theme="1"/>
        </top>
        <bottom/>
        <vertical/>
        <horizontal/>
      </border>
    </dxf>
    <dxf>
      <numFmt numFmtId="19" formatCode="dd/mm/yyyy"/>
      <border diagonalUp="0" diagonalDown="0" outline="0">
        <left/>
        <right/>
        <top style="thin">
          <color theme="1"/>
        </top>
        <bottom/>
      </border>
    </dxf>
    <dxf>
      <border outline="0">
        <left style="thin">
          <color theme="1"/>
        </left>
        <top style="thin">
          <color theme="1"/>
        </top>
        <bottom style="thin">
          <color theme="1"/>
        </bottom>
      </border>
    </dxf>
    <dxf>
      <alignment horizontal="general" vertical="center" textRotation="0" indent="0" justifyLastLine="0" shrinkToFit="0" readingOrder="0"/>
    </dxf>
    <dxf>
      <numFmt numFmtId="167" formatCode="_-* #,##0\ _€_-;\-* #,##0\ _€_-;_-* &quot;-&quot;??\ _€_-;_-@_-"/>
      <fill>
        <patternFill patternType="none">
          <fgColor indexed="64"/>
          <bgColor auto="1"/>
        </patternFill>
      </fill>
    </dxf>
    <dxf>
      <numFmt numFmtId="167" formatCode="_-* #,##0\ _€_-;\-* #,##0\ _€_-;_-* &quot;-&quot;??\ _€_-;_-@_-"/>
      <fill>
        <patternFill patternType="none">
          <fgColor indexed="64"/>
          <bgColor auto="1"/>
        </patternFill>
      </fill>
    </dxf>
    <dxf>
      <font>
        <b val="0"/>
        <i val="0"/>
        <strike val="0"/>
        <condense val="0"/>
        <extend val="0"/>
        <outline val="0"/>
        <shadow val="0"/>
        <u val="none"/>
        <vertAlign val="baseline"/>
        <sz val="8"/>
        <color theme="1"/>
        <name val="Verdana"/>
        <family val="2"/>
        <scheme val="none"/>
      </font>
      <fill>
        <patternFill patternType="none">
          <fgColor indexed="64"/>
          <bgColor auto="1"/>
        </patternFill>
      </fill>
    </dxf>
    <dxf>
      <font>
        <b val="0"/>
        <i val="0"/>
        <strike val="0"/>
        <condense val="0"/>
        <extend val="0"/>
        <outline val="0"/>
        <shadow val="0"/>
        <u val="none"/>
        <vertAlign val="baseline"/>
        <sz val="8"/>
        <color theme="1"/>
        <name val="Verdana"/>
        <scheme val="none"/>
      </font>
      <numFmt numFmtId="167" formatCode="_-* #,##0\ _€_-;\-* #,##0\ _€_-;_-* &quot;-&quot;??\ _€_-;_-@_-"/>
      <fill>
        <patternFill patternType="none">
          <fgColor indexed="64"/>
          <bgColor auto="1"/>
        </patternFill>
      </fill>
    </dxf>
    <dxf>
      <font>
        <b val="0"/>
        <i val="0"/>
        <strike val="0"/>
        <condense val="0"/>
        <extend val="0"/>
        <outline val="0"/>
        <shadow val="0"/>
        <u val="none"/>
        <vertAlign val="baseline"/>
        <sz val="8"/>
        <color theme="1"/>
        <name val="Verdana"/>
        <family val="2"/>
        <scheme val="none"/>
      </font>
      <fill>
        <patternFill patternType="none">
          <fgColor indexed="64"/>
          <bgColor auto="1"/>
        </patternFill>
      </fill>
    </dxf>
    <dxf>
      <font>
        <b val="0"/>
        <i val="0"/>
        <strike val="0"/>
        <condense val="0"/>
        <extend val="0"/>
        <outline val="0"/>
        <shadow val="0"/>
        <u val="none"/>
        <vertAlign val="baseline"/>
        <sz val="8"/>
        <color theme="1"/>
        <name val="Verdana"/>
        <scheme val="none"/>
      </font>
      <numFmt numFmtId="167" formatCode="_-* #,##0\ _€_-;\-* #,##0\ _€_-;_-* &quot;-&quot;??\ _€_-;_-@_-"/>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alignment horizontal="left" vertical="bottom" textRotation="0" wrapText="0" indent="0" justifyLastLine="0" shrinkToFit="0" readingOrder="0"/>
    </dxf>
    <dxf>
      <numFmt numFmtId="0" formatCode="General"/>
    </dxf>
    <dxf>
      <numFmt numFmtId="0" formatCode="General"/>
    </dxf>
    <dxf>
      <numFmt numFmtId="19" formatCode="dd/mm/yyyy"/>
    </dxf>
    <dxf>
      <numFmt numFmtId="0" formatCode="General"/>
      <alignment horizontal="left" vertical="bottom" textRotation="0" wrapText="0" indent="0" justifyLastLine="0" shrinkToFit="0" readingOrder="0"/>
    </dxf>
    <dxf>
      <numFmt numFmtId="167" formatCode="_-* #,##0\ _€_-;\-* #,##0\ _€_-;_-* &quot;-&quot;??\ _€_-;_-@_-"/>
    </dxf>
    <dxf>
      <font>
        <b val="0"/>
        <i val="0"/>
        <strike val="0"/>
        <condense val="0"/>
        <extend val="0"/>
        <outline val="0"/>
        <shadow val="0"/>
        <u val="none"/>
        <vertAlign val="baseline"/>
        <sz val="8"/>
        <color theme="1"/>
        <name val="Verdana"/>
        <scheme val="none"/>
      </font>
      <numFmt numFmtId="167" formatCode="_-* #,##0\ _€_-;\-* #,##0\ _€_-;_-* &quot;-&quot;??\ _€_-;_-@_-"/>
    </dxf>
    <dxf>
      <numFmt numFmtId="30" formatCode="@"/>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numFmt numFmtId="30" formatCode="@"/>
      <alignment horizontal="lef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167" formatCode="_-* #,##0\ _€_-;\-* #,##0\ _€_-;_-* &quot;-&quot;??\ _€_-;_-@_-"/>
      <alignment horizontal="left" vertical="bottom" textRotation="0" wrapText="0" indent="0" justifyLastLine="0" shrinkToFit="0" readingOrder="0"/>
    </dxf>
    <dxf>
      <numFmt numFmtId="167" formatCode="_-* #,##0\ _€_-;\-* #,##0\ _€_-;_-* &quot;-&quot;??\ _€_-;_-@_-"/>
    </dxf>
    <dxf>
      <font>
        <b val="0"/>
        <i val="0"/>
        <strike val="0"/>
        <condense val="0"/>
        <extend val="0"/>
        <outline val="0"/>
        <shadow val="0"/>
        <u val="none"/>
        <vertAlign val="baseline"/>
        <sz val="8"/>
        <color theme="1"/>
        <name val="Verdana"/>
        <family val="2"/>
        <scheme val="none"/>
      </font>
      <numFmt numFmtId="167" formatCode="_-* #,##0\ _€_-;\-* #,##0\ _€_-;_-* &quot;-&quot;??\ _€_-;_-@_-"/>
    </dxf>
    <dxf>
      <numFmt numFmtId="33" formatCode="_-* #,##0_-;\-* #,##0_-;_-* &quot;-&quot;_-;_-@_-"/>
    </dxf>
    <dxf>
      <font>
        <b val="0"/>
        <i val="0"/>
        <strike val="0"/>
        <condense val="0"/>
        <extend val="0"/>
        <outline val="0"/>
        <shadow val="0"/>
        <u val="none"/>
        <vertAlign val="baseline"/>
        <sz val="8"/>
        <color theme="1"/>
        <name val="Verdana"/>
        <scheme val="none"/>
      </font>
      <alignment horizontal="general"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30" formatCode="@"/>
      <alignment horizontal="general" vertical="bottom" textRotation="0" wrapText="0" indent="0" justifyLastLine="0" shrinkToFit="0" readingOrder="0"/>
    </dxf>
    <dxf>
      <numFmt numFmtId="166" formatCode="#,##0_ ;[Red]\-#,##0\ "/>
    </dxf>
    <dxf>
      <numFmt numFmtId="166" formatCode="#,##0_ ;[Red]\-#,##0\ "/>
      <fill>
        <patternFill patternType="none">
          <fgColor indexed="64"/>
          <bgColor auto="1"/>
        </patternFill>
      </fill>
      <alignment horizontal="general" vertical="center" textRotation="0" indent="0" justifyLastLine="0" shrinkToFit="0" readingOrder="0"/>
    </dxf>
    <dxf>
      <numFmt numFmtId="166" formatCode="#,##0_ ;[Red]\-#,##0\ "/>
    </dxf>
    <dxf>
      <numFmt numFmtId="166" formatCode="#,##0_ ;[Red]\-#,##0\ "/>
      <fill>
        <patternFill patternType="none">
          <fgColor indexed="64"/>
          <bgColor auto="1"/>
        </patternFill>
      </fill>
      <alignment horizontal="general" vertical="center" textRotation="0" indent="0" justifyLastLine="0" shrinkToFit="0" readingOrder="0"/>
    </dxf>
    <dxf>
      <numFmt numFmtId="166" formatCode="#,##0_ ;[Red]\-#,##0\ "/>
    </dxf>
    <dxf>
      <numFmt numFmtId="166" formatCode="#,##0_ ;[Red]\-#,##0\ "/>
      <fill>
        <patternFill patternType="none">
          <fgColor indexed="64"/>
          <bgColor auto="1"/>
        </patternFill>
      </fill>
      <alignment horizontal="general" vertical="center" textRotation="0" indent="0" justifyLastLine="0" shrinkToFit="0" readingOrder="0"/>
    </dxf>
    <dxf>
      <numFmt numFmtId="166" formatCode="#,##0_ ;[Red]\-#,##0\ "/>
    </dxf>
    <dxf>
      <numFmt numFmtId="166" formatCode="#,##0_ ;[Red]\-#,##0\ "/>
      <fill>
        <patternFill patternType="none">
          <fgColor indexed="64"/>
          <bgColor indexed="65"/>
        </patternFill>
      </fill>
      <alignment horizontal="general" vertical="center" textRotation="0" indent="0" justifyLastLine="0" shrinkToFit="0" readingOrder="0"/>
    </dxf>
    <dxf>
      <numFmt numFmtId="165" formatCode="[&gt;=10000000000]#\-###\-###\-###;[&gt;=10000000]\(###\)&quot; &quot;###\-####;000\-0000"/>
      <alignment horizontal="general" vertical="center" textRotation="0" indent="0" justifyLastLine="0" shrinkToFit="0" readingOrder="0"/>
    </dxf>
    <dxf>
      <numFmt numFmtId="165" formatCode="[&gt;=10000000000]#\-###\-###\-###;[&gt;=10000000]\(###\)&quot; &quot;###\-####;000\-0000"/>
      <fill>
        <patternFill patternType="none">
          <fgColor indexed="64"/>
          <bgColor indexed="65"/>
        </patternFill>
      </fill>
      <alignment horizontal="general" vertical="center" textRotation="0" indent="0" justifyLastLine="0" shrinkToFit="0" readingOrder="0"/>
    </dxf>
    <dxf>
      <numFmt numFmtId="165" formatCode="[&gt;=10000000000]#\-###\-###\-###;[&gt;=10000000]\(###\)&quot; &quot;###\-####;000\-0000"/>
      <alignment horizontal="general" vertical="center" textRotation="0" wrapText="0" indent="0" justifyLastLine="0" shrinkToFit="0" readingOrder="0"/>
    </dxf>
    <dxf>
      <numFmt numFmtId="165" formatCode="[&gt;=10000000000]#\-###\-###\-###;[&gt;=10000000]\(###\)&quot; &quot;###\-####;000\-0000"/>
      <fill>
        <patternFill patternType="none">
          <fgColor indexed="64"/>
          <bgColor auto="1"/>
        </patternFill>
      </fill>
      <alignment horizontal="general" vertical="center" textRotation="0" indent="0" justifyLastLine="0" shrinkToFit="0" readingOrder="0"/>
    </dxf>
    <dxf>
      <alignment horizontal="general" vertical="center" textRotation="0" indent="0" justifyLastLine="0" shrinkToFit="0" readingOrder="0"/>
    </dxf>
    <dxf>
      <fill>
        <patternFill patternType="none">
          <fgColor indexed="64"/>
          <bgColor auto="1"/>
        </patternFill>
      </fill>
      <alignment horizontal="general" vertical="center" textRotation="0" indent="0" justifyLastLine="0" shrinkToFit="0" readingOrder="0"/>
    </dxf>
    <dxf>
      <alignment horizontal="general" vertical="center" textRotation="0" indent="0" justifyLastLine="0" shrinkToFit="0" readingOrder="0"/>
    </dxf>
    <dxf>
      <fill>
        <patternFill patternType="none">
          <fgColor indexed="64"/>
          <bgColor auto="1"/>
        </patternFill>
      </fill>
      <alignment horizontal="general" vertical="center" textRotation="0" indent="0" justifyLastLine="0" shrinkToFit="0" readingOrder="0"/>
    </dxf>
    <dxf>
      <fill>
        <patternFill patternType="none">
          <fgColor indexed="64"/>
          <bgColor indexed="65"/>
        </patternFill>
      </fill>
      <alignment horizontal="general" vertical="center" textRotation="0" indent="0" justifyLastLine="0" shrinkToFit="0" readingOrder="0"/>
    </dxf>
    <dxf>
      <fill>
        <patternFill patternType="none">
          <fgColor indexed="64"/>
          <bgColor auto="1"/>
        </patternFill>
      </fill>
      <alignment horizontal="general" vertical="center" textRotation="0" indent="0" justifyLastLine="0" shrinkToFit="0" readingOrder="0"/>
    </dxf>
    <dxf>
      <fill>
        <patternFill patternType="none">
          <fgColor indexed="64"/>
          <bgColor auto="1"/>
        </patternFill>
      </fill>
      <alignment horizontal="general" vertical="center" textRotation="0" indent="0" justifyLastLine="0" shrinkToFit="0" readingOrder="0"/>
    </dxf>
    <dxf>
      <fill>
        <patternFill patternType="none">
          <fgColor indexed="64"/>
          <bgColor auto="1"/>
        </patternFill>
      </fill>
      <alignment horizontal="general" vertical="center" textRotation="0" indent="0" justifyLastLine="0" shrinkToFit="0" readingOrder="0"/>
    </dxf>
    <dxf>
      <font>
        <b val="0"/>
        <i val="0"/>
        <strike val="0"/>
        <condense val="0"/>
        <extend val="0"/>
        <outline val="0"/>
        <shadow val="0"/>
        <u val="none"/>
        <vertAlign val="baseline"/>
        <sz val="8"/>
        <color auto="1"/>
        <name val="Verdana"/>
        <scheme val="none"/>
      </font>
      <fill>
        <patternFill patternType="none">
          <fgColor indexed="64"/>
          <bgColor auto="1"/>
        </patternFill>
      </fill>
    </dxf>
    <dxf>
      <alignment horizontal="right" vertical="bottom" textRotation="0" wrapText="0" relativeIndent="-1" justifyLastLine="0" shrinkToFit="0" readingOrder="0"/>
    </dxf>
    <dxf>
      <font>
        <b/>
        <i val="0"/>
        <strike val="0"/>
        <condense val="0"/>
        <extend val="0"/>
        <outline val="0"/>
        <shadow val="0"/>
        <u val="none"/>
        <vertAlign val="baseline"/>
        <sz val="8"/>
        <color theme="1"/>
        <name val="Verdana"/>
        <scheme val="none"/>
      </font>
      <border diagonalUp="0" diagonalDown="0" outline="0">
        <left style="thin">
          <color theme="9"/>
        </left>
        <right style="thin">
          <color theme="9"/>
        </right>
        <top/>
        <bottom/>
      </border>
    </dxf>
    <dxf>
      <alignment horizontal="left"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168" formatCode="0.0"/>
      <alignment horizontal="left" vertical="center" textRotation="0" wrapText="0" indent="0" justifyLastLine="0" shrinkToFit="0" readingOrder="0"/>
    </dxf>
    <dxf>
      <font>
        <b/>
        <i val="0"/>
        <strike val="0"/>
        <condense val="0"/>
        <extend val="0"/>
        <outline val="0"/>
        <shadow val="0"/>
        <u val="none"/>
        <vertAlign val="baseline"/>
        <sz val="8"/>
        <color theme="1"/>
        <name val="Verdana"/>
        <family val="2"/>
        <scheme val="none"/>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8"/>
        <color theme="1"/>
        <name val="Verdana"/>
        <family val="2"/>
        <scheme val="none"/>
      </font>
      <alignment horizontal="center" vertical="center" textRotation="0" wrapText="1" indent="0" justifyLastLine="0" shrinkToFit="0" readingOrder="0"/>
    </dxf>
    <dxf>
      <alignment horizontal="left" vertical="bottom" textRotation="0" wrapText="0" relativeIndent="1" justifyLastLine="0" shrinkToFit="0" readingOrder="0"/>
    </dxf>
    <dxf>
      <numFmt numFmtId="19" formatCode="dd/mm/yyyy"/>
    </dxf>
    <dxf>
      <numFmt numFmtId="19" formatCode="dd/mm/yyyy"/>
    </dxf>
    <dxf>
      <font>
        <b val="0"/>
        <i val="0"/>
        <strike val="0"/>
        <condense val="0"/>
        <extend val="0"/>
        <outline val="0"/>
        <shadow val="0"/>
        <u val="none"/>
        <vertAlign val="baseline"/>
        <sz val="8"/>
        <color theme="1"/>
        <name val="Verdana"/>
        <scheme val="none"/>
      </font>
    </dxf>
    <dxf>
      <numFmt numFmtId="167" formatCode="_-* #,##0\ _€_-;\-* #,##0\ _€_-;_-* &quot;-&quot;??\ _€_-;_-@_-"/>
    </dxf>
    <dxf>
      <font>
        <b val="0"/>
        <i val="0"/>
        <strike val="0"/>
        <condense val="0"/>
        <extend val="0"/>
        <outline val="0"/>
        <shadow val="0"/>
        <u val="none"/>
        <vertAlign val="baseline"/>
        <sz val="8"/>
        <color theme="1"/>
        <name val="Verdana"/>
        <scheme val="none"/>
      </font>
      <numFmt numFmtId="166" formatCode="#,##0_ ;[Red]\-#,##0\ "/>
    </dxf>
    <dxf>
      <font>
        <b val="0"/>
        <i val="0"/>
        <strike val="0"/>
        <condense val="0"/>
        <extend val="0"/>
        <outline val="0"/>
        <shadow val="0"/>
        <u val="none"/>
        <vertAlign val="baseline"/>
        <sz val="8"/>
        <color theme="1"/>
        <name val="Verdana"/>
        <scheme val="none"/>
      </font>
      <numFmt numFmtId="19" formatCode="dd/mm/yyyy"/>
      <border diagonalUp="0" diagonalDown="0" outline="0">
        <left/>
        <right/>
        <top style="thin">
          <color theme="1"/>
        </top>
        <bottom/>
      </border>
    </dxf>
    <dxf>
      <numFmt numFmtId="167" formatCode="_-* #,##0\ _€_-;\-* #,##0\ _€_-;_-* &quot;-&quot;??\ _€_-;_-@_-"/>
    </dxf>
    <dxf>
      <font>
        <b val="0"/>
        <i val="0"/>
        <strike val="0"/>
        <condense val="0"/>
        <extend val="0"/>
        <outline val="0"/>
        <shadow val="0"/>
        <u val="none"/>
        <vertAlign val="baseline"/>
        <sz val="8"/>
        <color theme="1"/>
        <name val="Verdana"/>
        <scheme val="none"/>
      </font>
      <numFmt numFmtId="167" formatCode="_-* #,##0\ _€_-;\-* #,##0\ _€_-;_-* &quot;-&quot;??\ _€_-;_-@_-"/>
      <border diagonalUp="0" diagonalDown="0">
        <left/>
        <right/>
        <top style="thin">
          <color theme="1"/>
        </top>
        <bottom/>
      </border>
    </dxf>
    <dxf>
      <font>
        <b val="0"/>
        <i val="0"/>
        <strike val="0"/>
        <condense val="0"/>
        <extend val="0"/>
        <outline val="0"/>
        <shadow val="0"/>
        <u val="none"/>
        <vertAlign val="baseline"/>
        <sz val="8"/>
        <color theme="1"/>
        <name val="Verdana"/>
        <scheme val="none"/>
      </font>
      <numFmt numFmtId="0" formatCode="General"/>
      <border diagonalUp="0" diagonalDown="0" outline="0">
        <left/>
        <right/>
        <top style="thin">
          <color theme="1"/>
        </top>
        <bottom/>
      </border>
    </dxf>
    <dxf>
      <numFmt numFmtId="1" formatCode="0"/>
    </dxf>
    <dxf>
      <font>
        <b val="0"/>
        <i val="0"/>
        <strike val="0"/>
        <condense val="0"/>
        <extend val="0"/>
        <outline val="0"/>
        <shadow val="0"/>
        <u val="none"/>
        <vertAlign val="baseline"/>
        <sz val="8"/>
        <color theme="1"/>
        <name val="Verdana"/>
        <scheme val="none"/>
      </font>
      <numFmt numFmtId="19" formatCode="dd/mm/yyyy"/>
      <border diagonalUp="0" diagonalDown="0" outline="0">
        <left/>
        <right/>
        <top style="thin">
          <color theme="1"/>
        </top>
        <bottom/>
      </border>
    </dxf>
    <dxf>
      <font>
        <b val="0"/>
        <i val="0"/>
        <strike val="0"/>
        <condense val="0"/>
        <extend val="0"/>
        <outline val="0"/>
        <shadow val="0"/>
        <u val="none"/>
        <vertAlign val="baseline"/>
        <sz val="8"/>
        <color theme="1"/>
        <name val="Verdana"/>
        <scheme val="none"/>
      </font>
      <numFmt numFmtId="1" formatCode="0"/>
      <border diagonalUp="0" diagonalDown="0">
        <left/>
        <right/>
        <top style="thin">
          <color theme="1"/>
        </top>
        <bottom/>
      </border>
    </dxf>
    <dxf>
      <numFmt numFmtId="3" formatCode="#,##0"/>
    </dxf>
    <dxf>
      <font>
        <b val="0"/>
        <i val="0"/>
        <strike val="0"/>
        <condense val="0"/>
        <extend val="0"/>
        <outline val="0"/>
        <shadow val="0"/>
        <u val="none"/>
        <vertAlign val="baseline"/>
        <sz val="8"/>
        <color theme="1"/>
        <name val="Verdana"/>
        <scheme val="none"/>
      </font>
      <numFmt numFmtId="3" formatCode="#,##0"/>
      <border diagonalUp="0" diagonalDown="0">
        <left/>
        <right/>
        <top style="thin">
          <color theme="1"/>
        </top>
        <bottom/>
        <vertical/>
        <horizontal/>
      </border>
    </dxf>
    <dxf>
      <font>
        <b val="0"/>
        <i val="0"/>
        <strike val="0"/>
        <condense val="0"/>
        <extend val="0"/>
        <outline val="0"/>
        <shadow val="0"/>
        <u val="none"/>
        <vertAlign val="baseline"/>
        <sz val="8"/>
        <color theme="1"/>
        <name val="Verdana"/>
        <scheme val="none"/>
      </font>
      <border diagonalUp="0" diagonalDown="0">
        <left/>
        <right/>
        <top style="thin">
          <color theme="1"/>
        </top>
        <bottom/>
        <vertical/>
        <horizontal/>
      </border>
    </dxf>
    <dxf>
      <numFmt numFmtId="3" formatCode="#,##0"/>
    </dxf>
    <dxf>
      <font>
        <b val="0"/>
        <i val="0"/>
        <strike val="0"/>
        <condense val="0"/>
        <extend val="0"/>
        <outline val="0"/>
        <shadow val="0"/>
        <u val="none"/>
        <vertAlign val="baseline"/>
        <sz val="8"/>
        <color theme="1"/>
        <name val="Verdana"/>
        <scheme val="none"/>
      </font>
      <numFmt numFmtId="166" formatCode="#,##0_ ;[Red]\-#,##0\ "/>
      <fill>
        <patternFill patternType="none">
          <fgColor indexed="64"/>
          <bgColor auto="1"/>
        </patternFill>
      </fill>
      <border diagonalUp="0" diagonalDown="0">
        <left/>
        <right/>
        <top style="thin">
          <color theme="1"/>
        </top>
        <bottom/>
        <vertical/>
        <horizontal/>
      </border>
    </dxf>
    <dxf>
      <numFmt numFmtId="3" formatCode="#,##0"/>
    </dxf>
    <dxf>
      <font>
        <b val="0"/>
        <i val="0"/>
        <strike val="0"/>
        <condense val="0"/>
        <extend val="0"/>
        <outline val="0"/>
        <shadow val="0"/>
        <u val="none"/>
        <vertAlign val="baseline"/>
        <sz val="8"/>
        <color theme="1"/>
        <name val="Verdana"/>
        <scheme val="none"/>
      </font>
      <numFmt numFmtId="166" formatCode="#,##0_ ;[Red]\-#,##0\ "/>
      <border diagonalUp="0" diagonalDown="0">
        <left/>
        <right/>
        <top style="thin">
          <color theme="1"/>
        </top>
        <bottom/>
        <vertical/>
        <horizontal/>
      </border>
    </dxf>
    <dxf>
      <numFmt numFmtId="3" formatCode="#,##0"/>
    </dxf>
    <dxf>
      <font>
        <b val="0"/>
        <i val="0"/>
        <strike val="0"/>
        <condense val="0"/>
        <extend val="0"/>
        <outline val="0"/>
        <shadow val="0"/>
        <u val="none"/>
        <vertAlign val="baseline"/>
        <sz val="8"/>
        <color theme="1"/>
        <name val="Verdana"/>
        <scheme val="none"/>
      </font>
      <numFmt numFmtId="166" formatCode="#,##0_ ;[Red]\-#,##0\ "/>
      <border diagonalUp="0" diagonalDown="0">
        <left/>
        <right/>
        <top style="thin">
          <color theme="1"/>
        </top>
        <bottom/>
        <vertical/>
        <horizontal/>
      </border>
    </dxf>
    <dxf>
      <numFmt numFmtId="3" formatCode="#,##0"/>
    </dxf>
    <dxf>
      <font>
        <b val="0"/>
        <i val="0"/>
        <strike val="0"/>
        <condense val="0"/>
        <extend val="0"/>
        <outline val="0"/>
        <shadow val="0"/>
        <u val="none"/>
        <vertAlign val="baseline"/>
        <sz val="8"/>
        <color theme="1"/>
        <name val="Verdana"/>
        <scheme val="none"/>
      </font>
      <numFmt numFmtId="166" formatCode="#,##0_ ;[Red]\-#,##0\ "/>
      <border diagonalUp="0" diagonalDown="0">
        <left/>
        <right/>
        <top style="thin">
          <color theme="1"/>
        </top>
        <bottom/>
        <vertical/>
        <horizontal/>
      </border>
    </dxf>
    <dxf>
      <numFmt numFmtId="3" formatCode="#,##0"/>
    </dxf>
    <dxf>
      <numFmt numFmtId="166" formatCode="#,##0_ ;[Red]\-#,##0\ "/>
      <border diagonalUp="0" diagonalDown="0">
        <left/>
        <right/>
        <top style="thin">
          <color theme="1"/>
        </top>
        <bottom/>
      </border>
    </dxf>
    <dxf>
      <numFmt numFmtId="3" formatCode="#,##0"/>
    </dxf>
    <dxf>
      <font>
        <b val="0"/>
        <i val="0"/>
        <strike val="0"/>
        <condense val="0"/>
        <extend val="0"/>
        <outline val="0"/>
        <shadow val="0"/>
        <u val="none"/>
        <vertAlign val="baseline"/>
        <sz val="8"/>
        <color theme="1"/>
        <name val="Verdana"/>
        <scheme val="none"/>
      </font>
      <numFmt numFmtId="166" formatCode="#,##0_ ;[Red]\-#,##0\ "/>
      <border diagonalUp="0" diagonalDown="0" outline="0">
        <left/>
        <right/>
        <top style="thin">
          <color theme="1"/>
        </top>
        <bottom/>
      </border>
    </dxf>
    <dxf>
      <numFmt numFmtId="167" formatCode="_-* #,##0\ _€_-;\-* #,##0\ _€_-;_-* &quot;-&quot;??\ _€_-;_-@_-"/>
      <alignment horizontal="center" vertical="bottom" textRotation="0" wrapText="0" indent="0" justifyLastLine="0" shrinkToFit="0" readingOrder="0"/>
    </dxf>
    <dxf>
      <font>
        <b val="0"/>
        <i val="0"/>
        <strike val="0"/>
        <condense val="0"/>
        <extend val="0"/>
        <outline val="0"/>
        <shadow val="0"/>
        <u val="none"/>
        <vertAlign val="baseline"/>
        <sz val="8"/>
        <color theme="1"/>
        <name val="Verdana"/>
        <scheme val="none"/>
      </font>
      <numFmt numFmtId="166" formatCode="#,##0_ ;[Red]\-#,##0\ "/>
      <alignment horizontal="right" vertical="bottom" textRotation="0" wrapText="0" indent="0" justifyLastLine="0" shrinkToFit="0" readingOrder="0"/>
      <border diagonalUp="0" diagonalDown="0" outline="0">
        <left/>
        <right/>
        <top style="thin">
          <color theme="1"/>
        </top>
        <bottom/>
      </border>
    </dxf>
    <dxf>
      <numFmt numFmtId="167" formatCode="_-* #,##0\ _€_-;\-* #,##0\ _€_-;_-* &quot;-&quot;??\ _€_-;_-@_-"/>
      <alignment horizontal="center" vertical="bottom" textRotation="0" wrapText="0" indent="0" justifyLastLine="0" shrinkToFit="0" readingOrder="0"/>
    </dxf>
    <dxf>
      <font>
        <b val="0"/>
        <i val="0"/>
        <strike val="0"/>
        <condense val="0"/>
        <extend val="0"/>
        <outline val="0"/>
        <shadow val="0"/>
        <u val="none"/>
        <vertAlign val="baseline"/>
        <sz val="8"/>
        <color theme="1"/>
        <name val="Verdana"/>
        <scheme val="none"/>
      </font>
      <numFmt numFmtId="166" formatCode="#,##0_ ;[Red]\-#,##0\ "/>
      <border diagonalUp="0" diagonalDown="0" outline="0">
        <left/>
        <right/>
        <top style="thin">
          <color theme="1"/>
        </top>
        <bottom/>
      </border>
    </dxf>
    <dxf>
      <numFmt numFmtId="168" formatCode="0.0"/>
      <alignment horizontal="center" vertical="bottom" textRotation="0" wrapText="0" indent="0" justifyLastLine="0" shrinkToFit="0" readingOrder="0"/>
    </dxf>
    <dxf>
      <numFmt numFmtId="168" formatCode="0.0"/>
      <alignment horizontal="center" vertical="bottom" textRotation="0" wrapText="0" indent="0" justifyLastLine="0" shrinkToFit="0" readingOrder="0"/>
    </dxf>
    <dxf>
      <alignment horizontal="left" vertical="bottom" textRotation="0" wrapText="0" indent="0" justifyLastLine="0" shrinkToFit="0" readingOrder="0"/>
    </dxf>
    <dxf>
      <numFmt numFmtId="168" formatCode="0.0"/>
      <alignment horizontal="center" vertical="bottom" textRotation="0" wrapText="0" indent="0" justifyLastLine="0" shrinkToFit="0" readingOrder="0"/>
    </dxf>
    <dxf>
      <numFmt numFmtId="168" formatCode="0.0"/>
      <alignment horizontal="left" vertical="bottom" textRotation="0" wrapText="0" indent="0" justifyLastLine="0" shrinkToFit="0" readingOrder="0"/>
    </dxf>
    <dxf>
      <numFmt numFmtId="168" formatCode="0.0"/>
      <alignment horizontal="center"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Verdana"/>
        <scheme val="none"/>
      </font>
      <numFmt numFmtId="1" formatCode="0"/>
      <fill>
        <patternFill patternType="none">
          <fgColor indexed="64"/>
          <bgColor auto="1"/>
        </patternFill>
      </fill>
      <alignment horizontal="left" vertical="bottom" textRotation="0" wrapText="0" indent="0" justifyLastLine="0" shrinkToFit="0" readingOrder="0"/>
      <border diagonalUp="0" diagonalDown="0">
        <left/>
        <right/>
        <top style="thin">
          <color theme="1"/>
        </top>
        <bottom/>
      </border>
    </dxf>
    <dxf>
      <font>
        <b val="0"/>
        <i val="0"/>
        <strike val="0"/>
        <condense val="0"/>
        <extend val="0"/>
        <outline val="0"/>
        <shadow val="0"/>
        <u val="none"/>
        <vertAlign val="baseline"/>
        <sz val="8"/>
        <color theme="1"/>
        <name val="Verdana"/>
        <scheme val="none"/>
      </font>
      <numFmt numFmtId="19" formatCode="dd/mm/yyyy"/>
      <border diagonalUp="0" diagonalDown="0" outline="0">
        <left/>
        <right/>
        <top style="thin">
          <color theme="1"/>
        </top>
        <bottom/>
      </border>
    </dxf>
    <dxf>
      <font>
        <b val="0"/>
        <i val="0"/>
        <strike val="0"/>
        <condense val="0"/>
        <extend val="0"/>
        <outline val="0"/>
        <shadow val="0"/>
        <u val="none"/>
        <vertAlign val="baseline"/>
        <sz val="8"/>
        <color theme="1"/>
        <name val="Verdana"/>
        <scheme val="none"/>
      </font>
      <numFmt numFmtId="19" formatCode="dd/mm/yyyy"/>
    </dxf>
    <dxf>
      <font>
        <b val="0"/>
        <i val="0"/>
        <strike val="0"/>
        <condense val="0"/>
        <extend val="0"/>
        <outline val="0"/>
        <shadow val="0"/>
        <u val="none"/>
        <vertAlign val="baseline"/>
        <sz val="8"/>
        <color theme="1"/>
        <name val="Verdana"/>
        <scheme val="none"/>
      </font>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8"/>
        <color theme="1"/>
        <name val="Verdana"/>
        <scheme val="none"/>
      </font>
    </dxf>
    <dxf>
      <font>
        <b/>
        <i val="0"/>
        <strike val="0"/>
        <condense val="0"/>
        <extend val="0"/>
        <outline val="0"/>
        <shadow val="0"/>
        <u val="none"/>
        <vertAlign val="baseline"/>
        <sz val="8"/>
        <color theme="0"/>
        <name val="Verdana"/>
        <scheme val="none"/>
      </font>
      <fill>
        <patternFill patternType="solid">
          <fgColor theme="1"/>
          <bgColor theme="1"/>
        </patternFill>
      </fill>
      <alignment vertical="center" textRotation="0" indent="0" justifyLastLine="0" shrinkToFit="0" readingOrder="0"/>
    </dxf>
  </dxfs>
  <tableStyles count="0" defaultTableStyle="TableStyleMedium2" defaultPivotStyle="PivotStyleLight16"/>
  <colors>
    <mruColors>
      <color rgb="FFFFFFCC"/>
      <color rgb="FFCCFFFF"/>
      <color rgb="FFFDD1FD"/>
      <color rgb="FFFDADC2"/>
      <color rgb="FF008E40"/>
      <color rgb="FFFFCCFF"/>
      <color rgb="FFFF99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au4" displayName="Tableau4" ref="G3:I14" totalsRowShown="0">
  <autoFilter ref="G3:I14" xr:uid="{00000000-0009-0000-0100-000004000000}"/>
  <tableColumns count="3">
    <tableColumn id="1" xr3:uid="{00000000-0010-0000-0000-000001000000}" name="CLIENT "/>
    <tableColumn id="4" xr3:uid="{00000000-0010-0000-0000-000004000000}" name="CONDITION DE PAIEMENT" dataDxfId="124"/>
    <tableColumn id="3" xr3:uid="{00000000-0010-0000-0000-000003000000}" name="N° BC" dataDxfId="1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au5" displayName="Tableau5" ref="K3:L7" totalsRowShown="0">
  <autoFilter ref="K3:L7" xr:uid="{00000000-0009-0000-0100-000005000000}"/>
  <tableColumns count="2">
    <tableColumn id="1" xr3:uid="{00000000-0010-0000-0100-000001000000}" name="NOMBRE DE JOUR DE RETARD" dataDxfId="122"/>
    <tableColumn id="2" xr3:uid="{00000000-0010-0000-0100-000002000000}" name="ACTIONS A MENER"/>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au7" displayName="Tableau7" ref="A3:A11" totalsRowShown="0">
  <autoFilter ref="A3:A11" xr:uid="{00000000-0009-0000-0100-000007000000}"/>
  <tableColumns count="1">
    <tableColumn id="1" xr3:uid="{00000000-0010-0000-0200-000001000000}" name="ENTITE"/>
  </tableColumns>
  <tableStyleInfo name="TableStyleLight1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6000000}" name="Tableau12" displayName="Tableau12" ref="G17:I29" totalsRowShown="0">
  <autoFilter ref="G17:I29" xr:uid="{00000000-0009-0000-0100-00000C000000}"/>
  <tableColumns count="3">
    <tableColumn id="2" xr3:uid="{00000000-0010-0000-0600-000002000000}" name="COMPTE TRESORERIE"/>
    <tableColumn id="3" xr3:uid="{00000000-0010-0000-0600-000003000000}" name="TYPE MONNAIE"/>
    <tableColumn id="4" xr3:uid="{00000000-0010-0000-0600-000004000000}" name="NATURE DE LA MONNAI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813C070-D265-4F60-9D69-06CC2EEF7D5B}" name="Tableau20" displayName="Tableau20" ref="K25:L30" totalsRowShown="0" headerRowDxfId="121">
  <autoFilter ref="K25:L30" xr:uid="{2813C070-D265-4F60-9D69-06CC2EEF7D5B}"/>
  <tableColumns count="2">
    <tableColumn id="1" xr3:uid="{78B3E196-5FDA-4599-9A4A-44E2D8C0907C}" name="Situation réelle" dataDxfId="120"/>
    <tableColumn id="2" xr3:uid="{E596A303-1946-4FAA-8982-D98352FF0098}" name="Terme professionnel" dataDxfId="11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4FEEAE6-0931-42C9-B744-4B4268D3EBA2}" name="Tableau24" displayName="Tableau24" ref="C3:D64" totalsRowCount="1">
  <autoFilter ref="C3:D63" xr:uid="{54FEEAE6-0931-42C9-B744-4B4268D3EBA2}"/>
  <sortState xmlns:xlrd2="http://schemas.microsoft.com/office/spreadsheetml/2017/richdata2" ref="C4:D53">
    <sortCondition ref="C3:C53"/>
  </sortState>
  <tableColumns count="2">
    <tableColumn id="1" xr3:uid="{B7CB42FA-21DF-42B1-B406-9C6CF94D1037}" name="CODE PROJET" totalsRowLabel="Total" dataDxfId="118" totalsRowDxfId="117"/>
    <tableColumn id="2" xr3:uid="{EF4A05FE-B7AF-4333-B1B3-696058B1B1AC}" name="PROJET/CHANTIER" totalsRowFunction="count" dataDxfId="116" totalsRowDxfId="11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au8" displayName="Tableau8" ref="L13:M18" totalsRowShown="0" headerRowDxfId="114">
  <autoFilter ref="L13:M18" xr:uid="{00000000-0009-0000-0100-000008000000}"/>
  <tableColumns count="2">
    <tableColumn id="1" xr3:uid="{00000000-0010-0000-0300-000001000000}" name="INTERVALLE DE BALANCE" dataDxfId="113"/>
    <tableColumn id="2" xr3:uid="{00000000-0010-0000-0300-000002000000}" name="Colonne1"/>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8000000}" name="Tableau1" displayName="Tableau1" ref="A4:O21" totalsRowCount="1" headerRowDxfId="112" dataDxfId="111">
  <autoFilter ref="A4:O20" xr:uid="{00000000-0009-0000-0100-000001000000}"/>
  <sortState xmlns:xlrd2="http://schemas.microsoft.com/office/spreadsheetml/2017/richdata2" ref="A5:O20">
    <sortCondition ref="B4:B20"/>
  </sortState>
  <tableColumns count="15">
    <tableColumn id="6" xr3:uid="{00000000-0010-0000-0800-000006000000}" name="ENTITE" totalsRowLabel="Total" dataDxfId="110"/>
    <tableColumn id="1" xr3:uid="{00000000-0010-0000-0800-000001000000}" name="NOM CLIENT" totalsRowFunction="count" dataDxfId="109"/>
    <tableColumn id="5" xr3:uid="{00000000-0010-0000-0800-000005000000}" name="CATEGORIE" dataDxfId="108"/>
    <tableColumn id="2" xr3:uid="{00000000-0010-0000-0800-000002000000}" name="NUMERO" dataDxfId="107"/>
    <tableColumn id="12" xr3:uid="{84141E5E-E03A-4A05-96BA-F08873BB3130}" name="REGIME FISCALE" dataDxfId="106"/>
    <tableColumn id="3" xr3:uid="{00000000-0010-0000-0800-000003000000}" name="BOITE POSTALE" dataDxfId="105"/>
    <tableColumn id="14" xr3:uid="{35557EC2-3E1C-4297-8C9C-49BB65CD0D58}" name="LOCALISATION" dataDxfId="104"/>
    <tableColumn id="4" xr3:uid="{00000000-0010-0000-0800-000004000000}" name="TELEPHONE" dataDxfId="103"/>
    <tableColumn id="15" xr3:uid="{32FC3FFD-5848-4060-85C1-DDBC9AE2AE75}" name="ACTIVITE" dataDxfId="102"/>
    <tableColumn id="11" xr3:uid="{00000000-0010-0000-0800-00000B000000}" name="CORRESPONDANT" dataDxfId="101"/>
    <tableColumn id="13" xr3:uid="{FB924CDF-B27E-4F7C-BB47-1285E9FE10DC}" name="SOLDE REPORTE " dataDxfId="100"/>
    <tableColumn id="10" xr3:uid="{00000000-0010-0000-0800-00000A000000}" name="SOLDE N-1" totalsRowFunction="sum" dataDxfId="99" totalsRowDxfId="98" dataCellStyle="Milliers">
      <calculatedColumnFormula>+SUMIFS(Tableau6[NET A PAYER],Tableau6[CLIENT],Tableau1[[#This Row],[NOM CLIENT]],Tableau6[DATE DE FACTURATION],"&lt;"&amp;'CLIENTS-CREANCES'!$N$1)-SUMIFS(Tableau6[MONTANT PAYE],Tableau6[CLIENT],Tableau1[[#This Row],[NOM CLIENT]],Tableau6[DATE DE FACTURATION],"&lt;"&amp;'CLIENTS-CREANCES'!$N$1)</calculatedColumnFormula>
    </tableColumn>
    <tableColumn id="7" xr3:uid="{00000000-0010-0000-0800-000007000000}" name="MONTANT DU" totalsRowFunction="sum" dataDxfId="97" totalsRowDxfId="96" dataCellStyle="Milliers">
      <calculatedColumnFormula>SUMIFS(Tableau6[NET A PAYER],Tableau6[CLIENT],Tableau1[[#This Row],[NOM CLIENT]],Tableau6[DATE DE FACTURATION],"&gt;="&amp;'CLIENTS-CREANCES'!$N$1,Tableau6[DATE DE FACTURATION],"&lt;="&amp;'CLIENTS-CREANCES'!$O$1)</calculatedColumnFormula>
    </tableColumn>
    <tableColumn id="8" xr3:uid="{00000000-0010-0000-0800-000008000000}" name="MONTANT RECOUVRE" totalsRowFunction="sum" dataDxfId="95" totalsRowDxfId="94" dataCellStyle="Milliers">
      <calculatedColumnFormula>SUMIFS(Tableau3[MONTANT TTC],Tableau3[CLIENTS],Tableau1[[#This Row],[NOM CLIENT]],Tableau3[[DATE DE PAIEMENT ]],"&gt;="&amp;'CLIENTS-CREANCES'!$N$1,Tableau3[[DATE DE PAIEMENT ]],"&lt;="&amp;'CLIENTS-CREANCES'!$O$1)</calculatedColumnFormula>
    </tableColumn>
    <tableColumn id="9" xr3:uid="{00000000-0010-0000-0800-000009000000}" name="SOLDE N" totalsRowFunction="sum" dataDxfId="93" totalsRowDxfId="92" dataCellStyle="Milliers">
      <calculatedColumnFormula>+SUMIFS(Tableau6[NET A PAYER],Tableau6[CLIENT],Tableau1[[#This Row],[NOM CLIENT]],Tableau6[DATE DE DEPOT],"&lt;="&amp;'CLIENTS-CREANCES'!$O$1)-SUMIFS(Tableau3[MONTANT TTC],Tableau3[CLIENTS],Tableau1[[#This Row],[NOM CLIENT]],Tableau3[[DATE DE PAIEMENT ]],"&lt;="&amp;'CLIENTS-CREANCES'!$O$1)</calculatedColumnFormula>
    </tableColumn>
  </tableColumns>
  <tableStyleInfo name="TableStyleLight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B000000}" name="Tableau6" displayName="Tableau6" ref="A4:Z368" totalsRowCount="1" headerRowDxfId="167" dataDxfId="166" tableBorderDxfId="165">
  <autoFilter ref="A4:Z367" xr:uid="{00000000-000C-0000-FFFF-FFFF0B000000}"/>
  <sortState xmlns:xlrd2="http://schemas.microsoft.com/office/spreadsheetml/2017/richdata2" ref="A5:Z333">
    <sortCondition ref="B4:B333"/>
  </sortState>
  <tableColumns count="26">
    <tableColumn id="34" xr3:uid="{00000000-0010-0000-0B00-000022000000}" name="ENTITE" dataDxfId="164"/>
    <tableColumn id="36" xr3:uid="{00000000-0010-0000-0B00-000024000000}" name="DATE DE FACTURATION" dataDxfId="163"/>
    <tableColumn id="1" xr3:uid="{00000000-0010-0000-0B00-000001000000}" name="DATE DE DEPOT" dataDxfId="162"/>
    <tableColumn id="2" xr3:uid="{00000000-0010-0000-0B00-000002000000}" name="NUM DE FACTURE" totalsRowFunction="count" dataDxfId="161"/>
    <tableColumn id="3" xr3:uid="{00000000-0010-0000-0B00-000003000000}" name="CLIENT" dataDxfId="160" totalsRowDxfId="159"/>
    <tableColumn id="43" xr3:uid="{765A287C-7C3E-44B1-B70F-101EBE0903CF}" name="DESIGNATION" dataDxfId="158" totalsRowDxfId="157"/>
    <tableColumn id="38" xr3:uid="{00000000-0010-0000-0B00-000026000000}" name="PROJET/CHANTIER" dataDxfId="156" totalsRowDxfId="155"/>
    <tableColumn id="45" xr3:uid="{60BA96A6-5983-43FC-A507-58021C7F4C00}" name="CODE TVA" totalsRowDxfId="154"/>
    <tableColumn id="16" xr3:uid="{00000000-0010-0000-0B00-000010000000}" name="MONTANT HT BIEN" totalsRowFunction="sum" dataDxfId="153" totalsRowDxfId="152" dataCellStyle="Milliers"/>
    <tableColumn id="17" xr3:uid="{00000000-0010-0000-0B00-000011000000}" name="MONTANT HT SERVICE" totalsRowFunction="sum" dataDxfId="151" totalsRowDxfId="150" dataCellStyle="Milliers"/>
    <tableColumn id="4" xr3:uid="{00000000-0010-0000-0B00-000004000000}" name="MONTANT HT" totalsRowFunction="sum" dataDxfId="149" totalsRowDxfId="148" dataCellStyle="Milliers">
      <calculatedColumnFormula>+Tableau6[[#This Row],[MONTANT HT BIEN]]+Tableau6[[#This Row],[MONTANT HT SERVICE]]</calculatedColumnFormula>
    </tableColumn>
    <tableColumn id="13" xr3:uid="{00000000-0010-0000-0B00-00000D000000}" name="ACOMPTE SUR HT" totalsRowFunction="sum" dataDxfId="147" totalsRowDxfId="146"/>
    <tableColumn id="12" xr3:uid="{00000000-0010-0000-0B00-00000C000000}" name="TVA" totalsRowFunction="sum" dataDxfId="145" totalsRowDxfId="144">
      <calculatedColumnFormula>+IFERROR(IF(Tableau6[[#This Row],[CODE TVA]]="TVAF",Tableau6[[#This Row],[MONTANT HT]]*0.18,0),0)</calculatedColumnFormula>
    </tableColumn>
    <tableColumn id="11" xr3:uid="{00000000-0010-0000-0B00-00000B000000}" name="MONTANT TTC" totalsRowFunction="sum" dataDxfId="143" totalsRowDxfId="142">
      <calculatedColumnFormula>Tableau6[[#This Row],[MONTANT HT]]+Tableau6[[#This Row],[TVA]]-Tableau6[[#This Row],[ACOMPTE SUR HT]]</calculatedColumnFormula>
    </tableColumn>
    <tableColumn id="15" xr3:uid="{00000000-0010-0000-0B00-00000F000000}" name="ACOMPTE SUR TTC" totalsRowFunction="sum" dataDxfId="141" totalsRowDxfId="140"/>
    <tableColumn id="14" xr3:uid="{00000000-0010-0000-0B00-00000E000000}" name="NET A PAYER" totalsRowFunction="sum" dataDxfId="139" totalsRowDxfId="138">
      <calculatedColumnFormula>+ROUND(Tableau6[[#This Row],[MONTANT TTC]]-Tableau6[[#This Row],[ACOMPTE SUR TTC]],0)</calculatedColumnFormula>
    </tableColumn>
    <tableColumn id="5" xr3:uid="{00000000-0010-0000-0B00-000005000000}" name="N° BC" dataDxfId="137"/>
    <tableColumn id="6" xr3:uid="{00000000-0010-0000-0B00-000006000000}" name="MONTANT BC HT" totalsRowFunction="sum" dataDxfId="136" totalsRowDxfId="135">
      <calculatedColumnFormula>IFERROR(INDEX(Tableau2[[ID BC UNIQUE]:[MONTANT HT VALIDE]],MATCH(Tableau6[[#This Row],[N° BC]],Tableau2[ID BC UNIQUE],0),6),0)</calculatedColumnFormula>
    </tableColumn>
    <tableColumn id="7" xr3:uid="{00000000-0010-0000-0B00-000007000000}" name="DELAI" dataDxfId="134">
      <calculatedColumnFormula>IFERROR(INDEX(Tableau2[[DATE]:[DELAIS DE PAIEMENT FACTURES EN JOUR]],MATCH(Tableau6[[#This Row],[N° BC]],Tableau2[ID BC UNIQUE],0),5),0)</calculatedColumnFormula>
    </tableColumn>
    <tableColumn id="8" xr3:uid="{00000000-0010-0000-0B00-000008000000}" name="DATE LIMITE" dataDxfId="133">
      <calculatedColumnFormula>IF(ISBLANK(Tableau6[[#This Row],[DATE DE DEPOT]]),"",Tableau6[[#This Row],[DATE DE DEPOT]]+Tableau6[[#This Row],[DELAI]])</calculatedColumnFormula>
    </tableColumn>
    <tableColumn id="18" xr3:uid="{3754CD66-116E-46BB-AC39-30FDDB392421}" name="JOURS DE RETARD" dataDxfId="132">
      <calculatedColumnFormula>+IF(AND(W5=0,Tableau6[[#This Row],[DATE LIMITE]]&lt;TODAY()),TODAY()-Tableau6[[#This Row],[DATE LIMITE]],0)</calculatedColumnFormula>
    </tableColumn>
    <tableColumn id="9" xr3:uid="{00000000-0010-0000-0B00-000009000000}" name="STATUT" dataDxfId="131">
      <calculatedColumnFormula>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calculatedColumnFormula>
    </tableColumn>
    <tableColumn id="23" xr3:uid="{00000000-0010-0000-0B00-000017000000}" name="MONTANT PAYE" totalsRowFunction="sum" dataDxfId="130" totalsRowDxfId="129" dataCellStyle="Milliers">
      <calculatedColumnFormula>SUMIF(Tableau3[FACTURE],Tableau6[[#This Row],[NUM DE FACTURE]],Tableau3[MONTANT TTC])</calculatedColumnFormula>
    </tableColumn>
    <tableColumn id="10" xr3:uid="{00000000-0010-0000-0B00-00000A000000}" name="DATE PAIEMENT" dataDxfId="128"/>
    <tableColumn id="39" xr3:uid="{00000000-0010-0000-0B00-000027000000}" name="SOLDE SUR FACTURE" totalsRowFunction="sum" dataDxfId="127" totalsRowDxfId="126" dataCellStyle="Milliers">
      <calculatedColumnFormula>+Tableau6[[#This Row],[NET A PAYER]]-Tableau6[[#This Row],[MONTANT PAYE]]</calculatedColumnFormula>
    </tableColumn>
    <tableColumn id="21" xr3:uid="{00000000-0010-0000-0B00-000015000000}" name="OBSERVATIONS" dataDxfId="125"/>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D000000}" name="Tableau3" displayName="Tableau3" ref="A3:R384" totalsRowCount="1">
  <autoFilter ref="A3:R383" xr:uid="{00000000-0009-0000-0100-000003000000}"/>
  <sortState xmlns:xlrd2="http://schemas.microsoft.com/office/spreadsheetml/2017/richdata2" ref="A4:R383">
    <sortCondition ref="I3:I383"/>
  </sortState>
  <tableColumns count="18">
    <tableColumn id="13" xr3:uid="{00000000-0010-0000-0D00-00000D000000}" name="ENTITE"/>
    <tableColumn id="5" xr3:uid="{00000000-0010-0000-0D00-000005000000}" name="CLIENTS"/>
    <tableColumn id="11" xr3:uid="{00000000-0010-0000-0D00-00000B000000}" name="CATEGORIE"/>
    <tableColumn id="14" xr3:uid="{00000000-0010-0000-0D00-00000E000000}" name="TYPE DE RECETTE" dataDxfId="91" dataCellStyle="Milliers"/>
    <tableColumn id="6" xr3:uid="{00000000-0010-0000-0D00-000006000000}" name="MONTANT TTC" totalsRowFunction="sum" dataDxfId="90" totalsRowDxfId="89" dataCellStyle="Milliers [0]"/>
    <tableColumn id="17" xr3:uid="{DDBA03CD-8ADF-4C06-9325-39E65C8E4ECE}" name="IMPUTATION PROJET" dataDxfId="88" totalsRowDxfId="87" dataCellStyle="Milliers"/>
    <tableColumn id="2" xr3:uid="{00000000-0010-0000-0D00-000002000000}" name="MODE " dataDxfId="86" dataCellStyle="Milliers"/>
    <tableColumn id="3" xr3:uid="{00000000-0010-0000-0D00-000003000000}" name="REFERENCE " dataDxfId="85" totalsRowDxfId="84"/>
    <tableColumn id="1" xr3:uid="{00000000-0010-0000-0D00-000001000000}" name="DATE DE PAIEMENT " dataDxfId="83"/>
    <tableColumn id="4" xr3:uid="{00000000-0010-0000-0D00-000004000000}" name="ETS PAYEUR" dataDxfId="82"/>
    <tableColumn id="18" xr3:uid="{39A678E7-E791-4369-81EA-3296EF16F486}" name="DATE DE REMISE"/>
    <tableColumn id="12" xr3:uid="{00000000-0010-0000-0D00-00000C000000}" name="DOMICILIATION PAIEMENT" dataDxfId="81" totalsRowDxfId="80" dataCellStyle="Milliers"/>
    <tableColumn id="7" xr3:uid="{00000000-0010-0000-0D00-000007000000}" name="FACTURE" dataDxfId="79"/>
    <tableColumn id="10" xr3:uid="{00000000-0010-0000-0D00-00000A000000}" name="DATE DE FACTURATION" dataDxfId="78">
      <calculatedColumnFormula>IFERROR(INDEX(Tableau6[],MATCH(Tableau3[[#This Row],[FACTURE]],Tableau6[NUM DE FACTURE],0),4),"")</calculatedColumnFormula>
    </tableColumn>
    <tableColumn id="9" xr3:uid="{00000000-0010-0000-0D00-000009000000}" name="LIBELLE_REG" dataDxfId="77">
      <calculatedColumnFormula>IF(Tableau3[[#This Row],[CLIENTS]]="","",CONCATENATE(Tableau3[[#This Row],[MODE ]]," ",Tableau3[[#This Row],[ETS PAYEUR]]," ","F/",Tableau3[[#This Row],[FACTURE]]))</calculatedColumnFormula>
    </tableColumn>
    <tableColumn id="8" xr3:uid="{00000000-0010-0000-0D00-000008000000}" name="OBSERVATIONS"/>
    <tableColumn id="15" xr3:uid="{00000000-0010-0000-0D00-00000F000000}" name="N° LIGNE_RF" dataDxfId="76">
      <calculatedColumnFormula>+ROW()-ROW(Tableau3[[#Headers],[N° LIGNE_RF]])</calculatedColumnFormula>
    </tableColumn>
    <tableColumn id="19" xr3:uid="{1536C69D-3DBC-4993-8F43-95EF7D5D022A}" name="GROUPE_REF" dataDxfId="75">
      <calculatedColumnFormula>IF(Tableau3[[#This Row],[REFERENCE ]]="","",MATCH(Tableau3[[#This Row],[REFERENCE ]],Tableau3[[REFERENCE ]],0))</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E000000}" name="Tableau13" displayName="Tableau13" ref="T3:V20" totalsRowCount="1" headerRowDxfId="74" dataDxfId="73" totalsRowDxfId="72">
  <autoFilter ref="T3:V19" xr:uid="{00000000-0009-0000-0100-00000D000000}"/>
  <tableColumns count="3">
    <tableColumn id="1" xr3:uid="{00000000-0010-0000-0E00-000001000000}" name="ENTITE" dataDxfId="71" totalsRowDxfId="70" dataCellStyle="Milliers"/>
    <tableColumn id="2" xr3:uid="{00000000-0010-0000-0E00-000002000000}" name="DOMICILIATION PAIEMENT" dataDxfId="69" totalsRowDxfId="68" dataCellStyle="Milliers"/>
    <tableColumn id="3" xr3:uid="{00000000-0010-0000-0E00-000003000000}" name="MONTANT RECOUVRE" totalsRowFunction="sum" dataDxfId="67" totalsRowDxfId="66" dataCellStyle="Milliers">
      <calculatedColumnFormula>+SUMIFS(Tableau3[MONTANT TTC],Tableau3[ENTITE],Tableau13[[#This Row],[ENTITE]],Tableau3[DOMICILIATION PAIEMENT],Tableau13[[#This Row],[DOMICILIATION PAIEMENT]])</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F000000}" name="Tableau2" displayName="Tableau2" ref="B5:P350" totalsRowCount="1" headerRowDxfId="65" tableBorderDxfId="64">
  <autoFilter ref="B5:P349" xr:uid="{00000000-0009-0000-0100-000002000000}"/>
  <sortState xmlns:xlrd2="http://schemas.microsoft.com/office/spreadsheetml/2017/richdata2" ref="B6:P326">
    <sortCondition ref="C5:C326"/>
  </sortState>
  <tableColumns count="15">
    <tableColumn id="11" xr3:uid="{00000000-0010-0000-0F00-00000B000000}" name="ENTITE"/>
    <tableColumn id="1" xr3:uid="{00000000-0010-0000-0F00-000001000000}" name="DATE" totalsRowLabel="Total" dataDxfId="63"/>
    <tableColumn id="12" xr3:uid="{00000000-0010-0000-0F00-00000C000000}" name="ID BC UNIQUE" dataDxfId="62" totalsRowDxfId="61"/>
    <tableColumn id="13" xr3:uid="{00000000-0010-0000-0F00-00000D000000}" name="CATEGORIE CLIENT" dataDxfId="60" totalsRowDxfId="59"/>
    <tableColumn id="4" xr3:uid="{00000000-0010-0000-0F00-000004000000}" name="NOM CLIENT" totalsRowFunction="custom" totalsRowDxfId="58">
      <totalsRowFormula array="1">IFERROR(SUMPRODUCT(SUBTOTAL(3,OFFSET(Tableau2[[#Headers],[NOM CLIENT]],ROW(INDIRECT("1:"&amp;ROWS(Tableau2[NOM CLIENT]))),))*(1/COUNTIF(Tableau2[NOM CLIENT],Tableau2[NOM CLIENT]))),"")</totalsRowFormula>
    </tableColumn>
    <tableColumn id="10" xr3:uid="{00000000-0010-0000-0F00-00000A000000}" name="DELAIS DE PAIEMENT FACTURES EN JOUR" dataDxfId="57" totalsRowDxfId="56"/>
    <tableColumn id="9" xr3:uid="{00000000-0010-0000-0F00-000009000000}" name="MONTANT HT INITIAL" totalsRowFunction="sum" dataDxfId="55" totalsRowDxfId="54" dataCellStyle="Milliers [0]"/>
    <tableColumn id="3" xr3:uid="{00000000-0010-0000-0F00-000003000000}" name="MONTANT HT VALIDE" totalsRowFunction="sum" dataDxfId="53" totalsRowDxfId="52" dataCellStyle="Milliers"/>
    <tableColumn id="5" xr3:uid="{00000000-0010-0000-0F00-000005000000}" name="MONTANT HT FACTURE" totalsRowFunction="sum" dataDxfId="51" totalsRowDxfId="50" dataCellStyle="Milliers">
      <calculatedColumnFormula>+SUMIFS(Tableau6[MONTANT HT],Tableau6[CLIENT],Tableau2[[#This Row],[NOM CLIENT]],Tableau6[N° BC],Tableau2[[#This Row],[ID BC UNIQUE]])-SUMIFS(Tableau6[MONTANT HT],Tableau6[CLIENT],Tableau2[[#This Row],[NOM CLIENT]],Tableau6[N° BC],Tableau2[[#This Row],[ID BC UNIQUE]])</calculatedColumnFormula>
    </tableColumn>
    <tableColumn id="6" xr3:uid="{00000000-0010-0000-0F00-000006000000}" name="RESTE A FACTURER" totalsRowFunction="sum" dataDxfId="49" totalsRowDxfId="48" dataCellStyle="Milliers">
      <calculatedColumnFormula>Tableau2[[#This Row],[MONTANT HT VALIDE]]-Tableau2[[#This Row],[MONTANT HT FACTURE]]</calculatedColumnFormula>
    </tableColumn>
    <tableColumn id="7" xr3:uid="{00000000-0010-0000-0F00-000007000000}" name="TAUX D'EXECUTION" dataCellStyle="Pourcentage">
      <calculatedColumnFormula>+IFERROR(Tableau2[[#This Row],[MONTANT HT FACTURE]]/Tableau2[[#This Row],[MONTANT HT VALIDE]],0)</calculatedColumnFormula>
    </tableColumn>
    <tableColumn id="8" xr3:uid="{00000000-0010-0000-0F00-000008000000}" name="STATUT" dataDxfId="47">
      <calculatedColumnFormula>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calculatedColumnFormula>
    </tableColumn>
    <tableColumn id="18" xr3:uid="{70B8926B-AB42-46FD-BC6C-80AD35E84DAB}" name="CODE PROJET" dataDxfId="46">
      <calculatedColumnFormula>+IFERROR(INDEX(Tableau6[[ENTITE]:[N° BC]],MATCH(Tableau2[[#This Row],[ID BC UNIQUE]],Tableau6[N° BC],0),7),"")</calculatedColumnFormula>
    </tableColumn>
    <tableColumn id="19" xr3:uid="{D29F168B-C621-45FB-8708-EDF268A662E5}" name="NOM PROJET" dataDxfId="45">
      <calculatedColumnFormula>+IFERROR(INDEX(Tableau24[],MATCH(Tableau2[[#This Row],[CODE PROJET]],Tableau24[CODE PROJET],0),2),"")</calculatedColumnFormula>
    </tableColumn>
    <tableColumn id="16" xr3:uid="{00000000-0010-0000-0F00-000010000000}" name="OBSERVATIONS"/>
  </tableColumns>
  <tableStyleInfo name="TableStyleLight1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95F86A2-D626-4E9F-9126-3EF47C93506E}" name="Tableau2273" displayName="Tableau2273" ref="B5:I303" totalsRowCount="1" headerRowDxfId="44" tableBorderDxfId="43">
  <autoFilter ref="B5:I302" xr:uid="{00000000-0009-0000-0100-000002000000}"/>
  <sortState xmlns:xlrd2="http://schemas.microsoft.com/office/spreadsheetml/2017/richdata2" ref="B6:I302">
    <sortCondition ref="I5:I302"/>
  </sortState>
  <tableColumns count="8">
    <tableColumn id="1" xr3:uid="{9C2A6C8C-3422-4BAF-850D-14034D08C31D}" name="DATE" totalsRowLabel="Total" dataDxfId="42"/>
    <tableColumn id="2" xr3:uid="{9201C4FE-7754-4875-BC46-FF32CC114D26}" name="N° BC" totalsRowFunction="count" dataDxfId="41" totalsRowDxfId="40"/>
    <tableColumn id="17" xr3:uid="{A88CCF37-0CC0-4B1D-9250-72295EB0CE51}" name="N_F" dataDxfId="39" totalsRowDxfId="38"/>
    <tableColumn id="12" xr3:uid="{58024331-E08A-448F-B863-51C5187EA98E}" name="ID BC UNIQUE" dataDxfId="37" totalsRowDxfId="36"/>
    <tableColumn id="4" xr3:uid="{0E5E3881-97AA-4336-ADC6-9E63D63A81EB}" name="NOM CLIENT" totalsRowFunction="custom" totalsRowDxfId="35">
      <totalsRowFormula array="1">IFERROR(SUMPRODUCT(SUBTOTAL(3,OFFSET(Tableau2273[[#Headers],[NOM CLIENT]],ROW(INDIRECT("1:"&amp;ROWS(Tableau2273[NOM CLIENT]))),))*(1/COUNTIF(Tableau2273[NOM CLIENT],Tableau2273[NOM CLIENT]))),"")</totalsRowFormula>
    </tableColumn>
    <tableColumn id="3" xr3:uid="{8348390E-1CCC-42AF-B6C2-B5F2B5279DBB}" name="MONTANT HT VALIDE" totalsRowFunction="sum" dataDxfId="34" totalsRowDxfId="33" dataCellStyle="Milliers"/>
    <tableColumn id="14" xr3:uid="{AD82EB74-3CB8-4583-B2AA-E5F109B3F96E}" name="CODE PROJET" dataDxfId="32"/>
    <tableColumn id="16" xr3:uid="{42175764-EDA0-47EC-8BB2-D050BE968E1F}" name="NOM DU PROJET" dataDxfId="31"/>
  </tableColumns>
  <tableStyleInfo name="TableStyleLight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openxmlformats.org/officeDocument/2006/relationships/table" Target="../tables/table4.xml"/><Relationship Id="rId5" Type="http://schemas.openxmlformats.org/officeDocument/2006/relationships/table" Target="../tables/table3.xml"/><Relationship Id="rId10" Type="http://schemas.openxmlformats.org/officeDocument/2006/relationships/comments" Target="../comments1.xml"/><Relationship Id="rId4" Type="http://schemas.openxmlformats.org/officeDocument/2006/relationships/table" Target="../tables/table2.xml"/><Relationship Id="rId9" Type="http://schemas.openxmlformats.org/officeDocument/2006/relationships/table" Target="../tables/table7.xml"/></Relationships>
</file>

<file path=xl/worksheets/_rels/sheet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sheetPr>
  <dimension ref="A1:M64"/>
  <sheetViews>
    <sheetView workbookViewId="0">
      <selection activeCell="F11" sqref="F11"/>
    </sheetView>
  </sheetViews>
  <sheetFormatPr baseColWidth="10" defaultRowHeight="10.199999999999999" x14ac:dyDescent="0.2"/>
  <cols>
    <col min="1" max="1" width="9.875" bestFit="1" customWidth="1"/>
    <col min="2" max="2" width="9.875" customWidth="1"/>
    <col min="3" max="3" width="15.75" bestFit="1" customWidth="1"/>
    <col min="4" max="4" width="74" customWidth="1"/>
    <col min="5" max="5" width="9.875" customWidth="1"/>
    <col min="6" max="6" width="12.75" customWidth="1"/>
    <col min="7" max="7" width="34.25" bestFit="1" customWidth="1"/>
    <col min="8" max="8" width="31" bestFit="1" customWidth="1"/>
    <col min="9" max="9" width="46.375" bestFit="1" customWidth="1"/>
    <col min="11" max="11" width="29.875" bestFit="1" customWidth="1"/>
    <col min="12" max="12" width="30.625" bestFit="1" customWidth="1"/>
    <col min="13" max="13" width="26.375" bestFit="1" customWidth="1"/>
    <col min="14" max="14" width="18.125" bestFit="1" customWidth="1"/>
    <col min="15" max="15" width="36.125" customWidth="1"/>
    <col min="16" max="16" width="18.375" bestFit="1" customWidth="1"/>
    <col min="19" max="19" width="22.625" bestFit="1" customWidth="1"/>
    <col min="20" max="20" width="22.875" customWidth="1"/>
    <col min="21" max="21" width="29.375" bestFit="1" customWidth="1"/>
    <col min="22" max="22" width="29.25" bestFit="1" customWidth="1"/>
  </cols>
  <sheetData>
    <row r="1" spans="1:13" x14ac:dyDescent="0.2">
      <c r="G1" s="1" t="s">
        <v>23</v>
      </c>
      <c r="K1" s="1" t="s">
        <v>32</v>
      </c>
    </row>
    <row r="3" spans="1:13" x14ac:dyDescent="0.2">
      <c r="A3" t="s">
        <v>57</v>
      </c>
      <c r="C3" t="s">
        <v>744</v>
      </c>
      <c r="D3" t="s">
        <v>153</v>
      </c>
      <c r="G3" t="s">
        <v>24</v>
      </c>
      <c r="H3" t="s">
        <v>25</v>
      </c>
      <c r="I3" t="s">
        <v>0</v>
      </c>
      <c r="K3" t="s">
        <v>31</v>
      </c>
      <c r="L3" t="s">
        <v>30</v>
      </c>
    </row>
    <row r="4" spans="1:13" x14ac:dyDescent="0.2">
      <c r="A4" t="s">
        <v>100</v>
      </c>
      <c r="C4" s="80" t="s">
        <v>234</v>
      </c>
      <c r="D4" s="80" t="s">
        <v>796</v>
      </c>
      <c r="G4" t="s">
        <v>101</v>
      </c>
      <c r="H4" t="s">
        <v>130</v>
      </c>
      <c r="I4" t="s">
        <v>134</v>
      </c>
      <c r="K4" s="52">
        <v>10</v>
      </c>
      <c r="L4" t="s">
        <v>33</v>
      </c>
    </row>
    <row r="5" spans="1:13" x14ac:dyDescent="0.2">
      <c r="A5" t="s">
        <v>159</v>
      </c>
      <c r="C5" s="80" t="s">
        <v>183</v>
      </c>
      <c r="D5" s="80" t="s">
        <v>783</v>
      </c>
      <c r="G5" t="s">
        <v>102</v>
      </c>
      <c r="H5" t="s">
        <v>130</v>
      </c>
      <c r="I5" t="s">
        <v>133</v>
      </c>
      <c r="K5" s="52">
        <v>20</v>
      </c>
      <c r="L5" t="s">
        <v>34</v>
      </c>
    </row>
    <row r="6" spans="1:13" x14ac:dyDescent="0.2">
      <c r="A6" t="s">
        <v>160</v>
      </c>
      <c r="C6" s="484" t="s">
        <v>190</v>
      </c>
      <c r="D6" s="484" t="s">
        <v>779</v>
      </c>
      <c r="G6" t="s">
        <v>102</v>
      </c>
      <c r="H6" t="s">
        <v>131</v>
      </c>
      <c r="I6" t="s">
        <v>132</v>
      </c>
      <c r="K6" s="52">
        <v>35</v>
      </c>
      <c r="L6" t="s">
        <v>35</v>
      </c>
    </row>
    <row r="7" spans="1:13" x14ac:dyDescent="0.2">
      <c r="C7" s="484" t="s">
        <v>188</v>
      </c>
      <c r="D7" s="484" t="s">
        <v>781</v>
      </c>
      <c r="G7" t="s">
        <v>103</v>
      </c>
      <c r="H7" t="s">
        <v>135</v>
      </c>
      <c r="I7" s="21" t="s">
        <v>136</v>
      </c>
      <c r="K7" s="52">
        <v>60</v>
      </c>
      <c r="L7" t="s">
        <v>36</v>
      </c>
    </row>
    <row r="8" spans="1:13" x14ac:dyDescent="0.2">
      <c r="C8" s="484" t="s">
        <v>185</v>
      </c>
      <c r="D8" s="484" t="s">
        <v>782</v>
      </c>
      <c r="G8" t="s">
        <v>104</v>
      </c>
      <c r="I8" s="21"/>
    </row>
    <row r="9" spans="1:13" x14ac:dyDescent="0.2">
      <c r="C9" s="80" t="s">
        <v>186</v>
      </c>
      <c r="D9" s="80" t="s">
        <v>786</v>
      </c>
      <c r="G9" t="s">
        <v>105</v>
      </c>
      <c r="I9" s="35"/>
    </row>
    <row r="10" spans="1:13" x14ac:dyDescent="0.2">
      <c r="C10" s="484" t="s">
        <v>617</v>
      </c>
      <c r="D10" s="484" t="s">
        <v>778</v>
      </c>
      <c r="G10" t="s">
        <v>106</v>
      </c>
      <c r="H10" t="s">
        <v>130</v>
      </c>
      <c r="I10" s="35" t="s">
        <v>133</v>
      </c>
    </row>
    <row r="11" spans="1:13" x14ac:dyDescent="0.2">
      <c r="C11" s="80" t="s">
        <v>178</v>
      </c>
      <c r="D11" s="80" t="s">
        <v>784</v>
      </c>
      <c r="G11" t="s">
        <v>107</v>
      </c>
      <c r="H11" t="s">
        <v>130</v>
      </c>
      <c r="I11" s="35"/>
      <c r="K11" s="1" t="s">
        <v>51</v>
      </c>
      <c r="L11" s="1"/>
    </row>
    <row r="12" spans="1:13" x14ac:dyDescent="0.2">
      <c r="C12" s="80" t="s">
        <v>182</v>
      </c>
      <c r="D12" s="80" t="s">
        <v>785</v>
      </c>
      <c r="G12" t="s">
        <v>108</v>
      </c>
      <c r="H12" t="s">
        <v>130</v>
      </c>
      <c r="I12" s="3" t="s">
        <v>137</v>
      </c>
    </row>
    <row r="13" spans="1:13" x14ac:dyDescent="0.2">
      <c r="C13" s="80" t="s">
        <v>181</v>
      </c>
      <c r="D13" s="80" t="s">
        <v>787</v>
      </c>
      <c r="G13" t="s">
        <v>117</v>
      </c>
      <c r="H13" s="43"/>
      <c r="I13" s="3"/>
      <c r="K13" s="1" t="s">
        <v>31</v>
      </c>
      <c r="L13" s="1" t="s">
        <v>52</v>
      </c>
      <c r="M13" t="s">
        <v>201</v>
      </c>
    </row>
    <row r="14" spans="1:13" x14ac:dyDescent="0.2">
      <c r="C14" s="80" t="s">
        <v>180</v>
      </c>
      <c r="D14" s="80" t="s">
        <v>788</v>
      </c>
      <c r="I14" s="3"/>
      <c r="K14" s="53">
        <v>0</v>
      </c>
      <c r="L14" t="s">
        <v>53</v>
      </c>
    </row>
    <row r="15" spans="1:13" x14ac:dyDescent="0.2">
      <c r="C15" s="484" t="s">
        <v>706</v>
      </c>
      <c r="D15" s="80" t="s">
        <v>774</v>
      </c>
      <c r="L15" s="53">
        <v>30</v>
      </c>
      <c r="M15" t="s">
        <v>54</v>
      </c>
    </row>
    <row r="16" spans="1:13" x14ac:dyDescent="0.2">
      <c r="C16" s="80" t="s">
        <v>179</v>
      </c>
      <c r="D16" s="80" t="s">
        <v>777</v>
      </c>
      <c r="L16" s="53">
        <v>60</v>
      </c>
      <c r="M16" t="s">
        <v>55</v>
      </c>
    </row>
    <row r="17" spans="3:13" x14ac:dyDescent="0.2">
      <c r="C17" s="484" t="s">
        <v>626</v>
      </c>
      <c r="D17" s="484" t="s">
        <v>777</v>
      </c>
      <c r="G17" t="s">
        <v>65</v>
      </c>
      <c r="H17" t="s">
        <v>66</v>
      </c>
      <c r="I17" t="s">
        <v>75</v>
      </c>
      <c r="L17" s="53">
        <v>90</v>
      </c>
      <c r="M17" t="s">
        <v>56</v>
      </c>
    </row>
    <row r="18" spans="3:13" x14ac:dyDescent="0.2">
      <c r="C18" s="484" t="s">
        <v>728</v>
      </c>
      <c r="D18" s="80" t="s">
        <v>771</v>
      </c>
      <c r="G18" t="s">
        <v>10</v>
      </c>
      <c r="H18" t="s">
        <v>67</v>
      </c>
      <c r="I18" t="s">
        <v>72</v>
      </c>
      <c r="L18" s="53">
        <v>120</v>
      </c>
      <c r="M18" t="s">
        <v>58</v>
      </c>
    </row>
    <row r="19" spans="3:13" x14ac:dyDescent="0.2">
      <c r="C19" s="484" t="s">
        <v>721</v>
      </c>
      <c r="D19" s="80" t="s">
        <v>773</v>
      </c>
      <c r="G19" t="s">
        <v>10</v>
      </c>
      <c r="H19" t="s">
        <v>67</v>
      </c>
      <c r="I19" t="s">
        <v>72</v>
      </c>
    </row>
    <row r="20" spans="3:13" x14ac:dyDescent="0.2">
      <c r="C20" s="80" t="s">
        <v>194</v>
      </c>
      <c r="D20" s="80" t="s">
        <v>751</v>
      </c>
      <c r="G20" t="s">
        <v>16</v>
      </c>
      <c r="H20" t="s">
        <v>67</v>
      </c>
      <c r="I20" t="s">
        <v>72</v>
      </c>
    </row>
    <row r="21" spans="3:13" x14ac:dyDescent="0.2">
      <c r="C21" s="80" t="s">
        <v>209</v>
      </c>
      <c r="D21" s="80" t="s">
        <v>754</v>
      </c>
      <c r="G21" t="s">
        <v>14</v>
      </c>
      <c r="H21" t="s">
        <v>67</v>
      </c>
      <c r="I21" t="s">
        <v>72</v>
      </c>
    </row>
    <row r="22" spans="3:13" x14ac:dyDescent="0.2">
      <c r="C22" s="80" t="s">
        <v>202</v>
      </c>
      <c r="D22" s="80" t="s">
        <v>765</v>
      </c>
      <c r="G22" t="s">
        <v>13</v>
      </c>
      <c r="H22" t="s">
        <v>67</v>
      </c>
      <c r="I22" t="s">
        <v>72</v>
      </c>
    </row>
    <row r="23" spans="3:13" ht="16.2" x14ac:dyDescent="0.3">
      <c r="C23" s="80" t="s">
        <v>208</v>
      </c>
      <c r="D23" s="80" t="s">
        <v>797</v>
      </c>
      <c r="G23" t="s">
        <v>68</v>
      </c>
      <c r="H23" t="s">
        <v>70</v>
      </c>
      <c r="I23" t="s">
        <v>73</v>
      </c>
      <c r="K23" s="67" t="s">
        <v>393</v>
      </c>
      <c r="L23" s="362"/>
    </row>
    <row r="24" spans="3:13" x14ac:dyDescent="0.2">
      <c r="C24" s="80" t="s">
        <v>332</v>
      </c>
      <c r="D24" s="80" t="s">
        <v>791</v>
      </c>
      <c r="G24" t="s">
        <v>69</v>
      </c>
      <c r="H24" t="s">
        <v>71</v>
      </c>
      <c r="I24" t="s">
        <v>74</v>
      </c>
    </row>
    <row r="25" spans="3:13" x14ac:dyDescent="0.2">
      <c r="C25" s="80" t="s">
        <v>162</v>
      </c>
      <c r="D25" s="80" t="s">
        <v>747</v>
      </c>
      <c r="G25" t="s">
        <v>69</v>
      </c>
      <c r="H25" t="s">
        <v>71</v>
      </c>
      <c r="I25" t="s">
        <v>74</v>
      </c>
      <c r="K25" s="360" t="s">
        <v>381</v>
      </c>
      <c r="L25" s="360" t="s">
        <v>382</v>
      </c>
    </row>
    <row r="26" spans="3:13" x14ac:dyDescent="0.2">
      <c r="C26" s="80" t="s">
        <v>175</v>
      </c>
      <c r="D26" s="80" t="s">
        <v>800</v>
      </c>
      <c r="G26" t="s">
        <v>10</v>
      </c>
      <c r="K26" s="79" t="s">
        <v>383</v>
      </c>
      <c r="L26" s="361" t="s">
        <v>384</v>
      </c>
    </row>
    <row r="27" spans="3:13" ht="20.399999999999999" x14ac:dyDescent="0.2">
      <c r="C27" s="484" t="s">
        <v>176</v>
      </c>
      <c r="D27" s="484" t="s">
        <v>770</v>
      </c>
      <c r="G27" t="s">
        <v>16</v>
      </c>
      <c r="K27" s="79" t="s">
        <v>385</v>
      </c>
      <c r="L27" s="361" t="s">
        <v>386</v>
      </c>
    </row>
    <row r="28" spans="3:13" x14ac:dyDescent="0.2">
      <c r="C28" s="80" t="s">
        <v>174</v>
      </c>
      <c r="D28" s="80" t="s">
        <v>767</v>
      </c>
      <c r="G28" t="s">
        <v>14</v>
      </c>
      <c r="K28" s="79" t="s">
        <v>387</v>
      </c>
      <c r="L28" s="361" t="s">
        <v>388</v>
      </c>
    </row>
    <row r="29" spans="3:13" x14ac:dyDescent="0.2">
      <c r="C29" s="80" t="s">
        <v>167</v>
      </c>
      <c r="D29" s="80" t="s">
        <v>756</v>
      </c>
      <c r="G29" t="s">
        <v>9</v>
      </c>
      <c r="K29" s="79" t="s">
        <v>389</v>
      </c>
      <c r="L29" s="361" t="s">
        <v>390</v>
      </c>
    </row>
    <row r="30" spans="3:13" x14ac:dyDescent="0.2">
      <c r="C30" s="80" t="s">
        <v>169</v>
      </c>
      <c r="D30" s="80" t="s">
        <v>758</v>
      </c>
      <c r="K30" s="79" t="s">
        <v>391</v>
      </c>
      <c r="L30" s="361" t="s">
        <v>392</v>
      </c>
    </row>
    <row r="31" spans="3:13" x14ac:dyDescent="0.2">
      <c r="C31" s="80" t="s">
        <v>207</v>
      </c>
      <c r="D31" s="80" t="s">
        <v>798</v>
      </c>
    </row>
    <row r="32" spans="3:13" x14ac:dyDescent="0.2">
      <c r="C32" s="80" t="s">
        <v>199</v>
      </c>
      <c r="D32" s="80" t="s">
        <v>769</v>
      </c>
    </row>
    <row r="33" spans="3:4" x14ac:dyDescent="0.2">
      <c r="C33" s="80" t="s">
        <v>200</v>
      </c>
      <c r="D33" s="80" t="s">
        <v>748</v>
      </c>
    </row>
    <row r="34" spans="3:4" x14ac:dyDescent="0.2">
      <c r="C34" s="80" t="s">
        <v>171</v>
      </c>
      <c r="D34" s="80" t="s">
        <v>757</v>
      </c>
    </row>
    <row r="35" spans="3:4" x14ac:dyDescent="0.2">
      <c r="C35" s="80" t="s">
        <v>203</v>
      </c>
      <c r="D35" s="80" t="s">
        <v>789</v>
      </c>
    </row>
    <row r="36" spans="3:4" x14ac:dyDescent="0.2">
      <c r="C36" s="80" t="s">
        <v>170</v>
      </c>
      <c r="D36" s="80" t="s">
        <v>752</v>
      </c>
    </row>
    <row r="37" spans="3:4" x14ac:dyDescent="0.2">
      <c r="C37" s="80" t="s">
        <v>165</v>
      </c>
      <c r="D37" s="80" t="s">
        <v>755</v>
      </c>
    </row>
    <row r="38" spans="3:4" x14ac:dyDescent="0.2">
      <c r="C38" s="80" t="s">
        <v>212</v>
      </c>
      <c r="D38" s="80" t="s">
        <v>750</v>
      </c>
    </row>
    <row r="39" spans="3:4" x14ac:dyDescent="0.2">
      <c r="C39" s="80" t="s">
        <v>206</v>
      </c>
      <c r="D39" s="80" t="s">
        <v>799</v>
      </c>
    </row>
    <row r="40" spans="3:4" x14ac:dyDescent="0.2">
      <c r="C40" s="80" t="s">
        <v>205</v>
      </c>
      <c r="D40" s="80" t="s">
        <v>766</v>
      </c>
    </row>
    <row r="41" spans="3:4" x14ac:dyDescent="0.2">
      <c r="C41" s="80" t="s">
        <v>333</v>
      </c>
      <c r="D41" s="80" t="s">
        <v>792</v>
      </c>
    </row>
    <row r="42" spans="3:4" x14ac:dyDescent="0.2">
      <c r="C42" s="80" t="s">
        <v>161</v>
      </c>
      <c r="D42" s="80" t="s">
        <v>746</v>
      </c>
    </row>
    <row r="43" spans="3:4" x14ac:dyDescent="0.2">
      <c r="C43" s="80" t="s">
        <v>210</v>
      </c>
      <c r="D43" s="80" t="s">
        <v>793</v>
      </c>
    </row>
    <row r="44" spans="3:4" x14ac:dyDescent="0.2">
      <c r="C44" s="80" t="s">
        <v>211</v>
      </c>
      <c r="D44" s="80" t="s">
        <v>794</v>
      </c>
    </row>
    <row r="45" spans="3:4" x14ac:dyDescent="0.2">
      <c r="C45" s="484" t="s">
        <v>630</v>
      </c>
      <c r="D45" s="484" t="s">
        <v>775</v>
      </c>
    </row>
    <row r="46" spans="3:4" x14ac:dyDescent="0.2">
      <c r="C46" s="80" t="s">
        <v>155</v>
      </c>
      <c r="D46" s="80" t="s">
        <v>749</v>
      </c>
    </row>
    <row r="47" spans="3:4" x14ac:dyDescent="0.2">
      <c r="C47" s="80" t="s">
        <v>156</v>
      </c>
      <c r="D47" s="80" t="s">
        <v>745</v>
      </c>
    </row>
    <row r="48" spans="3:4" x14ac:dyDescent="0.2">
      <c r="C48" s="80" t="s">
        <v>283</v>
      </c>
      <c r="D48" s="80" t="s">
        <v>795</v>
      </c>
    </row>
    <row r="49" spans="3:4" x14ac:dyDescent="0.2">
      <c r="C49" s="80" t="s">
        <v>334</v>
      </c>
      <c r="D49" s="80" t="s">
        <v>790</v>
      </c>
    </row>
    <row r="50" spans="3:4" x14ac:dyDescent="0.2">
      <c r="C50" s="484" t="s">
        <v>189</v>
      </c>
      <c r="D50" s="484" t="s">
        <v>780</v>
      </c>
    </row>
    <row r="51" spans="3:4" x14ac:dyDescent="0.2">
      <c r="C51" s="80" t="s">
        <v>154</v>
      </c>
      <c r="D51" s="80" t="s">
        <v>768</v>
      </c>
    </row>
    <row r="52" spans="3:4" x14ac:dyDescent="0.2">
      <c r="C52" s="484" t="s">
        <v>629</v>
      </c>
      <c r="D52" s="484" t="s">
        <v>776</v>
      </c>
    </row>
    <row r="53" spans="3:4" x14ac:dyDescent="0.2">
      <c r="C53" s="80" t="s">
        <v>184</v>
      </c>
      <c r="D53" s="80" t="s">
        <v>753</v>
      </c>
    </row>
    <row r="54" spans="3:4" x14ac:dyDescent="0.2">
      <c r="C54" s="484" t="s">
        <v>772</v>
      </c>
      <c r="D54" s="80" t="s">
        <v>803</v>
      </c>
    </row>
    <row r="55" spans="3:4" x14ac:dyDescent="0.2">
      <c r="C55" s="484" t="s">
        <v>619</v>
      </c>
      <c r="D55" s="484" t="s">
        <v>619</v>
      </c>
    </row>
    <row r="56" spans="3:4" x14ac:dyDescent="0.2">
      <c r="C56" s="484" t="s">
        <v>426</v>
      </c>
      <c r="D56" s="484" t="s">
        <v>813</v>
      </c>
    </row>
    <row r="57" spans="3:4" x14ac:dyDescent="0.2">
      <c r="C57" s="484" t="s">
        <v>552</v>
      </c>
      <c r="D57" s="484" t="s">
        <v>812</v>
      </c>
    </row>
    <row r="58" spans="3:4" x14ac:dyDescent="0.2">
      <c r="C58" s="484" t="s">
        <v>370</v>
      </c>
      <c r="D58" s="484" t="s">
        <v>370</v>
      </c>
    </row>
    <row r="59" spans="3:4" x14ac:dyDescent="0.2">
      <c r="C59" t="s">
        <v>563</v>
      </c>
      <c r="D59" t="s">
        <v>563</v>
      </c>
    </row>
    <row r="60" spans="3:4" x14ac:dyDescent="0.2">
      <c r="C60" s="484" t="s">
        <v>172</v>
      </c>
      <c r="D60" s="80" t="s">
        <v>833</v>
      </c>
    </row>
    <row r="61" spans="3:4" x14ac:dyDescent="0.2">
      <c r="C61" s="484" t="s">
        <v>835</v>
      </c>
      <c r="D61" s="80" t="s">
        <v>841</v>
      </c>
    </row>
    <row r="62" spans="3:4" x14ac:dyDescent="0.2">
      <c r="C62" s="484" t="s">
        <v>840</v>
      </c>
      <c r="D62" s="80" t="s">
        <v>842</v>
      </c>
    </row>
    <row r="63" spans="3:4" x14ac:dyDescent="0.2">
      <c r="C63" s="484"/>
      <c r="D63" s="80"/>
    </row>
    <row r="64" spans="3:4" x14ac:dyDescent="0.2">
      <c r="C64" s="80" t="s">
        <v>2</v>
      </c>
      <c r="D64" s="80">
        <f>SUBTOTAL(103,Tableau24[PROJET/CHANTIER])</f>
        <v>59</v>
      </c>
    </row>
  </sheetData>
  <conditionalFormatting sqref="C4:C63">
    <cfRule type="duplicateValues" dxfId="30" priority="1"/>
  </conditionalFormatting>
  <conditionalFormatting sqref="C4:D8">
    <cfRule type="expression" dxfId="29" priority="550">
      <formula>$AE21="FACTURE ANNULEE"</formula>
    </cfRule>
    <cfRule type="expression" dxfId="28" priority="551">
      <formula>AND($Y21&lt;TODAY(),OR($AE21="ECHUE NON REGLEE",$AE21="PAIEMENT PARTIEL"))</formula>
    </cfRule>
    <cfRule type="expression" dxfId="27" priority="552">
      <formula>LEFT($AE21,5)="AVOIR"</formula>
    </cfRule>
  </conditionalFormatting>
  <conditionalFormatting sqref="C9:D17 C49:D53">
    <cfRule type="expression" dxfId="26" priority="2">
      <formula>$AG26="FACTURE ANNULEE"</formula>
    </cfRule>
    <cfRule type="expression" dxfId="25" priority="3">
      <formula>AND($AA26&lt;TODAY(),OR($AG26="ECHUE NON REGLEE",$AG26="PAIEMENT PARTIEL"))</formula>
    </cfRule>
    <cfRule type="expression" dxfId="24" priority="4">
      <formula>LEFT($AG26,5)="AVOIR"</formula>
    </cfRule>
  </conditionalFormatting>
  <conditionalFormatting sqref="C18:D21">
    <cfRule type="expression" dxfId="23" priority="523">
      <formula>$AF35="FACTURE ANNULEE"</formula>
    </cfRule>
    <cfRule type="expression" dxfId="22" priority="524">
      <formula>AND($Z35&lt;TODAY(),OR($AF35="ECHUE NON REGLEE",$AF35="PAIEMENT PARTIEL"))</formula>
    </cfRule>
    <cfRule type="expression" dxfId="21" priority="525">
      <formula>LEFT($AF35,5)="AVOIR"</formula>
    </cfRule>
  </conditionalFormatting>
  <conditionalFormatting sqref="C22:D26">
    <cfRule type="expression" dxfId="20" priority="529">
      <formula>$AF40="FACTURE ANNULEE"</formula>
    </cfRule>
    <cfRule type="expression" dxfId="19" priority="530">
      <formula>AND($Z40&lt;TODAY(),OR($AF40="ECHUE NON REGLEE",$AF40="PAIEMENT PARTIEL"))</formula>
    </cfRule>
    <cfRule type="expression" dxfId="18" priority="531">
      <formula>LEFT($AF40,5)="AVOIR"</formula>
    </cfRule>
  </conditionalFormatting>
  <conditionalFormatting sqref="C27:D47">
    <cfRule type="expression" dxfId="17" priority="438">
      <formula>$AG45="FACTURE ANNULEE"</formula>
    </cfRule>
    <cfRule type="expression" dxfId="16" priority="439">
      <formula>AND($AA45&lt;TODAY(),OR($AG45="ECHUE NON REGLEE",$AG45="PAIEMENT PARTIEL"))</formula>
    </cfRule>
    <cfRule type="expression" dxfId="15" priority="440">
      <formula>LEFT($AG45,5)="AVOIR"</formula>
    </cfRule>
  </conditionalFormatting>
  <conditionalFormatting sqref="C48:D48">
    <cfRule type="expression" dxfId="14" priority="447">
      <formula>#REF!="FACTURE ANNULEE"</formula>
    </cfRule>
    <cfRule type="expression" dxfId="13" priority="448">
      <formula>AND(#REF!&lt;TODAY(),OR(#REF!="ECHUE NON REGLEE",#REF!="PAIEMENT PARTIEL"))</formula>
    </cfRule>
    <cfRule type="expression" dxfId="12" priority="449">
      <formula>LEFT(#REF!,5)="AVOIR"</formula>
    </cfRule>
  </conditionalFormatting>
  <pageMargins left="0.7" right="0.7" top="0.75" bottom="0.75" header="0.3" footer="0.3"/>
  <pageSetup paperSize="9" orientation="portrait" r:id="rId1"/>
  <legacyDrawing r:id="rId2"/>
  <tableParts count="7">
    <tablePart r:id="rId3"/>
    <tablePart r:id="rId4"/>
    <tablePart r:id="rId5"/>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499984740745262"/>
  </sheetPr>
  <dimension ref="A1:S21"/>
  <sheetViews>
    <sheetView workbookViewId="0">
      <selection activeCell="M12" sqref="M12"/>
    </sheetView>
  </sheetViews>
  <sheetFormatPr baseColWidth="10" defaultRowHeight="10.199999999999999" outlineLevelCol="1" x14ac:dyDescent="0.2"/>
  <cols>
    <col min="1" max="1" width="16.25" customWidth="1"/>
    <col min="2" max="2" width="27.75" bestFit="1" customWidth="1"/>
    <col min="3" max="3" width="14" bestFit="1" customWidth="1"/>
    <col min="4" max="4" width="12.375" hidden="1" customWidth="1" outlineLevel="1"/>
    <col min="5" max="5" width="18.75" hidden="1" customWidth="1" outlineLevel="1"/>
    <col min="6" max="6" width="21.125" hidden="1" customWidth="1" outlineLevel="1"/>
    <col min="7" max="7" width="27.875" hidden="1" customWidth="1" outlineLevel="1"/>
    <col min="8" max="8" width="27" hidden="1" customWidth="1" outlineLevel="1"/>
    <col min="9" max="9" width="39.25" hidden="1" customWidth="1" outlineLevel="1"/>
    <col min="10" max="11" width="19.75" hidden="1" customWidth="1" outlineLevel="1"/>
    <col min="12" max="12" width="21.75" customWidth="1" collapsed="1"/>
    <col min="13" max="13" width="21.75" customWidth="1"/>
    <col min="14" max="14" width="22.5" bestFit="1" customWidth="1"/>
    <col min="15" max="15" width="21.75" customWidth="1"/>
    <col min="17" max="17" width="16.875" bestFit="1" customWidth="1"/>
    <col min="18" max="18" width="14.5" bestFit="1" customWidth="1"/>
    <col min="19" max="19" width="12.875" bestFit="1" customWidth="1"/>
  </cols>
  <sheetData>
    <row r="1" spans="1:19" x14ac:dyDescent="0.2">
      <c r="M1" s="220" t="s">
        <v>95</v>
      </c>
      <c r="N1" s="150">
        <v>45658</v>
      </c>
      <c r="O1" s="150">
        <v>46387</v>
      </c>
    </row>
    <row r="2" spans="1:19" ht="16.5" customHeight="1" x14ac:dyDescent="0.2">
      <c r="A2" s="91" t="str">
        <f>+"LISTE DES CLIENTS ET DES CREANCES "&amp;YEAR($O$1)</f>
        <v>LISTE DES CLIENTS ET DES CREANCES 2026</v>
      </c>
      <c r="B2" s="91"/>
      <c r="C2" s="91"/>
      <c r="D2" s="91"/>
      <c r="E2" s="91"/>
      <c r="F2" s="91"/>
      <c r="G2" s="91"/>
      <c r="H2" s="91"/>
      <c r="I2" s="91"/>
      <c r="J2" s="91"/>
      <c r="K2" s="91"/>
      <c r="L2" s="91"/>
      <c r="M2" s="91"/>
      <c r="N2" s="91"/>
      <c r="O2" s="91"/>
    </row>
    <row r="4" spans="1:19" s="50" customFormat="1" x14ac:dyDescent="0.2">
      <c r="A4" s="50" t="s">
        <v>57</v>
      </c>
      <c r="B4" s="50" t="s">
        <v>19</v>
      </c>
      <c r="C4" s="50" t="s">
        <v>62</v>
      </c>
      <c r="D4" s="50" t="s">
        <v>86</v>
      </c>
      <c r="E4" s="50" t="s">
        <v>97</v>
      </c>
      <c r="F4" s="50" t="s">
        <v>87</v>
      </c>
      <c r="G4" s="50" t="s">
        <v>350</v>
      </c>
      <c r="H4" s="50" t="s">
        <v>88</v>
      </c>
      <c r="I4" s="50" t="s">
        <v>140</v>
      </c>
      <c r="J4" s="50" t="s">
        <v>91</v>
      </c>
      <c r="K4" s="50" t="s">
        <v>221</v>
      </c>
      <c r="L4" s="50" t="s">
        <v>89</v>
      </c>
      <c r="M4" s="50" t="s">
        <v>85</v>
      </c>
      <c r="N4" s="50" t="s">
        <v>77</v>
      </c>
      <c r="O4" s="50" t="s">
        <v>90</v>
      </c>
    </row>
    <row r="5" spans="1:19" s="29" customFormat="1" ht="30.6" x14ac:dyDescent="0.2">
      <c r="A5" s="29" t="s">
        <v>100</v>
      </c>
      <c r="B5" s="29" t="s">
        <v>103</v>
      </c>
      <c r="C5" s="29" t="s">
        <v>60</v>
      </c>
      <c r="F5" s="29" t="s">
        <v>122</v>
      </c>
      <c r="G5" s="79" t="s">
        <v>143</v>
      </c>
      <c r="H5" s="327" t="s">
        <v>125</v>
      </c>
      <c r="I5" s="327"/>
      <c r="J5" s="327"/>
      <c r="K5" s="327"/>
      <c r="L5" s="328">
        <f>+SUMIFS(Tableau6[NET A PAYER],Tableau6[CLIENT],Tableau1[[#This Row],[NOM CLIENT]],Tableau6[DATE DE FACTURATION],"&lt;"&amp;'CLIENTS-CREANCES'!$N$1)-SUMIFS(Tableau6[MONTANT PAYE],Tableau6[CLIENT],Tableau1[[#This Row],[NOM CLIENT]],Tableau6[DATE DE FACTURATION],"&lt;"&amp;'CLIENTS-CREANCES'!$N$1)</f>
        <v>0</v>
      </c>
      <c r="M5" s="328">
        <f>SUMIFS(Tableau6[NET A PAYER],Tableau6[CLIENT],Tableau1[[#This Row],[NOM CLIENT]],Tableau6[DATE DE FACTURATION],"&gt;="&amp;'CLIENTS-CREANCES'!$N$1,Tableau6[DATE DE FACTURATION],"&lt;="&amp;'CLIENTS-CREANCES'!$O$1)</f>
        <v>4519400</v>
      </c>
      <c r="N5" s="328">
        <f>SUMIFS(Tableau3[MONTANT TTC],Tableau3[CLIENTS],Tableau1[[#This Row],[NOM CLIENT]],Tableau3[[DATE DE PAIEMENT ]],"&gt;="&amp;'CLIENTS-CREANCES'!$N$1,Tableau3[[DATE DE PAIEMENT ]],"&lt;="&amp;'CLIENTS-CREANCES'!$O$1)</f>
        <v>4519400</v>
      </c>
      <c r="O5" s="328">
        <f>+SUMIFS(Tableau6[NET A PAYER],Tableau6[CLIENT],Tableau1[[#This Row],[NOM CLIENT]],Tableau6[DATE DE DEPOT],"&lt;="&amp;'CLIENTS-CREANCES'!$O$1)-SUMIFS(Tableau3[MONTANT TTC],Tableau3[CLIENTS],Tableau1[[#This Row],[NOM CLIENT]],Tableau3[[DATE DE PAIEMENT ]],"&lt;="&amp;'CLIENTS-CREANCES'!$O$1)</f>
        <v>0</v>
      </c>
      <c r="Q5" s="56" t="s">
        <v>93</v>
      </c>
    </row>
    <row r="6" spans="1:19" s="29" customFormat="1" ht="30.6" x14ac:dyDescent="0.2">
      <c r="A6" s="29" t="s">
        <v>100</v>
      </c>
      <c r="B6" s="29" t="s">
        <v>107</v>
      </c>
      <c r="C6" s="29" t="s">
        <v>60</v>
      </c>
      <c r="D6" s="29" t="s">
        <v>126</v>
      </c>
      <c r="F6" s="29" t="s">
        <v>119</v>
      </c>
      <c r="G6" s="79" t="s">
        <v>141</v>
      </c>
      <c r="H6" s="327" t="s">
        <v>127</v>
      </c>
      <c r="I6" s="327" t="s">
        <v>142</v>
      </c>
      <c r="J6" s="327"/>
      <c r="K6" s="327"/>
      <c r="L6" s="261">
        <f>+SUMIFS(Tableau6[NET A PAYER],Tableau6[CLIENT],Tableau1[[#This Row],[NOM CLIENT]],Tableau6[DATE DE FACTURATION],"&lt;"&amp;'CLIENTS-CREANCES'!$N$1)-SUMIFS(Tableau6[MONTANT PAYE],Tableau6[CLIENT],Tableau1[[#This Row],[NOM CLIENT]],Tableau6[DATE DE FACTURATION],"&lt;"&amp;'CLIENTS-CREANCES'!$N$1)</f>
        <v>0</v>
      </c>
      <c r="M6" s="261">
        <f>SUMIFS(Tableau6[NET A PAYER],Tableau6[CLIENT],Tableau1[[#This Row],[NOM CLIENT]],Tableau6[DATE DE FACTURATION],"&gt;="&amp;'CLIENTS-CREANCES'!$N$1,Tableau6[DATE DE FACTURATION],"&lt;="&amp;'CLIENTS-CREANCES'!$O$1)</f>
        <v>3465070</v>
      </c>
      <c r="N6" s="261">
        <f>SUMIFS(Tableau3[MONTANT TTC],Tableau3[CLIENTS],Tableau1[[#This Row],[NOM CLIENT]],Tableau3[[DATE DE PAIEMENT ]],"&gt;="&amp;'CLIENTS-CREANCES'!$N$1,Tableau3[[DATE DE PAIEMENT ]],"&lt;="&amp;'CLIENTS-CREANCES'!$O$1)</f>
        <v>3465070</v>
      </c>
      <c r="O6" s="328">
        <f>+SUMIFS(Tableau6[NET A PAYER],Tableau6[CLIENT],Tableau1[[#This Row],[NOM CLIENT]],Tableau6[DATE DE DEPOT],"&lt;="&amp;'CLIENTS-CREANCES'!$O$1)-SUMIFS(Tableau3[MONTANT TTC],Tableau3[CLIENTS],Tableau1[[#This Row],[NOM CLIENT]],Tableau3[[DATE DE PAIEMENT ]],"&lt;="&amp;'CLIENTS-CREANCES'!$O$1)</f>
        <v>0</v>
      </c>
    </row>
    <row r="7" spans="1:19" s="29" customFormat="1" ht="20.399999999999999" x14ac:dyDescent="0.2">
      <c r="A7" s="29" t="s">
        <v>100</v>
      </c>
      <c r="B7" s="29" t="s">
        <v>102</v>
      </c>
      <c r="C7" s="29" t="s">
        <v>60</v>
      </c>
      <c r="D7" s="29" t="s">
        <v>129</v>
      </c>
      <c r="F7" s="29" t="s">
        <v>326</v>
      </c>
      <c r="G7" s="79" t="s">
        <v>327</v>
      </c>
      <c r="H7" s="327" t="s">
        <v>328</v>
      </c>
      <c r="I7" s="327" t="s">
        <v>142</v>
      </c>
      <c r="J7" s="327"/>
      <c r="K7" s="327"/>
      <c r="L7" s="328">
        <f>+SUMIFS(Tableau6[NET A PAYER],Tableau6[CLIENT],Tableau1[[#This Row],[NOM CLIENT]],Tableau6[DATE DE FACTURATION],"&lt;"&amp;'CLIENTS-CREANCES'!$N$1)-SUMIFS(Tableau6[MONTANT PAYE],Tableau6[CLIENT],Tableau1[[#This Row],[NOM CLIENT]],Tableau6[DATE DE FACTURATION],"&lt;"&amp;'CLIENTS-CREANCES'!$N$1)</f>
        <v>0</v>
      </c>
      <c r="M7" s="328">
        <f>SUMIFS(Tableau6[NET A PAYER],Tableau6[CLIENT],Tableau1[[#This Row],[NOM CLIENT]],Tableau6[DATE DE FACTURATION],"&gt;="&amp;'CLIENTS-CREANCES'!$N$1,Tableau6[DATE DE FACTURATION],"&lt;="&amp;'CLIENTS-CREANCES'!$O$1)</f>
        <v>207498939</v>
      </c>
      <c r="N7" s="328">
        <f>SUMIFS(Tableau3[MONTANT TTC],Tableau3[CLIENTS],Tableau1[[#This Row],[NOM CLIENT]],Tableau3[[DATE DE PAIEMENT ]],"&gt;="&amp;'CLIENTS-CREANCES'!$N$1,Tableau3[[DATE DE PAIEMENT ]],"&lt;="&amp;'CLIENTS-CREANCES'!$O$1)</f>
        <v>200572342</v>
      </c>
      <c r="O7" s="328">
        <f>+SUMIFS(Tableau6[NET A PAYER],Tableau6[CLIENT],Tableau1[[#This Row],[NOM CLIENT]],Tableau6[DATE DE DEPOT],"&lt;="&amp;'CLIENTS-CREANCES'!$O$1)-SUMIFS(Tableau3[MONTANT TTC],Tableau3[CLIENTS],Tableau1[[#This Row],[NOM CLIENT]],Tableau3[[DATE DE PAIEMENT ]],"&lt;="&amp;'CLIENTS-CREANCES'!$O$1)</f>
        <v>6926597</v>
      </c>
    </row>
    <row r="8" spans="1:19" s="29" customFormat="1" ht="20.399999999999999" x14ac:dyDescent="0.2">
      <c r="A8" s="29" t="s">
        <v>100</v>
      </c>
      <c r="B8" s="29" t="s">
        <v>106</v>
      </c>
      <c r="C8" s="29" t="s">
        <v>60</v>
      </c>
      <c r="D8" s="29" t="s">
        <v>145</v>
      </c>
      <c r="F8" s="29" t="s">
        <v>146</v>
      </c>
      <c r="G8" s="79" t="s">
        <v>147</v>
      </c>
      <c r="H8" s="327" t="s">
        <v>148</v>
      </c>
      <c r="I8" s="331" t="s">
        <v>149</v>
      </c>
      <c r="J8" s="327"/>
      <c r="K8" s="327"/>
      <c r="L8" s="261">
        <f>+SUMIFS(Tableau6[NET A PAYER],Tableau6[CLIENT],Tableau1[[#This Row],[NOM CLIENT]],Tableau6[DATE DE FACTURATION],"&lt;"&amp;'CLIENTS-CREANCES'!$N$1)-SUMIFS(Tableau6[MONTANT PAYE],Tableau6[CLIENT],Tableau1[[#This Row],[NOM CLIENT]],Tableau6[DATE DE FACTURATION],"&lt;"&amp;'CLIENTS-CREANCES'!$N$1)</f>
        <v>0</v>
      </c>
      <c r="M8" s="261">
        <f>SUMIFS(Tableau6[NET A PAYER],Tableau6[CLIENT],Tableau1[[#This Row],[NOM CLIENT]],Tableau6[DATE DE FACTURATION],"&gt;="&amp;'CLIENTS-CREANCES'!$N$1,Tableau6[DATE DE FACTURATION],"&lt;="&amp;'CLIENTS-CREANCES'!$O$1)</f>
        <v>6926600</v>
      </c>
      <c r="N8" s="261">
        <f>SUMIFS(Tableau3[MONTANT TTC],Tableau3[CLIENTS],Tableau1[[#This Row],[NOM CLIENT]],Tableau3[[DATE DE PAIEMENT ]],"&gt;="&amp;'CLIENTS-CREANCES'!$N$1,Tableau3[[DATE DE PAIEMENT ]],"&lt;="&amp;'CLIENTS-CREANCES'!$O$1)</f>
        <v>6926600</v>
      </c>
      <c r="O8" s="328">
        <f>+SUMIFS(Tableau6[NET A PAYER],Tableau6[CLIENT],Tableau1[[#This Row],[NOM CLIENT]],Tableau6[DATE DE DEPOT],"&lt;="&amp;'CLIENTS-CREANCES'!$O$1)-SUMIFS(Tableau3[MONTANT TTC],Tableau3[CLIENTS],Tableau1[[#This Row],[NOM CLIENT]],Tableau3[[DATE DE PAIEMENT ]],"&lt;="&amp;'CLIENTS-CREANCES'!$O$1)</f>
        <v>0</v>
      </c>
    </row>
    <row r="9" spans="1:19" s="29" customFormat="1" x14ac:dyDescent="0.2">
      <c r="A9" s="29" t="s">
        <v>100</v>
      </c>
      <c r="B9" s="29" t="s">
        <v>105</v>
      </c>
      <c r="C9" s="29" t="s">
        <v>61</v>
      </c>
      <c r="H9" s="327"/>
      <c r="I9" s="327"/>
      <c r="J9" s="327"/>
      <c r="K9" s="327"/>
      <c r="L9" s="328">
        <f>+SUMIFS(Tableau6[NET A PAYER],Tableau6[CLIENT],Tableau1[[#This Row],[NOM CLIENT]],Tableau6[DATE DE FACTURATION],"&lt;"&amp;'CLIENTS-CREANCES'!$N$1)-SUMIFS(Tableau6[MONTANT PAYE],Tableau6[CLIENT],Tableau1[[#This Row],[NOM CLIENT]],Tableau6[DATE DE FACTURATION],"&lt;"&amp;'CLIENTS-CREANCES'!$N$1)</f>
        <v>0</v>
      </c>
      <c r="M9" s="328">
        <f>SUMIFS(Tableau6[NET A PAYER],Tableau6[CLIENT],Tableau1[[#This Row],[NOM CLIENT]],Tableau6[DATE DE FACTURATION],"&gt;="&amp;'CLIENTS-CREANCES'!$N$1,Tableau6[DATE DE FACTURATION],"&lt;="&amp;'CLIENTS-CREANCES'!$O$1)</f>
        <v>1711838</v>
      </c>
      <c r="N9" s="328">
        <f>SUMIFS(Tableau3[MONTANT TTC],Tableau3[CLIENTS],Tableau1[[#This Row],[NOM CLIENT]],Tableau3[[DATE DE PAIEMENT ]],"&gt;="&amp;'CLIENTS-CREANCES'!$N$1,Tableau3[[DATE DE PAIEMENT ]],"&lt;="&amp;'CLIENTS-CREANCES'!$O$1)</f>
        <v>1566766.8000000003</v>
      </c>
      <c r="O9" s="328">
        <f>+SUMIFS(Tableau6[NET A PAYER],Tableau6[CLIENT],Tableau1[[#This Row],[NOM CLIENT]],Tableau6[DATE DE DEPOT],"&lt;="&amp;'CLIENTS-CREANCES'!$O$1)-SUMIFS(Tableau3[MONTANT TTC],Tableau3[CLIENTS],Tableau1[[#This Row],[NOM CLIENT]],Tableau3[[DATE DE PAIEMENT ]],"&lt;="&amp;'CLIENTS-CREANCES'!$O$1)</f>
        <v>145071.19999999972</v>
      </c>
    </row>
    <row r="10" spans="1:19" s="29" customFormat="1" ht="20.399999999999999" x14ac:dyDescent="0.2">
      <c r="A10" s="29" t="s">
        <v>100</v>
      </c>
      <c r="B10" s="29" t="s">
        <v>138</v>
      </c>
      <c r="C10" s="29" t="s">
        <v>60</v>
      </c>
      <c r="D10" s="29" t="s">
        <v>118</v>
      </c>
      <c r="E10" s="29" t="s">
        <v>120</v>
      </c>
      <c r="F10" s="29" t="s">
        <v>119</v>
      </c>
      <c r="G10" s="79" t="s">
        <v>139</v>
      </c>
      <c r="H10" s="327" t="s">
        <v>121</v>
      </c>
      <c r="I10" s="327" t="s">
        <v>142</v>
      </c>
      <c r="J10" s="327"/>
      <c r="K10" s="327"/>
      <c r="L10" s="261">
        <f>+SUMIFS(Tableau6[NET A PAYER],Tableau6[CLIENT],Tableau1[[#This Row],[NOM CLIENT]],Tableau6[DATE DE FACTURATION],"&lt;"&amp;'CLIENTS-CREANCES'!$N$1)-SUMIFS(Tableau6[MONTANT PAYE],Tableau6[CLIENT],Tableau1[[#This Row],[NOM CLIENT]],Tableau6[DATE DE FACTURATION],"&lt;"&amp;'CLIENTS-CREANCES'!$N$1)</f>
        <v>0</v>
      </c>
      <c r="M10" s="261">
        <f>SUMIFS(Tableau6[NET A PAYER],Tableau6[CLIENT],Tableau1[[#This Row],[NOM CLIENT]],Tableau6[DATE DE FACTURATION],"&gt;="&amp;'CLIENTS-CREANCES'!$N$1,Tableau6[DATE DE FACTURATION],"&lt;="&amp;'CLIENTS-CREANCES'!$O$1)</f>
        <v>2341765664</v>
      </c>
      <c r="N10" s="261">
        <f>SUMIFS(Tableau3[MONTANT TTC],Tableau3[CLIENTS],Tableau1[[#This Row],[NOM CLIENT]],Tableau3[[DATE DE PAIEMENT ]],"&gt;="&amp;'CLIENTS-CREANCES'!$N$1,Tableau3[[DATE DE PAIEMENT ]],"&lt;="&amp;'CLIENTS-CREANCES'!$O$1)</f>
        <v>2470682140</v>
      </c>
      <c r="O10" s="328">
        <f>+SUMIFS(Tableau6[NET A PAYER],Tableau6[CLIENT],Tableau1[[#This Row],[NOM CLIENT]],Tableau6[DATE DE DEPOT],"&lt;="&amp;'CLIENTS-CREANCES'!$O$1)-SUMIFS(Tableau3[MONTANT TTC],Tableau3[CLIENTS],Tableau1[[#This Row],[NOM CLIENT]],Tableau3[[DATE DE PAIEMENT ]],"&lt;="&amp;'CLIENTS-CREANCES'!$O$1)</f>
        <v>-128916476</v>
      </c>
      <c r="Q10" s="329"/>
      <c r="R10" s="329"/>
      <c r="S10" s="330"/>
    </row>
    <row r="11" spans="1:19" s="29" customFormat="1" ht="20.399999999999999" x14ac:dyDescent="0.25">
      <c r="A11" s="29" t="s">
        <v>100</v>
      </c>
      <c r="B11" s="29" t="s">
        <v>108</v>
      </c>
      <c r="C11" s="29" t="s">
        <v>60</v>
      </c>
      <c r="D11" s="29" t="s">
        <v>128</v>
      </c>
      <c r="G11" s="79" t="s">
        <v>150</v>
      </c>
      <c r="H11" s="327"/>
      <c r="I11" s="303" t="s">
        <v>151</v>
      </c>
      <c r="J11" s="327"/>
      <c r="K11" s="327"/>
      <c r="L11" s="261">
        <f>+SUMIFS(Tableau6[NET A PAYER],Tableau6[CLIENT],Tableau1[[#This Row],[NOM CLIENT]],Tableau6[DATE DE FACTURATION],"&lt;"&amp;'CLIENTS-CREANCES'!$N$1)-SUMIFS(Tableau6[MONTANT PAYE],Tableau6[CLIENT],Tableau1[[#This Row],[NOM CLIENT]],Tableau6[DATE DE FACTURATION],"&lt;"&amp;'CLIENTS-CREANCES'!$N$1)</f>
        <v>0</v>
      </c>
      <c r="M11" s="261">
        <f>SUMIFS(Tableau6[NET A PAYER],Tableau6[CLIENT],Tableau1[[#This Row],[NOM CLIENT]],Tableau6[DATE DE FACTURATION],"&gt;="&amp;'CLIENTS-CREANCES'!$N$1,Tableau6[DATE DE FACTURATION],"&lt;="&amp;'CLIENTS-CREANCES'!$O$1)</f>
        <v>2336400</v>
      </c>
      <c r="N11" s="261">
        <f>SUMIFS(Tableau3[MONTANT TTC],Tableau3[CLIENTS],Tableau1[[#This Row],[NOM CLIENT]],Tableau3[[DATE DE PAIEMENT ]],"&gt;="&amp;'CLIENTS-CREANCES'!$N$1,Tableau3[[DATE DE PAIEMENT ]],"&lt;="&amp;'CLIENTS-CREANCES'!$O$1)</f>
        <v>2336400</v>
      </c>
      <c r="O11" s="328">
        <f>+SUMIFS(Tableau6[NET A PAYER],Tableau6[CLIENT],Tableau1[[#This Row],[NOM CLIENT]],Tableau6[DATE DE DEPOT],"&lt;="&amp;'CLIENTS-CREANCES'!$O$1)-SUMIFS(Tableau3[MONTANT TTC],Tableau3[CLIENTS],Tableau1[[#This Row],[NOM CLIENT]],Tableau3[[DATE DE PAIEMENT ]],"&lt;="&amp;'CLIENTS-CREANCES'!$O$1)</f>
        <v>0</v>
      </c>
    </row>
    <row r="12" spans="1:19" s="29" customFormat="1" ht="20.399999999999999" x14ac:dyDescent="0.2">
      <c r="A12" s="29" t="s">
        <v>100</v>
      </c>
      <c r="B12" s="29" t="s">
        <v>104</v>
      </c>
      <c r="C12" s="29" t="s">
        <v>60</v>
      </c>
      <c r="D12" s="29" t="s">
        <v>123</v>
      </c>
      <c r="E12" s="29" t="s">
        <v>120</v>
      </c>
      <c r="F12" s="29" t="s">
        <v>124</v>
      </c>
      <c r="G12" s="79" t="s">
        <v>144</v>
      </c>
      <c r="H12" s="327" t="s">
        <v>349</v>
      </c>
      <c r="I12" s="327"/>
      <c r="J12" s="327"/>
      <c r="K12" s="327"/>
      <c r="L12" s="328">
        <f>+SUMIFS(Tableau6[NET A PAYER],Tableau6[CLIENT],Tableau1[[#This Row],[NOM CLIENT]],Tableau6[DATE DE FACTURATION],"&lt;"&amp;'CLIENTS-CREANCES'!$N$1)-SUMIFS(Tableau6[MONTANT PAYE],Tableau6[CLIENT],Tableau1[[#This Row],[NOM CLIENT]],Tableau6[DATE DE FACTURATION],"&lt;"&amp;'CLIENTS-CREANCES'!$N$1)</f>
        <v>0</v>
      </c>
      <c r="M12" s="328">
        <f>SUMIFS(Tableau6[NET A PAYER],Tableau6[CLIENT],Tableau1[[#This Row],[NOM CLIENT]],Tableau6[DATE DE FACTURATION],"&gt;="&amp;'CLIENTS-CREANCES'!$N$1,Tableau6[DATE DE FACTURATION],"&lt;="&amp;'CLIENTS-CREANCES'!$O$1)</f>
        <v>2112809</v>
      </c>
      <c r="N12" s="328">
        <f>SUMIFS(Tableau3[MONTANT TTC],Tableau3[CLIENTS],Tableau1[[#This Row],[NOM CLIENT]],Tableau3[[DATE DE PAIEMENT ]],"&gt;="&amp;'CLIENTS-CREANCES'!$N$1,Tableau3[[DATE DE PAIEMENT ]],"&lt;="&amp;'CLIENTS-CREANCES'!$O$1)</f>
        <v>2283074.5999999996</v>
      </c>
      <c r="O12" s="328">
        <f>+SUMIFS(Tableau6[NET A PAYER],Tableau6[CLIENT],Tableau1[[#This Row],[NOM CLIENT]],Tableau6[DATE DE DEPOT],"&lt;="&amp;'CLIENTS-CREANCES'!$O$1)-SUMIFS(Tableau3[MONTANT TTC],Tableau3[CLIENTS],Tableau1[[#This Row],[NOM CLIENT]],Tableau3[[DATE DE PAIEMENT ]],"&lt;="&amp;'CLIENTS-CREANCES'!$O$1)</f>
        <v>-170265.59999999963</v>
      </c>
    </row>
    <row r="13" spans="1:19" s="29" customFormat="1" x14ac:dyDescent="0.2">
      <c r="A13" s="29" t="s">
        <v>100</v>
      </c>
      <c r="B13" s="29" t="s">
        <v>117</v>
      </c>
      <c r="C13" s="29" t="s">
        <v>60</v>
      </c>
      <c r="H13" s="327"/>
      <c r="I13" s="327"/>
      <c r="J13" s="327"/>
      <c r="K13" s="327"/>
      <c r="L13" s="261">
        <f>+SUMIFS(Tableau6[NET A PAYER],Tableau6[CLIENT],Tableau1[[#This Row],[NOM CLIENT]],Tableau6[DATE DE FACTURATION],"&lt;"&amp;'CLIENTS-CREANCES'!$N$1)-SUMIFS(Tableau6[MONTANT PAYE],Tableau6[CLIENT],Tableau1[[#This Row],[NOM CLIENT]],Tableau6[DATE DE FACTURATION],"&lt;"&amp;'CLIENTS-CREANCES'!$N$1)</f>
        <v>0</v>
      </c>
      <c r="M13" s="261">
        <f>SUMIFS(Tableau6[NET A PAYER],Tableau6[CLIENT],Tableau1[[#This Row],[NOM CLIENT]],Tableau6[DATE DE FACTURATION],"&gt;="&amp;'CLIENTS-CREANCES'!$N$1,Tableau6[DATE DE FACTURATION],"&lt;="&amp;'CLIENTS-CREANCES'!$O$1)</f>
        <v>0</v>
      </c>
      <c r="N13" s="261">
        <f>SUMIFS(Tableau3[MONTANT TTC],Tableau3[CLIENTS],Tableau1[[#This Row],[NOM CLIENT]],Tableau3[[DATE DE PAIEMENT ]],"&gt;="&amp;'CLIENTS-CREANCES'!$N$1,Tableau3[[DATE DE PAIEMENT ]],"&lt;="&amp;'CLIENTS-CREANCES'!$O$1)</f>
        <v>0</v>
      </c>
      <c r="O13" s="328">
        <f>+SUMIFS(Tableau6[NET A PAYER],Tableau6[CLIENT],Tableau1[[#This Row],[NOM CLIENT]],Tableau6[DATE DE DEPOT],"&lt;="&amp;'CLIENTS-CREANCES'!$O$1)-SUMIFS(Tableau3[MONTANT TTC],Tableau3[CLIENTS],Tableau1[[#This Row],[NOM CLIENT]],Tableau3[[DATE DE PAIEMENT ]],"&lt;="&amp;'CLIENTS-CREANCES'!$O$1)</f>
        <v>0</v>
      </c>
    </row>
    <row r="14" spans="1:19" s="29" customFormat="1" x14ac:dyDescent="0.2">
      <c r="A14" s="29" t="s">
        <v>100</v>
      </c>
      <c r="B14" s="29" t="s">
        <v>345</v>
      </c>
      <c r="C14" s="29" t="s">
        <v>60</v>
      </c>
      <c r="D14" s="29" t="s">
        <v>346</v>
      </c>
      <c r="F14" s="29" t="s">
        <v>347</v>
      </c>
      <c r="H14" s="327" t="s">
        <v>348</v>
      </c>
      <c r="I14" s="327"/>
      <c r="J14" s="327"/>
      <c r="K14" s="327"/>
      <c r="L14" s="261">
        <f>+SUMIFS(Tableau6[NET A PAYER],Tableau6[CLIENT],Tableau1[[#This Row],[NOM CLIENT]],Tableau6[DATE DE FACTURATION],"&lt;"&amp;'CLIENTS-CREANCES'!$N$1)-SUMIFS(Tableau6[MONTANT PAYE],Tableau6[CLIENT],Tableau1[[#This Row],[NOM CLIENT]],Tableau6[DATE DE FACTURATION],"&lt;"&amp;'CLIENTS-CREANCES'!$N$1)</f>
        <v>0</v>
      </c>
      <c r="M14" s="261">
        <f>SUMIFS(Tableau6[NET A PAYER],Tableau6[CLIENT],Tableau1[[#This Row],[NOM CLIENT]],Tableau6[DATE DE FACTURATION],"&gt;="&amp;'CLIENTS-CREANCES'!$N$1,Tableau6[DATE DE FACTURATION],"&lt;="&amp;'CLIENTS-CREANCES'!$O$1)</f>
        <v>17369600</v>
      </c>
      <c r="N14" s="261">
        <f>SUMIFS(Tableau3[MONTANT TTC],Tableau3[CLIENTS],Tableau1[[#This Row],[NOM CLIENT]],Tableau3[[DATE DE PAIEMENT ]],"&gt;="&amp;'CLIENTS-CREANCES'!$N$1,Tableau3[[DATE DE PAIEMENT ]],"&lt;="&amp;'CLIENTS-CREANCES'!$O$1)</f>
        <v>0</v>
      </c>
      <c r="O14" s="328">
        <f>+SUMIFS(Tableau6[NET A PAYER],Tableau6[CLIENT],Tableau1[[#This Row],[NOM CLIENT]],Tableau6[DATE DE DEPOT],"&lt;="&amp;'CLIENTS-CREANCES'!$O$1)-SUMIFS(Tableau3[MONTANT TTC],Tableau3[CLIENTS],Tableau1[[#This Row],[NOM CLIENT]],Tableau3[[DATE DE PAIEMENT ]],"&lt;="&amp;'CLIENTS-CREANCES'!$O$1)</f>
        <v>17369600</v>
      </c>
    </row>
    <row r="15" spans="1:19" s="29" customFormat="1" x14ac:dyDescent="0.2">
      <c r="A15" s="29" t="s">
        <v>100</v>
      </c>
      <c r="B15" s="29" t="s">
        <v>435</v>
      </c>
      <c r="C15" s="29" t="s">
        <v>61</v>
      </c>
      <c r="H15" s="327"/>
      <c r="I15" s="327"/>
      <c r="J15" s="327"/>
      <c r="K15" s="327"/>
      <c r="L15" s="261">
        <f>+SUMIFS(Tableau6[NET A PAYER],Tableau6[CLIENT],Tableau1[[#This Row],[NOM CLIENT]],Tableau6[DATE DE FACTURATION],"&lt;"&amp;'CLIENTS-CREANCES'!$N$1)-SUMIFS(Tableau6[MONTANT PAYE],Tableau6[CLIENT],Tableau1[[#This Row],[NOM CLIENT]],Tableau6[DATE DE FACTURATION],"&lt;"&amp;'CLIENTS-CREANCES'!$N$1)</f>
        <v>0</v>
      </c>
      <c r="M15" s="261">
        <f>SUMIFS(Tableau6[NET A PAYER],Tableau6[CLIENT],Tableau1[[#This Row],[NOM CLIENT]],Tableau6[DATE DE FACTURATION],"&gt;="&amp;'CLIENTS-CREANCES'!$N$1,Tableau6[DATE DE FACTURATION],"&lt;="&amp;'CLIENTS-CREANCES'!$O$1)</f>
        <v>1645000</v>
      </c>
      <c r="N15" s="261">
        <f>SUMIFS(Tableau3[MONTANT TTC],Tableau3[CLIENTS],Tableau1[[#This Row],[NOM CLIENT]],Tableau3[[DATE DE PAIEMENT ]],"&gt;="&amp;'CLIENTS-CREANCES'!$N$1,Tableau3[[DATE DE PAIEMENT ]],"&lt;="&amp;'CLIENTS-CREANCES'!$O$1)</f>
        <v>1645000</v>
      </c>
      <c r="O15" s="328">
        <f>+SUMIFS(Tableau6[NET A PAYER],Tableau6[CLIENT],Tableau1[[#This Row],[NOM CLIENT]],Tableau6[DATE DE DEPOT],"&lt;="&amp;'CLIENTS-CREANCES'!$O$1)-SUMIFS(Tableau3[MONTANT TTC],Tableau3[CLIENTS],Tableau1[[#This Row],[NOM CLIENT]],Tableau3[[DATE DE PAIEMENT ]],"&lt;="&amp;'CLIENTS-CREANCES'!$O$1)</f>
        <v>0</v>
      </c>
    </row>
    <row r="16" spans="1:19" s="29" customFormat="1" x14ac:dyDescent="0.2">
      <c r="A16" s="29" t="s">
        <v>100</v>
      </c>
      <c r="B16" s="29" t="s">
        <v>732</v>
      </c>
      <c r="C16" s="29" t="s">
        <v>60</v>
      </c>
      <c r="F16" s="29" t="s">
        <v>733</v>
      </c>
      <c r="G16" s="29" t="s">
        <v>734</v>
      </c>
      <c r="H16" s="327" t="s">
        <v>735</v>
      </c>
      <c r="I16" s="327" t="s">
        <v>736</v>
      </c>
      <c r="J16" s="327"/>
      <c r="K16" s="327"/>
      <c r="L16" s="261">
        <f>+SUMIFS(Tableau6[NET A PAYER],Tableau6[CLIENT],Tableau1[[#This Row],[NOM CLIENT]],Tableau6[DATE DE FACTURATION],"&lt;"&amp;'CLIENTS-CREANCES'!$N$1)-SUMIFS(Tableau6[MONTANT PAYE],Tableau6[CLIENT],Tableau1[[#This Row],[NOM CLIENT]],Tableau6[DATE DE FACTURATION],"&lt;"&amp;'CLIENTS-CREANCES'!$N$1)</f>
        <v>0</v>
      </c>
      <c r="M16" s="261">
        <f>SUMIFS(Tableau6[NET A PAYER],Tableau6[CLIENT],Tableau1[[#This Row],[NOM CLIENT]],Tableau6[DATE DE FACTURATION],"&gt;="&amp;'CLIENTS-CREANCES'!$N$1,Tableau6[DATE DE FACTURATION],"&lt;="&amp;'CLIENTS-CREANCES'!$O$1)</f>
        <v>0</v>
      </c>
      <c r="N16" s="261">
        <f>SUMIFS(Tableau3[MONTANT TTC],Tableau3[CLIENTS],Tableau1[[#This Row],[NOM CLIENT]],Tableau3[[DATE DE PAIEMENT ]],"&gt;="&amp;'CLIENTS-CREANCES'!$N$1,Tableau3[[DATE DE PAIEMENT ]],"&lt;="&amp;'CLIENTS-CREANCES'!$O$1)</f>
        <v>3540000</v>
      </c>
      <c r="O16" s="328">
        <f>+SUMIFS(Tableau6[NET A PAYER],Tableau6[CLIENT],Tableau1[[#This Row],[NOM CLIENT]],Tableau6[DATE DE DEPOT],"&lt;="&amp;'CLIENTS-CREANCES'!$O$1)-SUMIFS(Tableau3[MONTANT TTC],Tableau3[CLIENTS],Tableau1[[#This Row],[NOM CLIENT]],Tableau3[[DATE DE PAIEMENT ]],"&lt;="&amp;'CLIENTS-CREANCES'!$O$1)</f>
        <v>-3540000</v>
      </c>
    </row>
    <row r="17" spans="1:15" s="29" customFormat="1" x14ac:dyDescent="0.2">
      <c r="A17" s="29" t="s">
        <v>100</v>
      </c>
      <c r="B17" s="29" t="s">
        <v>743</v>
      </c>
      <c r="C17" s="29" t="s">
        <v>60</v>
      </c>
      <c r="H17" s="327"/>
      <c r="I17" s="327"/>
      <c r="J17" s="327"/>
      <c r="K17" s="327"/>
      <c r="L17" s="261">
        <f>+SUMIFS(Tableau6[NET A PAYER],Tableau6[CLIENT],Tableau1[[#This Row],[NOM CLIENT]],Tableau6[DATE DE FACTURATION],"&lt;"&amp;'CLIENTS-CREANCES'!$N$1)-SUMIFS(Tableau6[MONTANT PAYE],Tableau6[CLIENT],Tableau1[[#This Row],[NOM CLIENT]],Tableau6[DATE DE FACTURATION],"&lt;"&amp;'CLIENTS-CREANCES'!$N$1)</f>
        <v>0</v>
      </c>
      <c r="M17" s="261">
        <f>SUMIFS(Tableau6[NET A PAYER],Tableau6[CLIENT],Tableau1[[#This Row],[NOM CLIENT]],Tableau6[DATE DE FACTURATION],"&gt;="&amp;'CLIENTS-CREANCES'!$N$1,Tableau6[DATE DE FACTURATION],"&lt;="&amp;'CLIENTS-CREANCES'!$O$1)</f>
        <v>560000</v>
      </c>
      <c r="N17" s="261">
        <f>SUMIFS(Tableau3[MONTANT TTC],Tableau3[CLIENTS],Tableau1[[#This Row],[NOM CLIENT]],Tableau3[[DATE DE PAIEMENT ]],"&gt;="&amp;'CLIENTS-CREANCES'!$N$1,Tableau3[[DATE DE PAIEMENT ]],"&lt;="&amp;'CLIENTS-CREANCES'!$O$1)</f>
        <v>0</v>
      </c>
      <c r="O17" s="328">
        <f>+SUMIFS(Tableau6[NET A PAYER],Tableau6[CLIENT],Tableau1[[#This Row],[NOM CLIENT]],Tableau6[DATE DE DEPOT],"&lt;="&amp;'CLIENTS-CREANCES'!$O$1)-SUMIFS(Tableau3[MONTANT TTC],Tableau3[CLIENTS],Tableau1[[#This Row],[NOM CLIENT]],Tableau3[[DATE DE PAIEMENT ]],"&lt;="&amp;'CLIENTS-CREANCES'!$O$1)</f>
        <v>0</v>
      </c>
    </row>
    <row r="18" spans="1:15" s="29" customFormat="1" x14ac:dyDescent="0.2">
      <c r="H18" s="327"/>
      <c r="I18" s="327"/>
      <c r="J18" s="327"/>
      <c r="K18" s="327"/>
      <c r="L18" s="261">
        <f>+SUMIFS(Tableau6[NET A PAYER],Tableau6[CLIENT],Tableau1[[#This Row],[NOM CLIENT]],Tableau6[DATE DE FACTURATION],"&lt;"&amp;'CLIENTS-CREANCES'!$N$1)-SUMIFS(Tableau6[MONTANT PAYE],Tableau6[CLIENT],Tableau1[[#This Row],[NOM CLIENT]],Tableau6[DATE DE FACTURATION],"&lt;"&amp;'CLIENTS-CREANCES'!$N$1)</f>
        <v>0</v>
      </c>
      <c r="M18" s="261">
        <f>SUMIFS(Tableau6[NET A PAYER],Tableau6[CLIENT],Tableau1[[#This Row],[NOM CLIENT]],Tableau6[DATE DE FACTURATION],"&gt;="&amp;'CLIENTS-CREANCES'!$N$1,Tableau6[DATE DE FACTURATION],"&lt;="&amp;'CLIENTS-CREANCES'!$O$1)</f>
        <v>0</v>
      </c>
      <c r="N18" s="261">
        <f>SUMIFS(Tableau3[MONTANT TTC],Tableau3[CLIENTS],Tableau1[[#This Row],[NOM CLIENT]],Tableau3[[DATE DE PAIEMENT ]],"&gt;="&amp;'CLIENTS-CREANCES'!$N$1,Tableau3[[DATE DE PAIEMENT ]],"&lt;="&amp;'CLIENTS-CREANCES'!$O$1)</f>
        <v>0</v>
      </c>
      <c r="O18" s="328">
        <f>+SUMIFS(Tableau6[NET A PAYER],Tableau6[CLIENT],Tableau1[[#This Row],[NOM CLIENT]],Tableau6[DATE DE DEPOT],"&lt;="&amp;'CLIENTS-CREANCES'!$O$1)-SUMIFS(Tableau3[MONTANT TTC],Tableau3[CLIENTS],Tableau1[[#This Row],[NOM CLIENT]],Tableau3[[DATE DE PAIEMENT ]],"&lt;="&amp;'CLIENTS-CREANCES'!$O$1)</f>
        <v>0</v>
      </c>
    </row>
    <row r="19" spans="1:15" s="29" customFormat="1" x14ac:dyDescent="0.2">
      <c r="H19" s="327"/>
      <c r="I19" s="327"/>
      <c r="J19" s="327"/>
      <c r="K19" s="327"/>
      <c r="L19" s="261">
        <f>+SUMIFS(Tableau6[NET A PAYER],Tableau6[CLIENT],Tableau1[[#This Row],[NOM CLIENT]],Tableau6[DATE DE FACTURATION],"&lt;"&amp;'CLIENTS-CREANCES'!$N$1)-SUMIFS(Tableau6[MONTANT PAYE],Tableau6[CLIENT],Tableau1[[#This Row],[NOM CLIENT]],Tableau6[DATE DE FACTURATION],"&lt;"&amp;'CLIENTS-CREANCES'!$N$1)</f>
        <v>0</v>
      </c>
      <c r="M19" s="261">
        <f>SUMIFS(Tableau6[NET A PAYER],Tableau6[CLIENT],Tableau1[[#This Row],[NOM CLIENT]],Tableau6[DATE DE FACTURATION],"&gt;="&amp;'CLIENTS-CREANCES'!$N$1,Tableau6[DATE DE FACTURATION],"&lt;="&amp;'CLIENTS-CREANCES'!$O$1)</f>
        <v>0</v>
      </c>
      <c r="N19" s="261">
        <f>SUMIFS(Tableau3[MONTANT TTC],Tableau3[CLIENTS],Tableau1[[#This Row],[NOM CLIENT]],Tableau3[[DATE DE PAIEMENT ]],"&gt;="&amp;'CLIENTS-CREANCES'!$N$1,Tableau3[[DATE DE PAIEMENT ]],"&lt;="&amp;'CLIENTS-CREANCES'!$O$1)</f>
        <v>0</v>
      </c>
      <c r="O19" s="328">
        <f>+SUMIFS(Tableau6[NET A PAYER],Tableau6[CLIENT],Tableau1[[#This Row],[NOM CLIENT]],Tableau6[DATE DE DEPOT],"&lt;="&amp;'CLIENTS-CREANCES'!$O$1)-SUMIFS(Tableau3[MONTANT TTC],Tableau3[CLIENTS],Tableau1[[#This Row],[NOM CLIENT]],Tableau3[[DATE DE PAIEMENT ]],"&lt;="&amp;'CLIENTS-CREANCES'!$O$1)</f>
        <v>0</v>
      </c>
    </row>
    <row r="20" spans="1:15" s="29" customFormat="1" x14ac:dyDescent="0.2">
      <c r="H20" s="327"/>
      <c r="I20" s="327"/>
      <c r="J20" s="327"/>
      <c r="K20" s="327"/>
      <c r="L20" s="261">
        <f>+SUMIFS(Tableau6[NET A PAYER],Tableau6[CLIENT],Tableau1[[#This Row],[NOM CLIENT]],Tableau6[DATE DE FACTURATION],"&lt;"&amp;'CLIENTS-CREANCES'!$N$1)-SUMIFS(Tableau6[MONTANT PAYE],Tableau6[CLIENT],Tableau1[[#This Row],[NOM CLIENT]],Tableau6[DATE DE FACTURATION],"&lt;"&amp;'CLIENTS-CREANCES'!$N$1)</f>
        <v>0</v>
      </c>
      <c r="M20" s="261">
        <f>SUMIFS(Tableau6[NET A PAYER],Tableau6[CLIENT],Tableau1[[#This Row],[NOM CLIENT]],Tableau6[DATE DE FACTURATION],"&gt;="&amp;'CLIENTS-CREANCES'!$N$1,Tableau6[DATE DE FACTURATION],"&lt;="&amp;'CLIENTS-CREANCES'!$O$1)</f>
        <v>0</v>
      </c>
      <c r="N20" s="261">
        <f>SUMIFS(Tableau3[MONTANT TTC],Tableau3[CLIENTS],Tableau1[[#This Row],[NOM CLIENT]],Tableau3[[DATE DE PAIEMENT ]],"&gt;="&amp;'CLIENTS-CREANCES'!$N$1,Tableau3[[DATE DE PAIEMENT ]],"&lt;="&amp;'CLIENTS-CREANCES'!$O$1)</f>
        <v>0</v>
      </c>
      <c r="O20" s="328">
        <f>+SUMIFS(Tableau6[NET A PAYER],Tableau6[CLIENT],Tableau1[[#This Row],[NOM CLIENT]],Tableau6[DATE DE DEPOT],"&lt;="&amp;'CLIENTS-CREANCES'!$O$1)-SUMIFS(Tableau3[MONTANT TTC],Tableau3[CLIENTS],Tableau1[[#This Row],[NOM CLIENT]],Tableau3[[DATE DE PAIEMENT ]],"&lt;="&amp;'CLIENTS-CREANCES'!$O$1)</f>
        <v>0</v>
      </c>
    </row>
    <row r="21" spans="1:15" x14ac:dyDescent="0.2">
      <c r="A21" t="s">
        <v>2</v>
      </c>
      <c r="B21">
        <f>SUBTOTAL(103,Tableau1[NOM CLIENT])</f>
        <v>13</v>
      </c>
      <c r="L21" s="10">
        <f>SUBTOTAL(109,Tableau1[SOLDE N-1])</f>
        <v>0</v>
      </c>
      <c r="M21" s="10">
        <f>SUBTOTAL(109,Tableau1[MONTANT DU])</f>
        <v>2589911320</v>
      </c>
      <c r="N21" s="10">
        <f>SUBTOTAL(109,Tableau1[MONTANT RECOUVRE])</f>
        <v>2697536793.4000001</v>
      </c>
      <c r="O21" s="10">
        <f>SUBTOTAL(109,Tableau1[SOLDE N])</f>
        <v>-108185473.39999999</v>
      </c>
    </row>
  </sheetData>
  <conditionalFormatting sqref="A22:A183">
    <cfRule type="expression" dxfId="11" priority="18">
      <formula>$B23&lt;&gt;""</formula>
    </cfRule>
  </conditionalFormatting>
  <dataValidations count="3">
    <dataValidation type="list" allowBlank="1" showInputMessage="1" showErrorMessage="1" sqref="C5:C13" xr:uid="{00000000-0002-0000-0100-000000000000}">
      <formula1>"ENTREPRISE,PARTICULIER"</formula1>
    </dataValidation>
    <dataValidation type="list" allowBlank="1" showInputMessage="1" showErrorMessage="1" sqref="A5:A20" xr:uid="{00000000-0002-0000-0100-000001000000}">
      <formula1>ENTITE</formula1>
    </dataValidation>
    <dataValidation type="custom" allowBlank="1" showInputMessage="1" showErrorMessage="1" sqref="B22:C1048576 B5:B20" xr:uid="{00000000-0002-0000-0100-000002000000}">
      <formula1>COUNTIF($B$5:$B$484,$B5)=1</formula1>
    </dataValidation>
  </dataValidations>
  <printOptions horizontalCentered="1"/>
  <pageMargins left="0.70866141732283472" right="0.70866141732283472" top="0.74803149606299213" bottom="0.74803149606299213" header="0.31496062992125984" footer="0.31496062992125984"/>
  <pageSetup scale="68" fitToWidth="0" fitToHeight="0" orientation="portrait" r:id="rId1"/>
  <colBreaks count="1" manualBreakCount="1">
    <brk id="15" max="1048575" man="1"/>
  </colBreaks>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FFFF"/>
    <pageSetUpPr fitToPage="1"/>
  </sheetPr>
  <dimension ref="A1:AC368"/>
  <sheetViews>
    <sheetView tabSelected="1" topLeftCell="A23" workbookViewId="0">
      <selection activeCell="Q1" sqref="Q1:Q1048576"/>
    </sheetView>
  </sheetViews>
  <sheetFormatPr baseColWidth="10" defaultRowHeight="10.199999999999999" x14ac:dyDescent="0.2"/>
  <cols>
    <col min="1" max="1" width="9.875" bestFit="1" customWidth="1"/>
    <col min="2" max="2" width="19.75" bestFit="1" customWidth="1"/>
    <col min="3" max="3" width="24.5" bestFit="1" customWidth="1"/>
    <col min="4" max="4" width="17.5" bestFit="1" customWidth="1"/>
    <col min="5" max="5" width="23" bestFit="1" customWidth="1"/>
    <col min="6" max="6" width="67.875" bestFit="1" customWidth="1"/>
    <col min="7" max="8" width="20.625" bestFit="1" customWidth="1"/>
    <col min="9" max="9" width="15.125" bestFit="1" customWidth="1" collapsed="1"/>
    <col min="10" max="10" width="22.625" bestFit="1" customWidth="1"/>
    <col min="11" max="11" width="26" style="4" bestFit="1" customWidth="1"/>
    <col min="12" max="12" width="15.125" style="4" bestFit="1" customWidth="1"/>
    <col min="13" max="13" width="19.25" style="4" bestFit="1" customWidth="1"/>
    <col min="14" max="15" width="16" style="4" bestFit="1" customWidth="1"/>
    <col min="16" max="16" width="20.125" style="4" bestFit="1" customWidth="1"/>
    <col min="17" max="17" width="30.375" bestFit="1" customWidth="1"/>
    <col min="18" max="18" width="18.125" bestFit="1" customWidth="1"/>
    <col min="19" max="19" width="18.125" customWidth="1"/>
    <col min="20" max="20" width="14.875" bestFit="1" customWidth="1"/>
    <col min="21" max="21" width="19.75" bestFit="1" customWidth="1"/>
    <col min="22" max="22" width="18.125" bestFit="1" customWidth="1"/>
    <col min="23" max="23" width="18.125" customWidth="1"/>
    <col min="24" max="24" width="17.5" customWidth="1"/>
    <col min="25" max="25" width="17.875" customWidth="1"/>
    <col min="26" max="26" width="22.25" style="18" customWidth="1"/>
    <col min="27" max="29" width="12.375" customWidth="1"/>
    <col min="30" max="30" width="56.75" bestFit="1" customWidth="1"/>
    <col min="31" max="32" width="12.375" customWidth="1"/>
    <col min="33" max="33" width="13.375" bestFit="1" customWidth="1"/>
  </cols>
  <sheetData>
    <row r="1" spans="1:29" ht="5.25" customHeight="1" thickBot="1" x14ac:dyDescent="0.25">
      <c r="J1" s="4"/>
      <c r="P1"/>
      <c r="Y1" s="18"/>
      <c r="Z1"/>
    </row>
    <row r="2" spans="1:29" ht="16.5" customHeight="1" thickBot="1" x14ac:dyDescent="0.25">
      <c r="A2" s="27"/>
      <c r="B2" s="27" t="s">
        <v>1</v>
      </c>
      <c r="C2" s="27"/>
      <c r="D2" s="27"/>
      <c r="E2" s="27"/>
      <c r="F2" s="27"/>
      <c r="G2" s="27"/>
      <c r="H2" s="27"/>
      <c r="I2" s="27"/>
      <c r="J2" s="27"/>
      <c r="K2" s="27"/>
      <c r="L2" s="27"/>
      <c r="M2" s="27"/>
      <c r="N2" s="27"/>
      <c r="O2" s="28"/>
      <c r="P2" s="27"/>
      <c r="Q2" s="27"/>
      <c r="R2" s="27"/>
      <c r="S2" s="27"/>
      <c r="T2" s="27"/>
      <c r="U2" s="27"/>
      <c r="V2" s="27"/>
      <c r="W2" s="28"/>
      <c r="X2" s="28"/>
      <c r="Y2" s="140"/>
      <c r="Z2" s="28"/>
    </row>
    <row r="3" spans="1:29" x14ac:dyDescent="0.2">
      <c r="C3" s="302" t="s">
        <v>277</v>
      </c>
      <c r="J3" s="4"/>
      <c r="P3"/>
      <c r="Y3" s="18"/>
      <c r="Z3"/>
    </row>
    <row r="4" spans="1:29" s="42" customFormat="1" x14ac:dyDescent="0.2">
      <c r="A4" s="478" t="s">
        <v>57</v>
      </c>
      <c r="B4" s="38" t="s">
        <v>26</v>
      </c>
      <c r="C4" s="477" t="s">
        <v>64</v>
      </c>
      <c r="D4" s="38" t="s">
        <v>42</v>
      </c>
      <c r="E4" s="478" t="s">
        <v>43</v>
      </c>
      <c r="F4" s="479" t="s">
        <v>98</v>
      </c>
      <c r="G4" s="478" t="s">
        <v>153</v>
      </c>
      <c r="H4" s="479" t="s">
        <v>99</v>
      </c>
      <c r="I4" s="479" t="s">
        <v>80</v>
      </c>
      <c r="J4" s="479" t="s">
        <v>81</v>
      </c>
      <c r="K4" s="480" t="s">
        <v>44</v>
      </c>
      <c r="L4" s="41" t="s">
        <v>45</v>
      </c>
      <c r="M4" s="480" t="s">
        <v>46</v>
      </c>
      <c r="N4" s="480" t="s">
        <v>47</v>
      </c>
      <c r="O4" s="41" t="s">
        <v>48</v>
      </c>
      <c r="P4" s="480" t="s">
        <v>49</v>
      </c>
      <c r="Q4" s="478" t="s">
        <v>0</v>
      </c>
      <c r="R4" s="480" t="s">
        <v>50</v>
      </c>
      <c r="S4" s="480" t="s">
        <v>37</v>
      </c>
      <c r="T4" s="480" t="s">
        <v>38</v>
      </c>
      <c r="U4" s="480" t="s">
        <v>848</v>
      </c>
      <c r="V4" s="480" t="s">
        <v>39</v>
      </c>
      <c r="W4" s="480" t="s">
        <v>40</v>
      </c>
      <c r="X4" s="38" t="s">
        <v>41</v>
      </c>
      <c r="Y4" s="480" t="s">
        <v>92</v>
      </c>
      <c r="Z4" s="38" t="s">
        <v>15</v>
      </c>
      <c r="AC4"/>
    </row>
    <row r="5" spans="1:29" ht="10.050000000000001" customHeight="1" x14ac:dyDescent="0.2">
      <c r="A5" t="s">
        <v>100</v>
      </c>
      <c r="B5" s="3">
        <v>45665</v>
      </c>
      <c r="C5" s="7">
        <v>45665</v>
      </c>
      <c r="D5" s="351">
        <v>205</v>
      </c>
      <c r="E5" s="11" t="s">
        <v>138</v>
      </c>
      <c r="F5" s="2" t="s">
        <v>109</v>
      </c>
      <c r="G5" s="11" t="s">
        <v>161</v>
      </c>
      <c r="H5" s="2" t="s">
        <v>116</v>
      </c>
      <c r="I5" s="155"/>
      <c r="J5" s="233">
        <v>20234633</v>
      </c>
      <c r="K5" s="155">
        <f>+Tableau6[[#This Row],[MONTANT HT BIEN]]+Tableau6[[#This Row],[MONTANT HT SERVICE]]</f>
        <v>20234633</v>
      </c>
      <c r="L5" s="153">
        <v>0</v>
      </c>
      <c r="M5" s="153">
        <f>+IFERROR(IF(Tableau6[[#This Row],[CODE TVA]]="TVAF",Tableau6[[#This Row],[MONTANT HT]]*0.18,0),0)</f>
        <v>3642233.94</v>
      </c>
      <c r="N5" s="153">
        <f>Tableau6[[#This Row],[MONTANT HT]]+Tableau6[[#This Row],[TVA]]-Tableau6[[#This Row],[ACOMPTE SUR HT]]</f>
        <v>23876866.940000001</v>
      </c>
      <c r="O5" s="153"/>
      <c r="P5" s="153">
        <f>+ROUND(Tableau6[[#This Row],[MONTANT TTC]]-Tableau6[[#This Row],[ACOMPTE SUR TTC]],0)</f>
        <v>23876867</v>
      </c>
      <c r="Q5" s="11" t="s">
        <v>486</v>
      </c>
      <c r="R5" s="5">
        <f>IFERROR(INDEX(Tableau2[[ID BC UNIQUE]:[MONTANT HT VALIDE]],MATCH(Tableau6[[#This Row],[N° BC]],Tableau2[ID BC UNIQUE],0),6),0)</f>
        <v>20234633</v>
      </c>
      <c r="S5" s="25">
        <f>IFERROR(INDEX(Tableau2[[DATE]:[DELAIS DE PAIEMENT FACTURES EN JOUR]],MATCH(Tableau6[[#This Row],[N° BC]],Tableau2[ID BC UNIQUE],0),5),0)</f>
        <v>30</v>
      </c>
      <c r="T5" s="7">
        <f>IF(ISBLANK(Tableau6[[#This Row],[DATE DE DEPOT]]),"",Tableau6[[#This Row],[DATE DE DEPOT]]+Tableau6[[#This Row],[DELAI]])</f>
        <v>45695</v>
      </c>
      <c r="U5" s="25">
        <f ca="1">+IF(AND(W5=0,Tableau6[[#This Row],[DATE LIMITE]]&lt;TODAY()),TODAY()-Tableau6[[#This Row],[DATE LIMITE]],0)</f>
        <v>0</v>
      </c>
      <c r="V5"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5" s="23">
        <f>SUMIF(Tableau3[FACTURE],Tableau6[[#This Row],[NUM DE FACTURE]],Tableau3[MONTANT TTC])</f>
        <v>23876867</v>
      </c>
      <c r="X5" s="7"/>
      <c r="Y5" s="156">
        <f>+Tableau6[[#This Row],[NET A PAYER]]-Tableau6[[#This Row],[MONTANT PAYE]]</f>
        <v>0</v>
      </c>
      <c r="Z5"/>
    </row>
    <row r="6" spans="1:29" ht="10.050000000000001" customHeight="1" x14ac:dyDescent="0.2">
      <c r="A6" t="s">
        <v>100</v>
      </c>
      <c r="B6" s="3">
        <v>45677</v>
      </c>
      <c r="C6" s="44">
        <v>45677</v>
      </c>
      <c r="D6" s="351">
        <v>208</v>
      </c>
      <c r="E6" s="11" t="s">
        <v>138</v>
      </c>
      <c r="F6" s="2" t="s">
        <v>109</v>
      </c>
      <c r="G6" s="11" t="s">
        <v>156</v>
      </c>
      <c r="H6" s="2" t="s">
        <v>116</v>
      </c>
      <c r="I6" s="168"/>
      <c r="J6" s="234">
        <v>3500000</v>
      </c>
      <c r="K6" s="168">
        <f>+Tableau6[[#This Row],[MONTANT HT BIEN]]+Tableau6[[#This Row],[MONTANT HT SERVICE]]</f>
        <v>3500000</v>
      </c>
      <c r="L6" s="169">
        <v>0</v>
      </c>
      <c r="M6" s="169">
        <f>+IFERROR(IF(Tableau6[[#This Row],[CODE TVA]]="TVAF",Tableau6[[#This Row],[MONTANT HT]]*0.18,0),0)</f>
        <v>630000</v>
      </c>
      <c r="N6" s="169">
        <f>Tableau6[[#This Row],[MONTANT HT]]+Tableau6[[#This Row],[TVA]]-Tableau6[[#This Row],[ACOMPTE SUR HT]]</f>
        <v>4130000</v>
      </c>
      <c r="O6" s="169"/>
      <c r="P6" s="169">
        <f>+ROUND(Tableau6[[#This Row],[MONTANT TTC]]-Tableau6[[#This Row],[ACOMPTE SUR TTC]],0)</f>
        <v>4130000</v>
      </c>
      <c r="Q6" s="47" t="s">
        <v>485</v>
      </c>
      <c r="R6" s="46">
        <f>IFERROR(INDEX(Tableau2[[ID BC UNIQUE]:[MONTANT HT VALIDE]],MATCH(Tableau6[[#This Row],[N° BC]],Tableau2[ID BC UNIQUE],0),6),0)</f>
        <v>3500000</v>
      </c>
      <c r="S6" s="48">
        <f>IFERROR(INDEX(Tableau2[[DATE]:[DELAIS DE PAIEMENT FACTURES EN JOUR]],MATCH(Tableau6[[#This Row],[N° BC]],Tableau2[ID BC UNIQUE],0),5),0)</f>
        <v>30</v>
      </c>
      <c r="T6" s="7">
        <f>IF(ISBLANK(Tableau6[[#This Row],[DATE DE DEPOT]]),"",Tableau6[[#This Row],[DATE DE DEPOT]]+Tableau6[[#This Row],[DELAI]])</f>
        <v>45707</v>
      </c>
      <c r="U6" s="25">
        <f ca="1">+IF(AND(W6=0,Tableau6[[#This Row],[DATE LIMITE]]&lt;TODAY()),TODAY()-Tableau6[[#This Row],[DATE LIMITE]],0)</f>
        <v>0</v>
      </c>
      <c r="V6" s="4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6" s="49">
        <f>SUMIF(Tableau3[FACTURE],Tableau6[[#This Row],[NUM DE FACTURE]],Tableau3[MONTANT TTC])</f>
        <v>4130000</v>
      </c>
      <c r="X6" s="44"/>
      <c r="Y6" s="157">
        <f>+Tableau6[[#This Row],[NET A PAYER]]-Tableau6[[#This Row],[MONTANT PAYE]]</f>
        <v>0</v>
      </c>
      <c r="Z6" s="50"/>
    </row>
    <row r="7" spans="1:29" ht="10.050000000000001" customHeight="1" x14ac:dyDescent="0.2">
      <c r="A7" t="s">
        <v>100</v>
      </c>
      <c r="B7" s="3">
        <v>45677</v>
      </c>
      <c r="C7" s="7">
        <v>45677</v>
      </c>
      <c r="D7" s="351">
        <v>209</v>
      </c>
      <c r="E7" s="11" t="s">
        <v>138</v>
      </c>
      <c r="F7" s="2" t="s">
        <v>109</v>
      </c>
      <c r="G7" s="11" t="s">
        <v>156</v>
      </c>
      <c r="H7" s="2" t="s">
        <v>116</v>
      </c>
      <c r="I7" s="155"/>
      <c r="J7" s="234">
        <v>720000</v>
      </c>
      <c r="K7" s="155">
        <f>+Tableau6[[#This Row],[MONTANT HT BIEN]]+Tableau6[[#This Row],[MONTANT HT SERVICE]]</f>
        <v>720000</v>
      </c>
      <c r="L7" s="153">
        <v>0</v>
      </c>
      <c r="M7" s="153">
        <f>+IFERROR(IF(Tableau6[[#This Row],[CODE TVA]]="TVAF",Tableau6[[#This Row],[MONTANT HT]]*0.18,0),0)</f>
        <v>129600</v>
      </c>
      <c r="N7" s="153">
        <f>Tableau6[[#This Row],[MONTANT HT]]+Tableau6[[#This Row],[TVA]]-Tableau6[[#This Row],[ACOMPTE SUR HT]]</f>
        <v>849600</v>
      </c>
      <c r="O7" s="153"/>
      <c r="P7" s="153">
        <f>+ROUND(Tableau6[[#This Row],[MONTANT TTC]]-Tableau6[[#This Row],[ACOMPTE SUR TTC]],0)</f>
        <v>849600</v>
      </c>
      <c r="Q7" s="11" t="s">
        <v>484</v>
      </c>
      <c r="R7" s="5">
        <f>IFERROR(INDEX(Tableau2[[ID BC UNIQUE]:[MONTANT HT VALIDE]],MATCH(Tableau6[[#This Row],[N° BC]],Tableau2[ID BC UNIQUE],0),6),0)</f>
        <v>720000</v>
      </c>
      <c r="S7" s="25">
        <f>IFERROR(INDEX(Tableau2[[DATE]:[DELAIS DE PAIEMENT FACTURES EN JOUR]],MATCH(Tableau6[[#This Row],[N° BC]],Tableau2[ID BC UNIQUE],0),5),0)</f>
        <v>30</v>
      </c>
      <c r="T7" s="7">
        <f>IF(ISBLANK(Tableau6[[#This Row],[DATE DE DEPOT]]),"",Tableau6[[#This Row],[DATE DE DEPOT]]+Tableau6[[#This Row],[DELAI]])</f>
        <v>45707</v>
      </c>
      <c r="U7" s="25">
        <f ca="1">+IF(AND(W7=0,Tableau6[[#This Row],[DATE LIMITE]]&lt;TODAY()),TODAY()-Tableau6[[#This Row],[DATE LIMITE]],0)</f>
        <v>0</v>
      </c>
      <c r="V7"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7" s="23">
        <f>SUMIF(Tableau3[FACTURE],Tableau6[[#This Row],[NUM DE FACTURE]],Tableau3[MONTANT TTC])</f>
        <v>849600</v>
      </c>
      <c r="X7" s="7"/>
      <c r="Y7" s="156">
        <f>+Tableau6[[#This Row],[NET A PAYER]]-Tableau6[[#This Row],[MONTANT PAYE]]</f>
        <v>0</v>
      </c>
      <c r="Z7"/>
    </row>
    <row r="8" spans="1:29" ht="10.050000000000001" customHeight="1" x14ac:dyDescent="0.2">
      <c r="A8" t="s">
        <v>100</v>
      </c>
      <c r="B8" s="3">
        <v>45679</v>
      </c>
      <c r="C8" s="7">
        <v>45679</v>
      </c>
      <c r="D8" s="351">
        <v>210</v>
      </c>
      <c r="E8" s="11" t="s">
        <v>138</v>
      </c>
      <c r="F8" s="2" t="s">
        <v>110</v>
      </c>
      <c r="G8" s="11" t="s">
        <v>202</v>
      </c>
      <c r="H8" s="2" t="s">
        <v>116</v>
      </c>
      <c r="I8" s="233">
        <v>6064800</v>
      </c>
      <c r="J8" s="233"/>
      <c r="K8" s="155">
        <f>+Tableau6[[#This Row],[MONTANT HT BIEN]]+Tableau6[[#This Row],[MONTANT HT SERVICE]]</f>
        <v>6064800</v>
      </c>
      <c r="L8" s="153">
        <v>0</v>
      </c>
      <c r="M8" s="153">
        <f>+IFERROR(IF(Tableau6[[#This Row],[CODE TVA]]="TVAF",Tableau6[[#This Row],[MONTANT HT]]*0.18,0),0)</f>
        <v>1091664</v>
      </c>
      <c r="N8" s="153">
        <f>Tableau6[[#This Row],[MONTANT HT]]+Tableau6[[#This Row],[TVA]]-Tableau6[[#This Row],[ACOMPTE SUR HT]]</f>
        <v>7156464</v>
      </c>
      <c r="O8" s="153"/>
      <c r="P8" s="153">
        <f>+ROUND(Tableau6[[#This Row],[MONTANT TTC]]-Tableau6[[#This Row],[ACOMPTE SUR TTC]],0)</f>
        <v>7156464</v>
      </c>
      <c r="Q8" s="11" t="s">
        <v>487</v>
      </c>
      <c r="R8" s="5">
        <f>IFERROR(INDEX(Tableau2[[ID BC UNIQUE]:[MONTANT HT VALIDE]],MATCH(Tableau6[[#This Row],[N° BC]],Tableau2[ID BC UNIQUE],0),6),0)</f>
        <v>6064800</v>
      </c>
      <c r="S8" s="25">
        <f>IFERROR(INDEX(Tableau2[[DATE]:[DELAIS DE PAIEMENT FACTURES EN JOUR]],MATCH(Tableau6[[#This Row],[N° BC]],Tableau2[ID BC UNIQUE],0),5),0)</f>
        <v>30</v>
      </c>
      <c r="T8" s="7">
        <f>IF(ISBLANK(Tableau6[[#This Row],[DATE DE DEPOT]]),"",Tableau6[[#This Row],[DATE DE DEPOT]]+Tableau6[[#This Row],[DELAI]])</f>
        <v>45709</v>
      </c>
      <c r="U8" s="25">
        <f ca="1">+IF(AND(W8=0,Tableau6[[#This Row],[DATE LIMITE]]&lt;TODAY()),TODAY()-Tableau6[[#This Row],[DATE LIMITE]],0)</f>
        <v>0</v>
      </c>
      <c r="V8"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8" s="23">
        <f>SUMIF(Tableau3[FACTURE],Tableau6[[#This Row],[NUM DE FACTURE]],Tableau3[MONTANT TTC])</f>
        <v>7156464</v>
      </c>
      <c r="X8" s="7"/>
      <c r="Y8" s="156">
        <f>+Tableau6[[#This Row],[NET A PAYER]]-Tableau6[[#This Row],[MONTANT PAYE]]</f>
        <v>0</v>
      </c>
      <c r="Z8"/>
    </row>
    <row r="9" spans="1:29" ht="10.050000000000001" customHeight="1" x14ac:dyDescent="0.2">
      <c r="A9" t="s">
        <v>100</v>
      </c>
      <c r="B9" s="3">
        <v>45680</v>
      </c>
      <c r="C9" s="44">
        <v>45680</v>
      </c>
      <c r="D9" s="351">
        <v>212</v>
      </c>
      <c r="E9" s="11" t="s">
        <v>138</v>
      </c>
      <c r="F9" s="2" t="s">
        <v>109</v>
      </c>
      <c r="G9" s="11" t="s">
        <v>165</v>
      </c>
      <c r="H9" s="2" t="s">
        <v>116</v>
      </c>
      <c r="I9" s="168"/>
      <c r="J9" s="234">
        <v>540000</v>
      </c>
      <c r="K9" s="168">
        <f>+Tableau6[[#This Row],[MONTANT HT BIEN]]+Tableau6[[#This Row],[MONTANT HT SERVICE]]</f>
        <v>540000</v>
      </c>
      <c r="L9" s="169">
        <v>0</v>
      </c>
      <c r="M9" s="169">
        <f>+IFERROR(IF(Tableau6[[#This Row],[CODE TVA]]="TVAF",Tableau6[[#This Row],[MONTANT HT]]*0.18,0),0)</f>
        <v>97200</v>
      </c>
      <c r="N9" s="169">
        <f>Tableau6[[#This Row],[MONTANT HT]]+Tableau6[[#This Row],[TVA]]-Tableau6[[#This Row],[ACOMPTE SUR HT]]</f>
        <v>637200</v>
      </c>
      <c r="O9" s="169"/>
      <c r="P9" s="169">
        <f>+ROUND(Tableau6[[#This Row],[MONTANT TTC]]-Tableau6[[#This Row],[ACOMPTE SUR TTC]],0)</f>
        <v>637200</v>
      </c>
      <c r="Q9" s="47" t="s">
        <v>488</v>
      </c>
      <c r="R9" s="46">
        <f>IFERROR(INDEX(Tableau2[[ID BC UNIQUE]:[MONTANT HT VALIDE]],MATCH(Tableau6[[#This Row],[N° BC]],Tableau2[ID BC UNIQUE],0),6),0)</f>
        <v>540000</v>
      </c>
      <c r="S9" s="48">
        <f>IFERROR(INDEX(Tableau2[[DATE]:[DELAIS DE PAIEMENT FACTURES EN JOUR]],MATCH(Tableau6[[#This Row],[N° BC]],Tableau2[ID BC UNIQUE],0),5),0)</f>
        <v>30</v>
      </c>
      <c r="T9" s="7">
        <f>IF(ISBLANK(Tableau6[[#This Row],[DATE DE DEPOT]]),"",Tableau6[[#This Row],[DATE DE DEPOT]]+Tableau6[[#This Row],[DELAI]])</f>
        <v>45710</v>
      </c>
      <c r="U9" s="25">
        <f ca="1">+IF(AND(W9=0,Tableau6[[#This Row],[DATE LIMITE]]&lt;TODAY()),TODAY()-Tableau6[[#This Row],[DATE LIMITE]],0)</f>
        <v>0</v>
      </c>
      <c r="V9" s="4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9" s="49">
        <f>SUMIF(Tableau3[FACTURE],Tableau6[[#This Row],[NUM DE FACTURE]],Tableau3[MONTANT TTC])</f>
        <v>637200</v>
      </c>
      <c r="X9" s="44"/>
      <c r="Y9" s="157">
        <f>+Tableau6[[#This Row],[NET A PAYER]]-Tableau6[[#This Row],[MONTANT PAYE]]</f>
        <v>0</v>
      </c>
      <c r="Z9" s="50"/>
    </row>
    <row r="10" spans="1:29" ht="10.050000000000001" customHeight="1" x14ac:dyDescent="0.2">
      <c r="A10" t="s">
        <v>100</v>
      </c>
      <c r="B10" s="3">
        <v>45680</v>
      </c>
      <c r="C10" s="7">
        <v>45680</v>
      </c>
      <c r="D10" s="351">
        <v>213</v>
      </c>
      <c r="E10" s="11" t="s">
        <v>138</v>
      </c>
      <c r="F10" s="2" t="s">
        <v>109</v>
      </c>
      <c r="G10" s="11" t="s">
        <v>170</v>
      </c>
      <c r="H10" s="2" t="s">
        <v>116</v>
      </c>
      <c r="I10" s="155"/>
      <c r="J10" s="233">
        <v>1980000</v>
      </c>
      <c r="K10" s="155">
        <f>+Tableau6[[#This Row],[MONTANT HT BIEN]]+Tableau6[[#This Row],[MONTANT HT SERVICE]]</f>
        <v>1980000</v>
      </c>
      <c r="L10" s="153">
        <v>0</v>
      </c>
      <c r="M10" s="153">
        <f>+IFERROR(IF(Tableau6[[#This Row],[CODE TVA]]="TVAF",Tableau6[[#This Row],[MONTANT HT]]*0.18,0),0)</f>
        <v>356400</v>
      </c>
      <c r="N10" s="153">
        <f>Tableau6[[#This Row],[MONTANT HT]]+Tableau6[[#This Row],[TVA]]-Tableau6[[#This Row],[ACOMPTE SUR HT]]</f>
        <v>2336400</v>
      </c>
      <c r="O10" s="153"/>
      <c r="P10" s="153">
        <f>+ROUND(Tableau6[[#This Row],[MONTANT TTC]]-Tableau6[[#This Row],[ACOMPTE SUR TTC]],0)</f>
        <v>2336400</v>
      </c>
      <c r="Q10" s="2" t="s">
        <v>489</v>
      </c>
      <c r="R10" s="5">
        <f>IFERROR(INDEX(Tableau2[[ID BC UNIQUE]:[MONTANT HT VALIDE]],MATCH(Tableau6[[#This Row],[N° BC]],Tableau2[ID BC UNIQUE],0),6),0)</f>
        <v>1980000</v>
      </c>
      <c r="S10" s="25">
        <f>IFERROR(INDEX(Tableau2[[DATE]:[DELAIS DE PAIEMENT FACTURES EN JOUR]],MATCH(Tableau6[[#This Row],[N° BC]],Tableau2[ID BC UNIQUE],0),5),0)</f>
        <v>30</v>
      </c>
      <c r="T10" s="7">
        <f>IF(ISBLANK(Tableau6[[#This Row],[DATE DE DEPOT]]),"",Tableau6[[#This Row],[DATE DE DEPOT]]+Tableau6[[#This Row],[DELAI]])</f>
        <v>45710</v>
      </c>
      <c r="U10" s="25">
        <f ca="1">+IF(AND(W10=0,Tableau6[[#This Row],[DATE LIMITE]]&lt;TODAY()),TODAY()-Tableau6[[#This Row],[DATE LIMITE]],0)</f>
        <v>0</v>
      </c>
      <c r="V10"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0" s="23">
        <f>SUMIF(Tableau3[FACTURE],Tableau6[[#This Row],[NUM DE FACTURE]],Tableau3[MONTANT TTC])</f>
        <v>2336400</v>
      </c>
      <c r="X10" s="7"/>
      <c r="Y10" s="156">
        <f>+Tableau6[[#This Row],[NET A PAYER]]-Tableau6[[#This Row],[MONTANT PAYE]]</f>
        <v>0</v>
      </c>
      <c r="Z10"/>
    </row>
    <row r="11" spans="1:29" ht="10.050000000000001" customHeight="1" x14ac:dyDescent="0.2">
      <c r="A11" t="s">
        <v>100</v>
      </c>
      <c r="B11" s="3">
        <v>45680</v>
      </c>
      <c r="C11" s="7">
        <v>45680</v>
      </c>
      <c r="D11" s="351">
        <v>214</v>
      </c>
      <c r="E11" s="11" t="s">
        <v>138</v>
      </c>
      <c r="F11" s="2" t="s">
        <v>109</v>
      </c>
      <c r="G11" s="11" t="s">
        <v>170</v>
      </c>
      <c r="H11" s="2" t="s">
        <v>116</v>
      </c>
      <c r="I11" s="155"/>
      <c r="J11" s="233">
        <v>2200000</v>
      </c>
      <c r="K11" s="155">
        <f>+Tableau6[[#This Row],[MONTANT HT BIEN]]+Tableau6[[#This Row],[MONTANT HT SERVICE]]</f>
        <v>2200000</v>
      </c>
      <c r="L11" s="153">
        <v>0</v>
      </c>
      <c r="M11" s="153">
        <f>+IFERROR(IF(Tableau6[[#This Row],[CODE TVA]]="TVAF",Tableau6[[#This Row],[MONTANT HT]]*0.18,0),0)</f>
        <v>396000</v>
      </c>
      <c r="N11" s="153">
        <f>Tableau6[[#This Row],[MONTANT HT]]+Tableau6[[#This Row],[TVA]]-Tableau6[[#This Row],[ACOMPTE SUR HT]]</f>
        <v>2596000</v>
      </c>
      <c r="O11" s="153"/>
      <c r="P11" s="153">
        <f>+ROUND(Tableau6[[#This Row],[MONTANT TTC]]-Tableau6[[#This Row],[ACOMPTE SUR TTC]],0)</f>
        <v>2596000</v>
      </c>
      <c r="Q11" s="2" t="s">
        <v>483</v>
      </c>
      <c r="R11" s="5">
        <f>IFERROR(INDEX(Tableau2[[ID BC UNIQUE]:[MONTANT HT VALIDE]],MATCH(Tableau6[[#This Row],[N° BC]],Tableau2[ID BC UNIQUE],0),6),0)</f>
        <v>2200000</v>
      </c>
      <c r="S11" s="25">
        <f>IFERROR(INDEX(Tableau2[[DATE]:[DELAIS DE PAIEMENT FACTURES EN JOUR]],MATCH(Tableau6[[#This Row],[N° BC]],Tableau2[ID BC UNIQUE],0),5),0)</f>
        <v>30</v>
      </c>
      <c r="T11" s="7">
        <f>IF(ISBLANK(Tableau6[[#This Row],[DATE DE DEPOT]]),"",Tableau6[[#This Row],[DATE DE DEPOT]]+Tableau6[[#This Row],[DELAI]])</f>
        <v>45710</v>
      </c>
      <c r="U11" s="25">
        <f ca="1">+IF(AND(W11=0,Tableau6[[#This Row],[DATE LIMITE]]&lt;TODAY()),TODAY()-Tableau6[[#This Row],[DATE LIMITE]],0)</f>
        <v>0</v>
      </c>
      <c r="V11"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1" s="23">
        <f>SUMIF(Tableau3[FACTURE],Tableau6[[#This Row],[NUM DE FACTURE]],Tableau3[MONTANT TTC])</f>
        <v>2596000</v>
      </c>
      <c r="X11" s="7"/>
      <c r="Y11" s="156">
        <f>+Tableau6[[#This Row],[NET A PAYER]]-Tableau6[[#This Row],[MONTANT PAYE]]</f>
        <v>0</v>
      </c>
      <c r="Z11"/>
    </row>
    <row r="12" spans="1:29" ht="10.050000000000001" customHeight="1" x14ac:dyDescent="0.2">
      <c r="A12" t="s">
        <v>100</v>
      </c>
      <c r="B12" s="3">
        <v>45680</v>
      </c>
      <c r="C12" s="7">
        <v>45680</v>
      </c>
      <c r="D12" s="351">
        <v>215</v>
      </c>
      <c r="E12" s="11" t="s">
        <v>138</v>
      </c>
      <c r="F12" s="2" t="s">
        <v>109</v>
      </c>
      <c r="G12" s="11" t="s">
        <v>165</v>
      </c>
      <c r="H12" s="2" t="s">
        <v>116</v>
      </c>
      <c r="I12" s="155"/>
      <c r="J12" s="233">
        <v>1400000</v>
      </c>
      <c r="K12" s="155">
        <f>+Tableau6[[#This Row],[MONTANT HT BIEN]]+Tableau6[[#This Row],[MONTANT HT SERVICE]]</f>
        <v>1400000</v>
      </c>
      <c r="L12" s="153">
        <v>0</v>
      </c>
      <c r="M12" s="153">
        <f>+IFERROR(IF(Tableau6[[#This Row],[CODE TVA]]="TVAF",Tableau6[[#This Row],[MONTANT HT]]*0.18,0),0)</f>
        <v>252000</v>
      </c>
      <c r="N12" s="153">
        <f>Tableau6[[#This Row],[MONTANT HT]]+Tableau6[[#This Row],[TVA]]-Tableau6[[#This Row],[ACOMPTE SUR HT]]</f>
        <v>1652000</v>
      </c>
      <c r="O12" s="153"/>
      <c r="P12" s="153">
        <f>+ROUND(Tableau6[[#This Row],[MONTANT TTC]]-Tableau6[[#This Row],[ACOMPTE SUR TTC]],0)</f>
        <v>1652000</v>
      </c>
      <c r="Q12" s="2" t="s">
        <v>490</v>
      </c>
      <c r="R12" s="5">
        <f>IFERROR(INDEX(Tableau2[[ID BC UNIQUE]:[MONTANT HT VALIDE]],MATCH(Tableau6[[#This Row],[N° BC]],Tableau2[ID BC UNIQUE],0),6),0)</f>
        <v>1400000</v>
      </c>
      <c r="S12" s="25">
        <f>IFERROR(INDEX(Tableau2[[DATE]:[DELAIS DE PAIEMENT FACTURES EN JOUR]],MATCH(Tableau6[[#This Row],[N° BC]],Tableau2[ID BC UNIQUE],0),5),0)</f>
        <v>30</v>
      </c>
      <c r="T12" s="7">
        <f>IF(ISBLANK(Tableau6[[#This Row],[DATE DE DEPOT]]),"",Tableau6[[#This Row],[DATE DE DEPOT]]+Tableau6[[#This Row],[DELAI]])</f>
        <v>45710</v>
      </c>
      <c r="U12" s="25">
        <f ca="1">+IF(AND(W12=0,Tableau6[[#This Row],[DATE LIMITE]]&lt;TODAY()),TODAY()-Tableau6[[#This Row],[DATE LIMITE]],0)</f>
        <v>0</v>
      </c>
      <c r="V12"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2" s="23">
        <f>SUMIF(Tableau3[FACTURE],Tableau6[[#This Row],[NUM DE FACTURE]],Tableau3[MONTANT TTC])</f>
        <v>1652000</v>
      </c>
      <c r="X12" s="7"/>
      <c r="Y12" s="156">
        <f>+Tableau6[[#This Row],[NET A PAYER]]-Tableau6[[#This Row],[MONTANT PAYE]]</f>
        <v>0</v>
      </c>
      <c r="Z12"/>
    </row>
    <row r="13" spans="1:29" ht="10.050000000000001" customHeight="1" x14ac:dyDescent="0.2">
      <c r="A13" t="s">
        <v>100</v>
      </c>
      <c r="B13" s="3">
        <v>45680</v>
      </c>
      <c r="C13" s="7">
        <v>45680</v>
      </c>
      <c r="D13" s="351">
        <v>216</v>
      </c>
      <c r="E13" s="11" t="s">
        <v>138</v>
      </c>
      <c r="F13" s="2" t="s">
        <v>109</v>
      </c>
      <c r="G13" s="11" t="s">
        <v>165</v>
      </c>
      <c r="H13" s="2" t="s">
        <v>116</v>
      </c>
      <c r="I13" s="155"/>
      <c r="J13" s="233">
        <v>1350000</v>
      </c>
      <c r="K13" s="155">
        <f>+Tableau6[[#This Row],[MONTANT HT BIEN]]+Tableau6[[#This Row],[MONTANT HT SERVICE]]</f>
        <v>1350000</v>
      </c>
      <c r="L13" s="153">
        <v>0</v>
      </c>
      <c r="M13" s="153">
        <f>+IFERROR(IF(Tableau6[[#This Row],[CODE TVA]]="TVAF",Tableau6[[#This Row],[MONTANT HT]]*0.18,0),0)</f>
        <v>243000</v>
      </c>
      <c r="N13" s="153">
        <f>Tableau6[[#This Row],[MONTANT HT]]+Tableau6[[#This Row],[TVA]]-Tableau6[[#This Row],[ACOMPTE SUR HT]]</f>
        <v>1593000</v>
      </c>
      <c r="O13" s="153"/>
      <c r="P13" s="153">
        <f>+ROUND(Tableau6[[#This Row],[MONTANT TTC]]-Tableau6[[#This Row],[ACOMPTE SUR TTC]],0)</f>
        <v>1593000</v>
      </c>
      <c r="Q13" s="2" t="s">
        <v>492</v>
      </c>
      <c r="R13" s="5">
        <f>IFERROR(INDEX(Tableau2[[ID BC UNIQUE]:[MONTANT HT VALIDE]],MATCH(Tableau6[[#This Row],[N° BC]],Tableau2[ID BC UNIQUE],0),6),0)</f>
        <v>1350000</v>
      </c>
      <c r="S13" s="25">
        <f>IFERROR(INDEX(Tableau2[[DATE]:[DELAIS DE PAIEMENT FACTURES EN JOUR]],MATCH(Tableau6[[#This Row],[N° BC]],Tableau2[ID BC UNIQUE],0),5),0)</f>
        <v>30</v>
      </c>
      <c r="T13" s="7">
        <f>IF(ISBLANK(Tableau6[[#This Row],[DATE DE DEPOT]]),"",Tableau6[[#This Row],[DATE DE DEPOT]]+Tableau6[[#This Row],[DELAI]])</f>
        <v>45710</v>
      </c>
      <c r="U13" s="25">
        <f ca="1">+IF(AND(W13=0,Tableau6[[#This Row],[DATE LIMITE]]&lt;TODAY()),TODAY()-Tableau6[[#This Row],[DATE LIMITE]],0)</f>
        <v>0</v>
      </c>
      <c r="V13"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3" s="23">
        <f>SUMIF(Tableau3[FACTURE],Tableau6[[#This Row],[NUM DE FACTURE]],Tableau3[MONTANT TTC])</f>
        <v>1593000</v>
      </c>
      <c r="X13" s="7"/>
      <c r="Y13" s="156">
        <f>+Tableau6[[#This Row],[NET A PAYER]]-Tableau6[[#This Row],[MONTANT PAYE]]</f>
        <v>0</v>
      </c>
      <c r="Z13"/>
    </row>
    <row r="14" spans="1:29" ht="10.050000000000001" customHeight="1" x14ac:dyDescent="0.2">
      <c r="A14" t="s">
        <v>100</v>
      </c>
      <c r="B14" s="3">
        <v>45680</v>
      </c>
      <c r="C14" s="7">
        <v>45680</v>
      </c>
      <c r="D14" s="351">
        <v>217</v>
      </c>
      <c r="E14" s="11" t="s">
        <v>138</v>
      </c>
      <c r="F14" s="2" t="s">
        <v>109</v>
      </c>
      <c r="G14" s="11" t="s">
        <v>200</v>
      </c>
      <c r="H14" s="2" t="s">
        <v>116</v>
      </c>
      <c r="I14" s="155"/>
      <c r="J14" s="233">
        <v>3500000</v>
      </c>
      <c r="K14" s="155">
        <f>+Tableau6[[#This Row],[MONTANT HT BIEN]]+Tableau6[[#This Row],[MONTANT HT SERVICE]]</f>
        <v>3500000</v>
      </c>
      <c r="L14" s="153">
        <v>0</v>
      </c>
      <c r="M14" s="153">
        <f>+IFERROR(IF(Tableau6[[#This Row],[CODE TVA]]="TVAF",Tableau6[[#This Row],[MONTANT HT]]*0.18,0),0)</f>
        <v>630000</v>
      </c>
      <c r="N14" s="153">
        <f>Tableau6[[#This Row],[MONTANT HT]]+Tableau6[[#This Row],[TVA]]-Tableau6[[#This Row],[ACOMPTE SUR HT]]</f>
        <v>4130000</v>
      </c>
      <c r="O14" s="153"/>
      <c r="P14" s="153">
        <f>+ROUND(Tableau6[[#This Row],[MONTANT TTC]]-Tableau6[[#This Row],[ACOMPTE SUR TTC]],0)</f>
        <v>4130000</v>
      </c>
      <c r="Q14" s="2" t="s">
        <v>491</v>
      </c>
      <c r="R14" s="5">
        <f>IFERROR(INDEX(Tableau2[[ID BC UNIQUE]:[MONTANT HT VALIDE]],MATCH(Tableau6[[#This Row],[N° BC]],Tableau2[ID BC UNIQUE],0),6),0)</f>
        <v>3500000</v>
      </c>
      <c r="S14" s="25">
        <f>IFERROR(INDEX(Tableau2[[DATE]:[DELAIS DE PAIEMENT FACTURES EN JOUR]],MATCH(Tableau6[[#This Row],[N° BC]],Tableau2[ID BC UNIQUE],0),5),0)</f>
        <v>30</v>
      </c>
      <c r="T14" s="7">
        <f>IF(ISBLANK(Tableau6[[#This Row],[DATE DE DEPOT]]),"",Tableau6[[#This Row],[DATE DE DEPOT]]+Tableau6[[#This Row],[DELAI]])</f>
        <v>45710</v>
      </c>
      <c r="U14" s="25">
        <f ca="1">+IF(AND(W14=0,Tableau6[[#This Row],[DATE LIMITE]]&lt;TODAY()),TODAY()-Tableau6[[#This Row],[DATE LIMITE]],0)</f>
        <v>0</v>
      </c>
      <c r="V14"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4" s="23">
        <f>SUMIF(Tableau3[FACTURE],Tableau6[[#This Row],[NUM DE FACTURE]],Tableau3[MONTANT TTC])</f>
        <v>4130000</v>
      </c>
      <c r="X14" s="7"/>
      <c r="Y14" s="156">
        <f>+Tableau6[[#This Row],[NET A PAYER]]-Tableau6[[#This Row],[MONTANT PAYE]]</f>
        <v>0</v>
      </c>
      <c r="Z14"/>
    </row>
    <row r="15" spans="1:29" ht="10.050000000000001" customHeight="1" x14ac:dyDescent="0.2">
      <c r="A15" t="s">
        <v>100</v>
      </c>
      <c r="B15" s="3">
        <v>45680</v>
      </c>
      <c r="C15" s="7">
        <v>45680</v>
      </c>
      <c r="D15" s="351">
        <v>218</v>
      </c>
      <c r="E15" s="11" t="s">
        <v>138</v>
      </c>
      <c r="F15" s="2" t="s">
        <v>109</v>
      </c>
      <c r="G15" s="11" t="s">
        <v>171</v>
      </c>
      <c r="H15" s="2" t="s">
        <v>116</v>
      </c>
      <c r="I15" s="155"/>
      <c r="J15" s="233">
        <v>540000</v>
      </c>
      <c r="K15" s="155">
        <f>+Tableau6[[#This Row],[MONTANT HT BIEN]]+Tableau6[[#This Row],[MONTANT HT SERVICE]]</f>
        <v>540000</v>
      </c>
      <c r="L15" s="153">
        <v>0</v>
      </c>
      <c r="M15" s="153">
        <f>+IFERROR(IF(Tableau6[[#This Row],[CODE TVA]]="TVAF",Tableau6[[#This Row],[MONTANT HT]]*0.18,0),0)</f>
        <v>97200</v>
      </c>
      <c r="N15" s="153">
        <f>Tableau6[[#This Row],[MONTANT HT]]+Tableau6[[#This Row],[TVA]]-Tableau6[[#This Row],[ACOMPTE SUR HT]]</f>
        <v>637200</v>
      </c>
      <c r="O15" s="153"/>
      <c r="P15" s="153">
        <f>+ROUND(Tableau6[[#This Row],[MONTANT TTC]]-Tableau6[[#This Row],[ACOMPTE SUR TTC]],0)</f>
        <v>637200</v>
      </c>
      <c r="Q15" s="2" t="s">
        <v>493</v>
      </c>
      <c r="R15" s="5">
        <f>IFERROR(INDEX(Tableau2[[ID BC UNIQUE]:[MONTANT HT VALIDE]],MATCH(Tableau6[[#This Row],[N° BC]],Tableau2[ID BC UNIQUE],0),6),0)</f>
        <v>540000</v>
      </c>
      <c r="S15" s="25">
        <f>IFERROR(INDEX(Tableau2[[DATE]:[DELAIS DE PAIEMENT FACTURES EN JOUR]],MATCH(Tableau6[[#This Row],[N° BC]],Tableau2[ID BC UNIQUE],0),5),0)</f>
        <v>30</v>
      </c>
      <c r="T15" s="7">
        <f>IF(ISBLANK(Tableau6[[#This Row],[DATE DE DEPOT]]),"",Tableau6[[#This Row],[DATE DE DEPOT]]+Tableau6[[#This Row],[DELAI]])</f>
        <v>45710</v>
      </c>
      <c r="U15" s="25">
        <f ca="1">+IF(AND(W15=0,Tableau6[[#This Row],[DATE LIMITE]]&lt;TODAY()),TODAY()-Tableau6[[#This Row],[DATE LIMITE]],0)</f>
        <v>0</v>
      </c>
      <c r="V15"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5" s="23">
        <f>SUMIF(Tableau3[FACTURE],Tableau6[[#This Row],[NUM DE FACTURE]],Tableau3[MONTANT TTC])</f>
        <v>637200</v>
      </c>
      <c r="X15" s="7"/>
      <c r="Y15" s="156">
        <f>+Tableau6[[#This Row],[NET A PAYER]]-Tableau6[[#This Row],[MONTANT PAYE]]</f>
        <v>0</v>
      </c>
      <c r="Z15"/>
    </row>
    <row r="16" spans="1:29" ht="10.050000000000001" customHeight="1" x14ac:dyDescent="0.2">
      <c r="A16" t="s">
        <v>100</v>
      </c>
      <c r="B16" s="3">
        <v>45680</v>
      </c>
      <c r="C16" s="7">
        <v>45680</v>
      </c>
      <c r="D16" s="351">
        <v>219</v>
      </c>
      <c r="E16" s="11" t="s">
        <v>138</v>
      </c>
      <c r="F16" s="2" t="s">
        <v>109</v>
      </c>
      <c r="G16" s="11" t="s">
        <v>165</v>
      </c>
      <c r="H16" s="2" t="s">
        <v>116</v>
      </c>
      <c r="I16" s="155"/>
      <c r="J16" s="233">
        <v>4000000</v>
      </c>
      <c r="K16" s="155">
        <f>+Tableau6[[#This Row],[MONTANT HT BIEN]]+Tableau6[[#This Row],[MONTANT HT SERVICE]]</f>
        <v>4000000</v>
      </c>
      <c r="L16" s="153">
        <v>0</v>
      </c>
      <c r="M16" s="153">
        <f>+IFERROR(IF(Tableau6[[#This Row],[CODE TVA]]="TVAF",Tableau6[[#This Row],[MONTANT HT]]*0.18,0),0)</f>
        <v>720000</v>
      </c>
      <c r="N16" s="153">
        <f>Tableau6[[#This Row],[MONTANT HT]]+Tableau6[[#This Row],[TVA]]-Tableau6[[#This Row],[ACOMPTE SUR HT]]</f>
        <v>4720000</v>
      </c>
      <c r="O16" s="153"/>
      <c r="P16" s="153">
        <f>+ROUND(Tableau6[[#This Row],[MONTANT TTC]]-Tableau6[[#This Row],[ACOMPTE SUR TTC]],0)</f>
        <v>4720000</v>
      </c>
      <c r="Q16" s="2" t="s">
        <v>494</v>
      </c>
      <c r="R16" s="5">
        <f>IFERROR(INDEX(Tableau2[[ID BC UNIQUE]:[MONTANT HT VALIDE]],MATCH(Tableau6[[#This Row],[N° BC]],Tableau2[ID BC UNIQUE],0),6),0)</f>
        <v>4000000</v>
      </c>
      <c r="S16" s="25">
        <f>IFERROR(INDEX(Tableau2[[DATE]:[DELAIS DE PAIEMENT FACTURES EN JOUR]],MATCH(Tableau6[[#This Row],[N° BC]],Tableau2[ID BC UNIQUE],0),5),0)</f>
        <v>30</v>
      </c>
      <c r="T16" s="7">
        <f>IF(ISBLANK(Tableau6[[#This Row],[DATE DE DEPOT]]),"",Tableau6[[#This Row],[DATE DE DEPOT]]+Tableau6[[#This Row],[DELAI]])</f>
        <v>45710</v>
      </c>
      <c r="U16" s="25">
        <f ca="1">+IF(AND(W16=0,Tableau6[[#This Row],[DATE LIMITE]]&lt;TODAY()),TODAY()-Tableau6[[#This Row],[DATE LIMITE]],0)</f>
        <v>0</v>
      </c>
      <c r="V16"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6" s="23">
        <f>SUMIF(Tableau3[FACTURE],Tableau6[[#This Row],[NUM DE FACTURE]],Tableau3[MONTANT TTC])</f>
        <v>4720000</v>
      </c>
      <c r="X16" s="7"/>
      <c r="Y16" s="156">
        <f>+Tableau6[[#This Row],[NET A PAYER]]-Tableau6[[#This Row],[MONTANT PAYE]]</f>
        <v>0</v>
      </c>
      <c r="Z16"/>
    </row>
    <row r="17" spans="1:26" ht="10.050000000000001" customHeight="1" x14ac:dyDescent="0.2">
      <c r="A17" t="s">
        <v>100</v>
      </c>
      <c r="B17" s="3">
        <v>45680</v>
      </c>
      <c r="C17" s="44">
        <v>45680</v>
      </c>
      <c r="D17" s="351">
        <v>220</v>
      </c>
      <c r="E17" s="11" t="s">
        <v>138</v>
      </c>
      <c r="F17" s="2" t="s">
        <v>109</v>
      </c>
      <c r="G17" s="11" t="s">
        <v>170</v>
      </c>
      <c r="H17" s="2" t="s">
        <v>116</v>
      </c>
      <c r="I17" s="168"/>
      <c r="J17" s="234">
        <v>400000</v>
      </c>
      <c r="K17" s="168">
        <f>+Tableau6[[#This Row],[MONTANT HT BIEN]]+Tableau6[[#This Row],[MONTANT HT SERVICE]]</f>
        <v>400000</v>
      </c>
      <c r="L17" s="169">
        <v>0</v>
      </c>
      <c r="M17" s="169">
        <f>+IFERROR(IF(Tableau6[[#This Row],[CODE TVA]]="TVAF",Tableau6[[#This Row],[MONTANT HT]]*0.18,0),0)</f>
        <v>72000</v>
      </c>
      <c r="N17" s="169">
        <f>Tableau6[[#This Row],[MONTANT HT]]+Tableau6[[#This Row],[TVA]]-Tableau6[[#This Row],[ACOMPTE SUR HT]]</f>
        <v>472000</v>
      </c>
      <c r="O17" s="169"/>
      <c r="P17" s="169">
        <f>+ROUND(Tableau6[[#This Row],[MONTANT TTC]]-Tableau6[[#This Row],[ACOMPTE SUR TTC]],0)</f>
        <v>472000</v>
      </c>
      <c r="Q17" s="47" t="s">
        <v>495</v>
      </c>
      <c r="R17" s="46">
        <f>IFERROR(INDEX(Tableau2[[ID BC UNIQUE]:[MONTANT HT VALIDE]],MATCH(Tableau6[[#This Row],[N° BC]],Tableau2[ID BC UNIQUE],0),6),0)</f>
        <v>400000</v>
      </c>
      <c r="S17" s="48">
        <f>IFERROR(INDEX(Tableau2[[DATE]:[DELAIS DE PAIEMENT FACTURES EN JOUR]],MATCH(Tableau6[[#This Row],[N° BC]],Tableau2[ID BC UNIQUE],0),5),0)</f>
        <v>30</v>
      </c>
      <c r="T17" s="7">
        <f>IF(ISBLANK(Tableau6[[#This Row],[DATE DE DEPOT]]),"",Tableau6[[#This Row],[DATE DE DEPOT]]+Tableau6[[#This Row],[DELAI]])</f>
        <v>45710</v>
      </c>
      <c r="U17" s="25">
        <f ca="1">+IF(AND(W17=0,Tableau6[[#This Row],[DATE LIMITE]]&lt;TODAY()),TODAY()-Tableau6[[#This Row],[DATE LIMITE]],0)</f>
        <v>0</v>
      </c>
      <c r="V17" s="4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7" s="49">
        <f>SUMIF(Tableau3[FACTURE],Tableau6[[#This Row],[NUM DE FACTURE]],Tableau3[MONTANT TTC])</f>
        <v>472000</v>
      </c>
      <c r="X17" s="44"/>
      <c r="Y17" s="157">
        <f>+Tableau6[[#This Row],[NET A PAYER]]-Tableau6[[#This Row],[MONTANT PAYE]]</f>
        <v>0</v>
      </c>
      <c r="Z17" s="50"/>
    </row>
    <row r="18" spans="1:26" ht="10.050000000000001" customHeight="1" x14ac:dyDescent="0.2">
      <c r="A18" t="s">
        <v>100</v>
      </c>
      <c r="B18" s="3">
        <v>45680</v>
      </c>
      <c r="C18" s="7">
        <v>45680</v>
      </c>
      <c r="D18" s="351">
        <v>221</v>
      </c>
      <c r="E18" s="11" t="s">
        <v>138</v>
      </c>
      <c r="F18" s="2" t="s">
        <v>109</v>
      </c>
      <c r="G18" s="11" t="s">
        <v>171</v>
      </c>
      <c r="H18" s="2" t="s">
        <v>116</v>
      </c>
      <c r="I18" s="155"/>
      <c r="J18" s="233">
        <v>1400000</v>
      </c>
      <c r="K18" s="155">
        <f>+Tableau6[[#This Row],[MONTANT HT BIEN]]+Tableau6[[#This Row],[MONTANT HT SERVICE]]</f>
        <v>1400000</v>
      </c>
      <c r="L18" s="153">
        <v>0</v>
      </c>
      <c r="M18" s="153">
        <f>+IFERROR(IF(Tableau6[[#This Row],[CODE TVA]]="TVAF",Tableau6[[#This Row],[MONTANT HT]]*0.18,0),0)</f>
        <v>252000</v>
      </c>
      <c r="N18" s="153">
        <f>Tableau6[[#This Row],[MONTANT HT]]+Tableau6[[#This Row],[TVA]]-Tableau6[[#This Row],[ACOMPTE SUR HT]]</f>
        <v>1652000</v>
      </c>
      <c r="O18" s="153"/>
      <c r="P18" s="153">
        <f>+ROUND(Tableau6[[#This Row],[MONTANT TTC]]-Tableau6[[#This Row],[ACOMPTE SUR TTC]],0)</f>
        <v>1652000</v>
      </c>
      <c r="Q18" s="11" t="s">
        <v>496</v>
      </c>
      <c r="R18" s="5">
        <f>IFERROR(INDEX(Tableau2[[ID BC UNIQUE]:[MONTANT HT VALIDE]],MATCH(Tableau6[[#This Row],[N° BC]],Tableau2[ID BC UNIQUE],0),6),0)</f>
        <v>1400000</v>
      </c>
      <c r="S18" s="25">
        <f>IFERROR(INDEX(Tableau2[[DATE]:[DELAIS DE PAIEMENT FACTURES EN JOUR]],MATCH(Tableau6[[#This Row],[N° BC]],Tableau2[ID BC UNIQUE],0),5),0)</f>
        <v>30</v>
      </c>
      <c r="T18" s="7">
        <f>IF(ISBLANK(Tableau6[[#This Row],[DATE DE DEPOT]]),"",Tableau6[[#This Row],[DATE DE DEPOT]]+Tableau6[[#This Row],[DELAI]])</f>
        <v>45710</v>
      </c>
      <c r="U18" s="25">
        <f ca="1">+IF(AND(W18=0,Tableau6[[#This Row],[DATE LIMITE]]&lt;TODAY()),TODAY()-Tableau6[[#This Row],[DATE LIMITE]],0)</f>
        <v>0</v>
      </c>
      <c r="V18"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8" s="23">
        <f>SUMIF(Tableau3[FACTURE],Tableau6[[#This Row],[NUM DE FACTURE]],Tableau3[MONTANT TTC])</f>
        <v>1652000</v>
      </c>
      <c r="X18" s="7"/>
      <c r="Y18" s="156">
        <f>+Tableau6[[#This Row],[NET A PAYER]]-Tableau6[[#This Row],[MONTANT PAYE]]</f>
        <v>0</v>
      </c>
      <c r="Z18"/>
    </row>
    <row r="19" spans="1:26" ht="10.050000000000001" customHeight="1" x14ac:dyDescent="0.2">
      <c r="A19" t="s">
        <v>100</v>
      </c>
      <c r="B19" s="3">
        <v>45680</v>
      </c>
      <c r="C19" s="7">
        <v>45680</v>
      </c>
      <c r="D19" s="351">
        <v>222</v>
      </c>
      <c r="E19" s="11" t="s">
        <v>138</v>
      </c>
      <c r="F19" s="2" t="s">
        <v>109</v>
      </c>
      <c r="G19" s="11" t="s">
        <v>200</v>
      </c>
      <c r="H19" s="2" t="s">
        <v>116</v>
      </c>
      <c r="I19" s="155"/>
      <c r="J19" s="233">
        <v>3800000</v>
      </c>
      <c r="K19" s="155">
        <f>+Tableau6[[#This Row],[MONTANT HT BIEN]]+Tableau6[[#This Row],[MONTANT HT SERVICE]]</f>
        <v>3800000</v>
      </c>
      <c r="L19" s="153">
        <v>0</v>
      </c>
      <c r="M19" s="153">
        <f>+IFERROR(IF(Tableau6[[#This Row],[CODE TVA]]="TVAF",Tableau6[[#This Row],[MONTANT HT]]*0.18,0),0)</f>
        <v>684000</v>
      </c>
      <c r="N19" s="153">
        <f>Tableau6[[#This Row],[MONTANT HT]]+Tableau6[[#This Row],[TVA]]-Tableau6[[#This Row],[ACOMPTE SUR HT]]</f>
        <v>4484000</v>
      </c>
      <c r="O19" s="153"/>
      <c r="P19" s="153">
        <f>+ROUND(Tableau6[[#This Row],[MONTANT TTC]]-Tableau6[[#This Row],[ACOMPTE SUR TTC]],0)</f>
        <v>4484000</v>
      </c>
      <c r="Q19" s="11" t="s">
        <v>497</v>
      </c>
      <c r="R19" s="5">
        <f>IFERROR(INDEX(Tableau2[[ID BC UNIQUE]:[MONTANT HT VALIDE]],MATCH(Tableau6[[#This Row],[N° BC]],Tableau2[ID BC UNIQUE],0),6),0)</f>
        <v>3800000</v>
      </c>
      <c r="S19" s="25">
        <f>IFERROR(INDEX(Tableau2[[DATE]:[DELAIS DE PAIEMENT FACTURES EN JOUR]],MATCH(Tableau6[[#This Row],[N° BC]],Tableau2[ID BC UNIQUE],0),5),0)</f>
        <v>30</v>
      </c>
      <c r="T19" s="7">
        <f>IF(ISBLANK(Tableau6[[#This Row],[DATE DE DEPOT]]),"",Tableau6[[#This Row],[DATE DE DEPOT]]+Tableau6[[#This Row],[DELAI]])</f>
        <v>45710</v>
      </c>
      <c r="U19" s="25">
        <f ca="1">+IF(AND(W19=0,Tableau6[[#This Row],[DATE LIMITE]]&lt;TODAY()),TODAY()-Tableau6[[#This Row],[DATE LIMITE]],0)</f>
        <v>0</v>
      </c>
      <c r="V19"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9" s="23">
        <f>SUMIF(Tableau3[FACTURE],Tableau6[[#This Row],[NUM DE FACTURE]],Tableau3[MONTANT TTC])</f>
        <v>4484000</v>
      </c>
      <c r="X19" s="7"/>
      <c r="Y19" s="156">
        <f>+Tableau6[[#This Row],[NET A PAYER]]-Tableau6[[#This Row],[MONTANT PAYE]]</f>
        <v>0</v>
      </c>
      <c r="Z19"/>
    </row>
    <row r="20" spans="1:26" ht="10.050000000000001" customHeight="1" x14ac:dyDescent="0.2">
      <c r="A20" t="s">
        <v>100</v>
      </c>
      <c r="B20" s="3">
        <v>45680</v>
      </c>
      <c r="C20" s="7">
        <v>45680</v>
      </c>
      <c r="D20" s="351">
        <v>224</v>
      </c>
      <c r="E20" s="11" t="s">
        <v>138</v>
      </c>
      <c r="F20" s="2" t="s">
        <v>109</v>
      </c>
      <c r="G20" s="11" t="s">
        <v>200</v>
      </c>
      <c r="H20" s="2" t="s">
        <v>116</v>
      </c>
      <c r="I20" s="155"/>
      <c r="J20" s="233">
        <v>2700000</v>
      </c>
      <c r="K20" s="155">
        <f>+Tableau6[[#This Row],[MONTANT HT BIEN]]+Tableau6[[#This Row],[MONTANT HT SERVICE]]</f>
        <v>2700000</v>
      </c>
      <c r="L20" s="153">
        <v>0</v>
      </c>
      <c r="M20" s="153">
        <f>+IFERROR(IF(Tableau6[[#This Row],[CODE TVA]]="TVAF",Tableau6[[#This Row],[MONTANT HT]]*0.18,0),0)</f>
        <v>486000</v>
      </c>
      <c r="N20" s="153">
        <f>Tableau6[[#This Row],[MONTANT HT]]+Tableau6[[#This Row],[TVA]]-Tableau6[[#This Row],[ACOMPTE SUR HT]]</f>
        <v>3186000</v>
      </c>
      <c r="O20" s="153"/>
      <c r="P20" s="153">
        <f>+ROUND(Tableau6[[#This Row],[MONTANT TTC]]-Tableau6[[#This Row],[ACOMPTE SUR TTC]],0)</f>
        <v>3186000</v>
      </c>
      <c r="Q20" s="11" t="s">
        <v>498</v>
      </c>
      <c r="R20" s="5">
        <f>IFERROR(INDEX(Tableau2[[ID BC UNIQUE]:[MONTANT HT VALIDE]],MATCH(Tableau6[[#This Row],[N° BC]],Tableau2[ID BC UNIQUE],0),6),0)</f>
        <v>2700000</v>
      </c>
      <c r="S20" s="25">
        <f>IFERROR(INDEX(Tableau2[[DATE]:[DELAIS DE PAIEMENT FACTURES EN JOUR]],MATCH(Tableau6[[#This Row],[N° BC]],Tableau2[ID BC UNIQUE],0),5),0)</f>
        <v>30</v>
      </c>
      <c r="T20" s="7">
        <f>IF(ISBLANK(Tableau6[[#This Row],[DATE DE DEPOT]]),"",Tableau6[[#This Row],[DATE DE DEPOT]]+Tableau6[[#This Row],[DELAI]])</f>
        <v>45710</v>
      </c>
      <c r="U20" s="25">
        <f ca="1">+IF(AND(W20=0,Tableau6[[#This Row],[DATE LIMITE]]&lt;TODAY()),TODAY()-Tableau6[[#This Row],[DATE LIMITE]],0)</f>
        <v>0</v>
      </c>
      <c r="V20"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0" s="23">
        <f>SUMIF(Tableau3[FACTURE],Tableau6[[#This Row],[NUM DE FACTURE]],Tableau3[MONTANT TTC])</f>
        <v>3186000</v>
      </c>
      <c r="X20" s="7"/>
      <c r="Y20" s="156">
        <f>+Tableau6[[#This Row],[NET A PAYER]]-Tableau6[[#This Row],[MONTANT PAYE]]</f>
        <v>0</v>
      </c>
      <c r="Z20"/>
    </row>
    <row r="21" spans="1:26" ht="10.050000000000001" customHeight="1" x14ac:dyDescent="0.2">
      <c r="A21" t="s">
        <v>100</v>
      </c>
      <c r="B21" s="3">
        <v>45680</v>
      </c>
      <c r="C21" s="7">
        <v>45680</v>
      </c>
      <c r="D21" s="351">
        <v>225</v>
      </c>
      <c r="E21" s="11" t="s">
        <v>138</v>
      </c>
      <c r="F21" s="2" t="s">
        <v>109</v>
      </c>
      <c r="G21" s="11" t="s">
        <v>200</v>
      </c>
      <c r="H21" s="2" t="s">
        <v>116</v>
      </c>
      <c r="I21" s="155"/>
      <c r="J21" s="233">
        <v>3500000</v>
      </c>
      <c r="K21" s="155">
        <f>+Tableau6[[#This Row],[MONTANT HT BIEN]]+Tableau6[[#This Row],[MONTANT HT SERVICE]]</f>
        <v>3500000</v>
      </c>
      <c r="L21" s="153">
        <v>0</v>
      </c>
      <c r="M21" s="153">
        <f>+IFERROR(IF(Tableau6[[#This Row],[CODE TVA]]="TVAF",Tableau6[[#This Row],[MONTANT HT]]*0.18,0),0)</f>
        <v>630000</v>
      </c>
      <c r="N21" s="153">
        <f>Tableau6[[#This Row],[MONTANT HT]]+Tableau6[[#This Row],[TVA]]-Tableau6[[#This Row],[ACOMPTE SUR HT]]</f>
        <v>4130000</v>
      </c>
      <c r="O21" s="153"/>
      <c r="P21" s="153">
        <f>+ROUND(Tableau6[[#This Row],[MONTANT TTC]]-Tableau6[[#This Row],[ACOMPTE SUR TTC]],0)</f>
        <v>4130000</v>
      </c>
      <c r="Q21" s="11" t="s">
        <v>499</v>
      </c>
      <c r="R21" s="5">
        <f>IFERROR(INDEX(Tableau2[[ID BC UNIQUE]:[MONTANT HT VALIDE]],MATCH(Tableau6[[#This Row],[N° BC]],Tableau2[ID BC UNIQUE],0),6),0)</f>
        <v>3500000</v>
      </c>
      <c r="S21" s="25">
        <f>IFERROR(INDEX(Tableau2[[DATE]:[DELAIS DE PAIEMENT FACTURES EN JOUR]],MATCH(Tableau6[[#This Row],[N° BC]],Tableau2[ID BC UNIQUE],0),5),0)</f>
        <v>30</v>
      </c>
      <c r="T21" s="7">
        <f>IF(ISBLANK(Tableau6[[#This Row],[DATE DE DEPOT]]),"",Tableau6[[#This Row],[DATE DE DEPOT]]+Tableau6[[#This Row],[DELAI]])</f>
        <v>45710</v>
      </c>
      <c r="U21" s="25">
        <f ca="1">+IF(AND(W21=0,Tableau6[[#This Row],[DATE LIMITE]]&lt;TODAY()),TODAY()-Tableau6[[#This Row],[DATE LIMITE]],0)</f>
        <v>0</v>
      </c>
      <c r="V21"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1" s="23">
        <f>SUMIF(Tableau3[FACTURE],Tableau6[[#This Row],[NUM DE FACTURE]],Tableau3[MONTANT TTC])</f>
        <v>4130000</v>
      </c>
      <c r="X21" s="7"/>
      <c r="Y21" s="156">
        <f>+Tableau6[[#This Row],[NET A PAYER]]-Tableau6[[#This Row],[MONTANT PAYE]]</f>
        <v>0</v>
      </c>
      <c r="Z21"/>
    </row>
    <row r="22" spans="1:26" ht="10.050000000000001" customHeight="1" x14ac:dyDescent="0.2">
      <c r="A22" t="s">
        <v>100</v>
      </c>
      <c r="B22" s="3">
        <v>45680</v>
      </c>
      <c r="C22" s="44">
        <v>45680</v>
      </c>
      <c r="D22" s="351">
        <v>226</v>
      </c>
      <c r="E22" s="11" t="s">
        <v>138</v>
      </c>
      <c r="F22" s="2" t="s">
        <v>109</v>
      </c>
      <c r="G22" s="11" t="s">
        <v>200</v>
      </c>
      <c r="H22" s="2" t="s">
        <v>116</v>
      </c>
      <c r="I22" s="168"/>
      <c r="J22" s="234">
        <v>650000</v>
      </c>
      <c r="K22" s="168">
        <f>+Tableau6[[#This Row],[MONTANT HT BIEN]]+Tableau6[[#This Row],[MONTANT HT SERVICE]]</f>
        <v>650000</v>
      </c>
      <c r="L22" s="169">
        <v>0</v>
      </c>
      <c r="M22" s="169">
        <f>+IFERROR(IF(Tableau6[[#This Row],[CODE TVA]]="TVAF",Tableau6[[#This Row],[MONTANT HT]]*0.18,0),0)</f>
        <v>117000</v>
      </c>
      <c r="N22" s="169">
        <f>Tableau6[[#This Row],[MONTANT HT]]+Tableau6[[#This Row],[TVA]]-Tableau6[[#This Row],[ACOMPTE SUR HT]]</f>
        <v>767000</v>
      </c>
      <c r="O22" s="169"/>
      <c r="P22" s="169">
        <f>+ROUND(Tableau6[[#This Row],[MONTANT TTC]]-Tableau6[[#This Row],[ACOMPTE SUR TTC]],0)</f>
        <v>767000</v>
      </c>
      <c r="Q22" s="47" t="s">
        <v>500</v>
      </c>
      <c r="R22" s="46">
        <f>IFERROR(INDEX(Tableau2[[ID BC UNIQUE]:[MONTANT HT VALIDE]],MATCH(Tableau6[[#This Row],[N° BC]],Tableau2[ID BC UNIQUE],0),6),0)</f>
        <v>650000</v>
      </c>
      <c r="S22" s="48">
        <f>IFERROR(INDEX(Tableau2[[DATE]:[DELAIS DE PAIEMENT FACTURES EN JOUR]],MATCH(Tableau6[[#This Row],[N° BC]],Tableau2[ID BC UNIQUE],0),5),0)</f>
        <v>30</v>
      </c>
      <c r="T22" s="7">
        <f>IF(ISBLANK(Tableau6[[#This Row],[DATE DE DEPOT]]),"",Tableau6[[#This Row],[DATE DE DEPOT]]+Tableau6[[#This Row],[DELAI]])</f>
        <v>45710</v>
      </c>
      <c r="U22" s="25">
        <f ca="1">+IF(AND(W22=0,Tableau6[[#This Row],[DATE LIMITE]]&lt;TODAY()),TODAY()-Tableau6[[#This Row],[DATE LIMITE]],0)</f>
        <v>0</v>
      </c>
      <c r="V22" s="4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2" s="49">
        <f>SUMIF(Tableau3[FACTURE],Tableau6[[#This Row],[NUM DE FACTURE]],Tableau3[MONTANT TTC])</f>
        <v>767000</v>
      </c>
      <c r="X22" s="44"/>
      <c r="Y22" s="157">
        <f>+Tableau6[[#This Row],[NET A PAYER]]-Tableau6[[#This Row],[MONTANT PAYE]]</f>
        <v>0</v>
      </c>
      <c r="Z22" s="50"/>
    </row>
    <row r="23" spans="1:26" ht="10.050000000000001" customHeight="1" x14ac:dyDescent="0.2">
      <c r="A23" t="s">
        <v>100</v>
      </c>
      <c r="B23" s="3">
        <v>45680</v>
      </c>
      <c r="C23" s="7">
        <v>45680</v>
      </c>
      <c r="D23" s="351">
        <v>227</v>
      </c>
      <c r="E23" s="11" t="s">
        <v>138</v>
      </c>
      <c r="F23" s="2" t="s">
        <v>109</v>
      </c>
      <c r="G23" s="11" t="s">
        <v>171</v>
      </c>
      <c r="H23" s="2" t="s">
        <v>116</v>
      </c>
      <c r="I23" s="155"/>
      <c r="J23" s="233">
        <v>1980000</v>
      </c>
      <c r="K23" s="155">
        <f>+Tableau6[[#This Row],[MONTANT HT BIEN]]+Tableau6[[#This Row],[MONTANT HT SERVICE]]</f>
        <v>1980000</v>
      </c>
      <c r="L23" s="153">
        <v>0</v>
      </c>
      <c r="M23" s="153">
        <f>+IFERROR(IF(Tableau6[[#This Row],[CODE TVA]]="TVAF",Tableau6[[#This Row],[MONTANT HT]]*0.18,0),0)</f>
        <v>356400</v>
      </c>
      <c r="N23" s="153">
        <f>Tableau6[[#This Row],[MONTANT HT]]+Tableau6[[#This Row],[TVA]]-Tableau6[[#This Row],[ACOMPTE SUR HT]]</f>
        <v>2336400</v>
      </c>
      <c r="O23" s="153"/>
      <c r="P23" s="153">
        <f>+ROUND(Tableau6[[#This Row],[MONTANT TTC]]-Tableau6[[#This Row],[ACOMPTE SUR TTC]],0)</f>
        <v>2336400</v>
      </c>
      <c r="Q23" s="2" t="s">
        <v>501</v>
      </c>
      <c r="R23" s="5">
        <f>IFERROR(INDEX(Tableau2[[ID BC UNIQUE]:[MONTANT HT VALIDE]],MATCH(Tableau6[[#This Row],[N° BC]],Tableau2[ID BC UNIQUE],0),6),0)</f>
        <v>1980000</v>
      </c>
      <c r="S23" s="25">
        <f>IFERROR(INDEX(Tableau2[[DATE]:[DELAIS DE PAIEMENT FACTURES EN JOUR]],MATCH(Tableau6[[#This Row],[N° BC]],Tableau2[ID BC UNIQUE],0),5),0)</f>
        <v>30</v>
      </c>
      <c r="T23" s="7">
        <f>IF(ISBLANK(Tableau6[[#This Row],[DATE DE DEPOT]]),"",Tableau6[[#This Row],[DATE DE DEPOT]]+Tableau6[[#This Row],[DELAI]])</f>
        <v>45710</v>
      </c>
      <c r="U23" s="25">
        <f ca="1">+IF(AND(W23=0,Tableau6[[#This Row],[DATE LIMITE]]&lt;TODAY()),TODAY()-Tableau6[[#This Row],[DATE LIMITE]],0)</f>
        <v>0</v>
      </c>
      <c r="V23"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3" s="23">
        <f>SUMIF(Tableau3[FACTURE],Tableau6[[#This Row],[NUM DE FACTURE]],Tableau3[MONTANT TTC])</f>
        <v>2336400</v>
      </c>
      <c r="X23" s="7"/>
      <c r="Y23" s="156">
        <f>+Tableau6[[#This Row],[NET A PAYER]]-Tableau6[[#This Row],[MONTANT PAYE]]</f>
        <v>0</v>
      </c>
      <c r="Z23"/>
    </row>
    <row r="24" spans="1:26" ht="10.050000000000001" customHeight="1" x14ac:dyDescent="0.2">
      <c r="A24" t="s">
        <v>100</v>
      </c>
      <c r="B24" s="3">
        <v>45680</v>
      </c>
      <c r="C24" s="7">
        <v>45680</v>
      </c>
      <c r="D24" s="351">
        <v>228</v>
      </c>
      <c r="E24" s="11" t="s">
        <v>138</v>
      </c>
      <c r="F24" s="2" t="s">
        <v>109</v>
      </c>
      <c r="G24" s="11" t="s">
        <v>171</v>
      </c>
      <c r="H24" s="2" t="s">
        <v>116</v>
      </c>
      <c r="I24" s="155"/>
      <c r="J24" s="233">
        <v>330000</v>
      </c>
      <c r="K24" s="155">
        <f>+Tableau6[[#This Row],[MONTANT HT BIEN]]+Tableau6[[#This Row],[MONTANT HT SERVICE]]</f>
        <v>330000</v>
      </c>
      <c r="L24" s="153">
        <v>0</v>
      </c>
      <c r="M24" s="153">
        <f>+IFERROR(IF(Tableau6[[#This Row],[CODE TVA]]="TVAF",Tableau6[[#This Row],[MONTANT HT]]*0.18,0),0)</f>
        <v>59400</v>
      </c>
      <c r="N24" s="153">
        <f>Tableau6[[#This Row],[MONTANT HT]]+Tableau6[[#This Row],[TVA]]-Tableau6[[#This Row],[ACOMPTE SUR HT]]</f>
        <v>389400</v>
      </c>
      <c r="O24" s="176"/>
      <c r="P24" s="153">
        <f>+ROUND(Tableau6[[#This Row],[MONTANT TTC]]-Tableau6[[#This Row],[ACOMPTE SUR TTC]],0)</f>
        <v>389400</v>
      </c>
      <c r="Q24" s="11" t="s">
        <v>502</v>
      </c>
      <c r="R24" s="5">
        <f>IFERROR(INDEX(Tableau2[[ID BC UNIQUE]:[MONTANT HT VALIDE]],MATCH(Tableau6[[#This Row],[N° BC]],Tableau2[ID BC UNIQUE],0),6),0)</f>
        <v>330000</v>
      </c>
      <c r="S24" s="25">
        <f>IFERROR(INDEX(Tableau2[[DATE]:[DELAIS DE PAIEMENT FACTURES EN JOUR]],MATCH(Tableau6[[#This Row],[N° BC]],Tableau2[ID BC UNIQUE],0),5),0)</f>
        <v>30</v>
      </c>
      <c r="T24" s="7">
        <f>IF(ISBLANK(Tableau6[[#This Row],[DATE DE DEPOT]]),"",Tableau6[[#This Row],[DATE DE DEPOT]]+Tableau6[[#This Row],[DELAI]])</f>
        <v>45710</v>
      </c>
      <c r="U24" s="25">
        <f ca="1">+IF(AND(W24=0,Tableau6[[#This Row],[DATE LIMITE]]&lt;TODAY()),TODAY()-Tableau6[[#This Row],[DATE LIMITE]],0)</f>
        <v>0</v>
      </c>
      <c r="V24"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4" s="23">
        <f>SUMIF(Tableau3[FACTURE],Tableau6[[#This Row],[NUM DE FACTURE]],Tableau3[MONTANT TTC])</f>
        <v>389400</v>
      </c>
      <c r="X24" s="7"/>
      <c r="Y24" s="156">
        <f>+Tableau6[[#This Row],[NET A PAYER]]-Tableau6[[#This Row],[MONTANT PAYE]]</f>
        <v>0</v>
      </c>
      <c r="Z24"/>
    </row>
    <row r="25" spans="1:26" ht="10.050000000000001" customHeight="1" x14ac:dyDescent="0.2">
      <c r="A25" t="s">
        <v>100</v>
      </c>
      <c r="B25" s="3">
        <v>45680</v>
      </c>
      <c r="C25" s="7">
        <v>45680</v>
      </c>
      <c r="D25" s="351">
        <v>229</v>
      </c>
      <c r="E25" s="11" t="s">
        <v>138</v>
      </c>
      <c r="F25" s="2" t="s">
        <v>109</v>
      </c>
      <c r="G25" s="11" t="s">
        <v>171</v>
      </c>
      <c r="H25" s="2" t="s">
        <v>116</v>
      </c>
      <c r="I25" s="155"/>
      <c r="J25" s="233">
        <v>3400000</v>
      </c>
      <c r="K25" s="155">
        <f>+Tableau6[[#This Row],[MONTANT HT BIEN]]+Tableau6[[#This Row],[MONTANT HT SERVICE]]</f>
        <v>3400000</v>
      </c>
      <c r="L25" s="153">
        <v>0</v>
      </c>
      <c r="M25" s="153">
        <f>+IFERROR(IF(Tableau6[[#This Row],[CODE TVA]]="TVAF",Tableau6[[#This Row],[MONTANT HT]]*0.18,0),0)</f>
        <v>612000</v>
      </c>
      <c r="N25" s="153">
        <f>Tableau6[[#This Row],[MONTANT HT]]+Tableau6[[#This Row],[TVA]]-Tableau6[[#This Row],[ACOMPTE SUR HT]]</f>
        <v>4012000</v>
      </c>
      <c r="O25" s="153"/>
      <c r="P25" s="153">
        <f>+ROUND(Tableau6[[#This Row],[MONTANT TTC]]-Tableau6[[#This Row],[ACOMPTE SUR TTC]],0)</f>
        <v>4012000</v>
      </c>
      <c r="Q25" s="2" t="s">
        <v>503</v>
      </c>
      <c r="R25" s="5">
        <f>IFERROR(INDEX(Tableau2[[ID BC UNIQUE]:[MONTANT HT VALIDE]],MATCH(Tableau6[[#This Row],[N° BC]],Tableau2[ID BC UNIQUE],0),6),0)</f>
        <v>3400000</v>
      </c>
      <c r="S25" s="25">
        <f>IFERROR(INDEX(Tableau2[[DATE]:[DELAIS DE PAIEMENT FACTURES EN JOUR]],MATCH(Tableau6[[#This Row],[N° BC]],Tableau2[ID BC UNIQUE],0),5),0)</f>
        <v>30</v>
      </c>
      <c r="T25" s="7">
        <f>IF(ISBLANK(Tableau6[[#This Row],[DATE DE DEPOT]]),"",Tableau6[[#This Row],[DATE DE DEPOT]]+Tableau6[[#This Row],[DELAI]])</f>
        <v>45710</v>
      </c>
      <c r="U25" s="25">
        <f ca="1">+IF(AND(W25=0,Tableau6[[#This Row],[DATE LIMITE]]&lt;TODAY()),TODAY()-Tableau6[[#This Row],[DATE LIMITE]],0)</f>
        <v>0</v>
      </c>
      <c r="V25"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5" s="23">
        <f>SUMIF(Tableau3[FACTURE],Tableau6[[#This Row],[NUM DE FACTURE]],Tableau3[MONTANT TTC])</f>
        <v>4012000</v>
      </c>
      <c r="X25" s="7"/>
      <c r="Y25" s="156">
        <f>+Tableau6[[#This Row],[NET A PAYER]]-Tableau6[[#This Row],[MONTANT PAYE]]</f>
        <v>0</v>
      </c>
      <c r="Z25"/>
    </row>
    <row r="26" spans="1:26" ht="10.050000000000001" customHeight="1" x14ac:dyDescent="0.2">
      <c r="A26" t="s">
        <v>100</v>
      </c>
      <c r="B26" s="3">
        <v>45680</v>
      </c>
      <c r="C26" s="7">
        <v>45680</v>
      </c>
      <c r="D26" s="351">
        <v>231</v>
      </c>
      <c r="E26" s="11" t="s">
        <v>138</v>
      </c>
      <c r="F26" s="2" t="s">
        <v>109</v>
      </c>
      <c r="G26" s="11" t="s">
        <v>171</v>
      </c>
      <c r="H26" s="2" t="s">
        <v>116</v>
      </c>
      <c r="I26" s="155"/>
      <c r="J26" s="233">
        <v>1000000</v>
      </c>
      <c r="K26" s="155">
        <f>+Tableau6[[#This Row],[MONTANT HT BIEN]]+Tableau6[[#This Row],[MONTANT HT SERVICE]]</f>
        <v>1000000</v>
      </c>
      <c r="L26" s="153">
        <v>0</v>
      </c>
      <c r="M26" s="153">
        <f>+IFERROR(IF(Tableau6[[#This Row],[CODE TVA]]="TVAF",Tableau6[[#This Row],[MONTANT HT]]*0.18,0),0)</f>
        <v>180000</v>
      </c>
      <c r="N26" s="153">
        <f>Tableau6[[#This Row],[MONTANT HT]]+Tableau6[[#This Row],[TVA]]-Tableau6[[#This Row],[ACOMPTE SUR HT]]</f>
        <v>1180000</v>
      </c>
      <c r="O26" s="176"/>
      <c r="P26" s="153">
        <f>+ROUND(Tableau6[[#This Row],[MONTANT TTC]]-Tableau6[[#This Row],[ACOMPTE SUR TTC]],0)</f>
        <v>1180000</v>
      </c>
      <c r="Q26" s="11" t="s">
        <v>504</v>
      </c>
      <c r="R26" s="5">
        <f>IFERROR(INDEX(Tableau2[[ID BC UNIQUE]:[MONTANT HT VALIDE]],MATCH(Tableau6[[#This Row],[N° BC]],Tableau2[ID BC UNIQUE],0),6),0)</f>
        <v>1000000</v>
      </c>
      <c r="S26" s="25">
        <f>IFERROR(INDEX(Tableau2[[DATE]:[DELAIS DE PAIEMENT FACTURES EN JOUR]],MATCH(Tableau6[[#This Row],[N° BC]],Tableau2[ID BC UNIQUE],0),5),0)</f>
        <v>30</v>
      </c>
      <c r="T26" s="7">
        <f>IF(ISBLANK(Tableau6[[#This Row],[DATE DE DEPOT]]),"",Tableau6[[#This Row],[DATE DE DEPOT]]+Tableau6[[#This Row],[DELAI]])</f>
        <v>45710</v>
      </c>
      <c r="U26" s="25">
        <f ca="1">+IF(AND(W26=0,Tableau6[[#This Row],[DATE LIMITE]]&lt;TODAY()),TODAY()-Tableau6[[#This Row],[DATE LIMITE]],0)</f>
        <v>0</v>
      </c>
      <c r="V26"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6" s="23">
        <f>SUMIF(Tableau3[FACTURE],Tableau6[[#This Row],[NUM DE FACTURE]],Tableau3[MONTANT TTC])</f>
        <v>1180000</v>
      </c>
      <c r="X26" s="7"/>
      <c r="Y26" s="156">
        <f>+Tableau6[[#This Row],[NET A PAYER]]-Tableau6[[#This Row],[MONTANT PAYE]]</f>
        <v>0</v>
      </c>
      <c r="Z26"/>
    </row>
    <row r="27" spans="1:26" ht="10.050000000000001" customHeight="1" x14ac:dyDescent="0.2">
      <c r="A27" t="s">
        <v>100</v>
      </c>
      <c r="B27" s="3">
        <v>45680</v>
      </c>
      <c r="C27" s="7">
        <v>45680</v>
      </c>
      <c r="D27" s="351">
        <v>232</v>
      </c>
      <c r="E27" s="11" t="s">
        <v>138</v>
      </c>
      <c r="F27" s="2" t="s">
        <v>109</v>
      </c>
      <c r="G27" s="11" t="s">
        <v>167</v>
      </c>
      <c r="H27" s="2" t="s">
        <v>116</v>
      </c>
      <c r="I27" s="155"/>
      <c r="J27" s="233">
        <v>1875000</v>
      </c>
      <c r="K27" s="155">
        <f>+Tableau6[[#This Row],[MONTANT HT BIEN]]+Tableau6[[#This Row],[MONTANT HT SERVICE]]</f>
        <v>1875000</v>
      </c>
      <c r="L27" s="153">
        <v>0</v>
      </c>
      <c r="M27" s="153">
        <f>+IFERROR(IF(Tableau6[[#This Row],[CODE TVA]]="TVAF",Tableau6[[#This Row],[MONTANT HT]]*0.18,0),0)</f>
        <v>337500</v>
      </c>
      <c r="N27" s="153">
        <f>Tableau6[[#This Row],[MONTANT HT]]+Tableau6[[#This Row],[TVA]]-Tableau6[[#This Row],[ACOMPTE SUR HT]]</f>
        <v>2212500</v>
      </c>
      <c r="O27" s="153"/>
      <c r="P27" s="153">
        <f>+ROUND(Tableau6[[#This Row],[MONTANT TTC]]-Tableau6[[#This Row],[ACOMPTE SUR TTC]],0)</f>
        <v>2212500</v>
      </c>
      <c r="Q27" s="8" t="s">
        <v>505</v>
      </c>
      <c r="R27" s="5">
        <f>IFERROR(INDEX(Tableau2[[ID BC UNIQUE]:[MONTANT HT VALIDE]],MATCH(Tableau6[[#This Row],[N° BC]],Tableau2[ID BC UNIQUE],0),6),0)</f>
        <v>1875000</v>
      </c>
      <c r="S27" s="25">
        <f>IFERROR(INDEX(Tableau2[[DATE]:[DELAIS DE PAIEMENT FACTURES EN JOUR]],MATCH(Tableau6[[#This Row],[N° BC]],Tableau2[ID BC UNIQUE],0),5),0)</f>
        <v>30</v>
      </c>
      <c r="T27" s="7">
        <f>IF(ISBLANK(Tableau6[[#This Row],[DATE DE DEPOT]]),"",Tableau6[[#This Row],[DATE DE DEPOT]]+Tableau6[[#This Row],[DELAI]])</f>
        <v>45710</v>
      </c>
      <c r="U27" s="25">
        <f ca="1">+IF(AND(W27=0,Tableau6[[#This Row],[DATE LIMITE]]&lt;TODAY()),TODAY()-Tableau6[[#This Row],[DATE LIMITE]],0)</f>
        <v>0</v>
      </c>
      <c r="V27"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7" s="23">
        <f>SUMIF(Tableau3[FACTURE],Tableau6[[#This Row],[NUM DE FACTURE]],Tableau3[MONTANT TTC])</f>
        <v>2212500</v>
      </c>
      <c r="X27" s="7"/>
      <c r="Y27" s="156">
        <f>+Tableau6[[#This Row],[NET A PAYER]]-Tableau6[[#This Row],[MONTANT PAYE]]</f>
        <v>0</v>
      </c>
      <c r="Z27"/>
    </row>
    <row r="28" spans="1:26" ht="10.050000000000001" customHeight="1" x14ac:dyDescent="0.2">
      <c r="A28" t="s">
        <v>100</v>
      </c>
      <c r="B28" s="3">
        <v>45680</v>
      </c>
      <c r="C28" s="7">
        <v>45680</v>
      </c>
      <c r="D28" s="351">
        <v>233</v>
      </c>
      <c r="E28" s="11" t="s">
        <v>138</v>
      </c>
      <c r="F28" s="2" t="s">
        <v>109</v>
      </c>
      <c r="G28" s="11" t="s">
        <v>165</v>
      </c>
      <c r="H28" s="2" t="s">
        <v>116</v>
      </c>
      <c r="I28" s="155"/>
      <c r="J28" s="233">
        <v>3800000</v>
      </c>
      <c r="K28" s="155">
        <f>+Tableau6[[#This Row],[MONTANT HT BIEN]]+Tableau6[[#This Row],[MONTANT HT SERVICE]]</f>
        <v>3800000</v>
      </c>
      <c r="L28" s="153">
        <v>0</v>
      </c>
      <c r="M28" s="153">
        <f>+IFERROR(IF(Tableau6[[#This Row],[CODE TVA]]="TVAF",Tableau6[[#This Row],[MONTANT HT]]*0.18,0),0)</f>
        <v>684000</v>
      </c>
      <c r="N28" s="153">
        <f>Tableau6[[#This Row],[MONTANT HT]]+Tableau6[[#This Row],[TVA]]-Tableau6[[#This Row],[ACOMPTE SUR HT]]</f>
        <v>4484000</v>
      </c>
      <c r="O28" s="153"/>
      <c r="P28" s="153">
        <f>+ROUND(Tableau6[[#This Row],[MONTANT TTC]]-Tableau6[[#This Row],[ACOMPTE SUR TTC]],0)</f>
        <v>4484000</v>
      </c>
      <c r="Q28" s="11" t="s">
        <v>506</v>
      </c>
      <c r="R28" s="5">
        <f>IFERROR(INDEX(Tableau2[[ID BC UNIQUE]:[MONTANT HT VALIDE]],MATCH(Tableau6[[#This Row],[N° BC]],Tableau2[ID BC UNIQUE],0),6),0)</f>
        <v>3800000</v>
      </c>
      <c r="S28" s="25">
        <f>IFERROR(INDEX(Tableau2[[DATE]:[DELAIS DE PAIEMENT FACTURES EN JOUR]],MATCH(Tableau6[[#This Row],[N° BC]],Tableau2[ID BC UNIQUE],0),5),0)</f>
        <v>30</v>
      </c>
      <c r="T28" s="7">
        <f>IF(ISBLANK(Tableau6[[#This Row],[DATE DE DEPOT]]),"",Tableau6[[#This Row],[DATE DE DEPOT]]+Tableau6[[#This Row],[DELAI]])</f>
        <v>45710</v>
      </c>
      <c r="U28" s="25">
        <f ca="1">+IF(AND(W28=0,Tableau6[[#This Row],[DATE LIMITE]]&lt;TODAY()),TODAY()-Tableau6[[#This Row],[DATE LIMITE]],0)</f>
        <v>0</v>
      </c>
      <c r="V28"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8" s="23">
        <f>SUMIF(Tableau3[FACTURE],Tableau6[[#This Row],[NUM DE FACTURE]],Tableau3[MONTANT TTC])</f>
        <v>4484000</v>
      </c>
      <c r="X28" s="7"/>
      <c r="Y28" s="156">
        <f>+Tableau6[[#This Row],[NET A PAYER]]-Tableau6[[#This Row],[MONTANT PAYE]]</f>
        <v>0</v>
      </c>
      <c r="Z28"/>
    </row>
    <row r="29" spans="1:26" ht="10.050000000000001" customHeight="1" x14ac:dyDescent="0.2">
      <c r="A29" t="s">
        <v>100</v>
      </c>
      <c r="B29" s="3">
        <v>45680</v>
      </c>
      <c r="C29" s="7">
        <v>45680</v>
      </c>
      <c r="D29" s="351">
        <v>234</v>
      </c>
      <c r="E29" s="11" t="s">
        <v>138</v>
      </c>
      <c r="F29" s="2" t="s">
        <v>109</v>
      </c>
      <c r="G29" s="11" t="s">
        <v>165</v>
      </c>
      <c r="H29" s="2" t="s">
        <v>116</v>
      </c>
      <c r="I29" s="155"/>
      <c r="J29" s="233">
        <v>360000</v>
      </c>
      <c r="K29" s="155">
        <f>+Tableau6[[#This Row],[MONTANT HT BIEN]]+Tableau6[[#This Row],[MONTANT HT SERVICE]]</f>
        <v>360000</v>
      </c>
      <c r="L29" s="153">
        <v>0</v>
      </c>
      <c r="M29" s="153">
        <f>+IFERROR(IF(Tableau6[[#This Row],[CODE TVA]]="TVAF",Tableau6[[#This Row],[MONTANT HT]]*0.18,0),0)</f>
        <v>64800</v>
      </c>
      <c r="N29" s="153">
        <f>Tableau6[[#This Row],[MONTANT HT]]+Tableau6[[#This Row],[TVA]]-Tableau6[[#This Row],[ACOMPTE SUR HT]]</f>
        <v>424800</v>
      </c>
      <c r="O29" s="153"/>
      <c r="P29" s="153">
        <f>+ROUND(Tableau6[[#This Row],[MONTANT TTC]]-Tableau6[[#This Row],[ACOMPTE SUR TTC]],0)</f>
        <v>424800</v>
      </c>
      <c r="Q29" s="11" t="s">
        <v>482</v>
      </c>
      <c r="R29" s="5">
        <f>IFERROR(INDEX(Tableau2[[ID BC UNIQUE]:[MONTANT HT VALIDE]],MATCH(Tableau6[[#This Row],[N° BC]],Tableau2[ID BC UNIQUE],0),6),0)</f>
        <v>360000</v>
      </c>
      <c r="S29" s="25">
        <f>IFERROR(INDEX(Tableau2[[DATE]:[DELAIS DE PAIEMENT FACTURES EN JOUR]],MATCH(Tableau6[[#This Row],[N° BC]],Tableau2[ID BC UNIQUE],0),5),0)</f>
        <v>30</v>
      </c>
      <c r="T29" s="7">
        <f>IF(ISBLANK(Tableau6[[#This Row],[DATE DE DEPOT]]),"",Tableau6[[#This Row],[DATE DE DEPOT]]+Tableau6[[#This Row],[DELAI]])</f>
        <v>45710</v>
      </c>
      <c r="U29" s="25">
        <f ca="1">+IF(AND(W29=0,Tableau6[[#This Row],[DATE LIMITE]]&lt;TODAY()),TODAY()-Tableau6[[#This Row],[DATE LIMITE]],0)</f>
        <v>0</v>
      </c>
      <c r="V29"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9" s="23">
        <f>SUMIF(Tableau3[FACTURE],Tableau6[[#This Row],[NUM DE FACTURE]],Tableau3[MONTANT TTC])</f>
        <v>424800</v>
      </c>
      <c r="X29" s="7"/>
      <c r="Y29" s="156">
        <f>+Tableau6[[#This Row],[NET A PAYER]]-Tableau6[[#This Row],[MONTANT PAYE]]</f>
        <v>0</v>
      </c>
      <c r="Z29"/>
    </row>
    <row r="30" spans="1:26" ht="10.050000000000001" customHeight="1" x14ac:dyDescent="0.2">
      <c r="A30" t="s">
        <v>100</v>
      </c>
      <c r="B30" s="3">
        <v>45680</v>
      </c>
      <c r="C30" s="7">
        <v>45680</v>
      </c>
      <c r="D30" s="351">
        <v>235</v>
      </c>
      <c r="E30" s="11" t="s">
        <v>138</v>
      </c>
      <c r="F30" s="2" t="s">
        <v>109</v>
      </c>
      <c r="G30" s="11" t="s">
        <v>165</v>
      </c>
      <c r="H30" s="2" t="s">
        <v>116</v>
      </c>
      <c r="I30" s="155"/>
      <c r="J30" s="233">
        <v>200000</v>
      </c>
      <c r="K30" s="155">
        <f>+Tableau6[[#This Row],[MONTANT HT BIEN]]+Tableau6[[#This Row],[MONTANT HT SERVICE]]</f>
        <v>200000</v>
      </c>
      <c r="L30" s="153">
        <v>0</v>
      </c>
      <c r="M30" s="153">
        <f>+IFERROR(IF(Tableau6[[#This Row],[CODE TVA]]="TVAF",Tableau6[[#This Row],[MONTANT HT]]*0.18,0),0)</f>
        <v>36000</v>
      </c>
      <c r="N30" s="153">
        <f>Tableau6[[#This Row],[MONTANT HT]]+Tableau6[[#This Row],[TVA]]-Tableau6[[#This Row],[ACOMPTE SUR HT]]</f>
        <v>236000</v>
      </c>
      <c r="O30" s="153"/>
      <c r="P30" s="153">
        <f>+ROUND(Tableau6[[#This Row],[MONTANT TTC]]-Tableau6[[#This Row],[ACOMPTE SUR TTC]],0)</f>
        <v>236000</v>
      </c>
      <c r="Q30" s="2" t="s">
        <v>481</v>
      </c>
      <c r="R30" s="5">
        <f>IFERROR(INDEX(Tableau2[[ID BC UNIQUE]:[MONTANT HT VALIDE]],MATCH(Tableau6[[#This Row],[N° BC]],Tableau2[ID BC UNIQUE],0),6),0)</f>
        <v>200000</v>
      </c>
      <c r="S30" s="25">
        <f>IFERROR(INDEX(Tableau2[[DATE]:[DELAIS DE PAIEMENT FACTURES EN JOUR]],MATCH(Tableau6[[#This Row],[N° BC]],Tableau2[ID BC UNIQUE],0),5),0)</f>
        <v>30</v>
      </c>
      <c r="T30" s="7">
        <f>IF(ISBLANK(Tableau6[[#This Row],[DATE DE DEPOT]]),"",Tableau6[[#This Row],[DATE DE DEPOT]]+Tableau6[[#This Row],[DELAI]])</f>
        <v>45710</v>
      </c>
      <c r="U30" s="25">
        <f ca="1">+IF(AND(W30=0,Tableau6[[#This Row],[DATE LIMITE]]&lt;TODAY()),TODAY()-Tableau6[[#This Row],[DATE LIMITE]],0)</f>
        <v>0</v>
      </c>
      <c r="V30"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0" s="23">
        <f>SUMIF(Tableau3[FACTURE],Tableau6[[#This Row],[NUM DE FACTURE]],Tableau3[MONTANT TTC])</f>
        <v>236000</v>
      </c>
      <c r="X30" s="7"/>
      <c r="Y30" s="156">
        <f>+Tableau6[[#This Row],[NET A PAYER]]-Tableau6[[#This Row],[MONTANT PAYE]]</f>
        <v>0</v>
      </c>
      <c r="Z30"/>
    </row>
    <row r="31" spans="1:26" ht="10.050000000000001" customHeight="1" x14ac:dyDescent="0.2">
      <c r="A31" t="s">
        <v>100</v>
      </c>
      <c r="B31" s="3">
        <v>45680</v>
      </c>
      <c r="C31" s="7">
        <v>45680</v>
      </c>
      <c r="D31" s="351">
        <v>236</v>
      </c>
      <c r="E31" s="11" t="s">
        <v>138</v>
      </c>
      <c r="F31" s="2" t="s">
        <v>109</v>
      </c>
      <c r="G31" s="11" t="s">
        <v>165</v>
      </c>
      <c r="H31" s="2" t="s">
        <v>116</v>
      </c>
      <c r="I31" s="155"/>
      <c r="J31" s="233">
        <v>200000</v>
      </c>
      <c r="K31" s="155">
        <f>+Tableau6[[#This Row],[MONTANT HT BIEN]]+Tableau6[[#This Row],[MONTANT HT SERVICE]]</f>
        <v>200000</v>
      </c>
      <c r="L31" s="153">
        <v>0</v>
      </c>
      <c r="M31" s="153">
        <f>+IFERROR(IF(Tableau6[[#This Row],[CODE TVA]]="TVAF",Tableau6[[#This Row],[MONTANT HT]]*0.18,0),0)</f>
        <v>36000</v>
      </c>
      <c r="N31" s="153">
        <f>Tableau6[[#This Row],[MONTANT HT]]+Tableau6[[#This Row],[TVA]]-Tableau6[[#This Row],[ACOMPTE SUR HT]]</f>
        <v>236000</v>
      </c>
      <c r="O31" s="153"/>
      <c r="P31" s="153">
        <f>+ROUND(Tableau6[[#This Row],[MONTANT TTC]]-Tableau6[[#This Row],[ACOMPTE SUR TTC]],0)</f>
        <v>236000</v>
      </c>
      <c r="Q31" s="11" t="s">
        <v>507</v>
      </c>
      <c r="R31" s="5">
        <f>IFERROR(INDEX(Tableau2[[ID BC UNIQUE]:[MONTANT HT VALIDE]],MATCH(Tableau6[[#This Row],[N° BC]],Tableau2[ID BC UNIQUE],0),6),0)</f>
        <v>200000</v>
      </c>
      <c r="S31" s="25">
        <f>IFERROR(INDEX(Tableau2[[DATE]:[DELAIS DE PAIEMENT FACTURES EN JOUR]],MATCH(Tableau6[[#This Row],[N° BC]],Tableau2[ID BC UNIQUE],0),5),0)</f>
        <v>30</v>
      </c>
      <c r="T31" s="7">
        <f>IF(ISBLANK(Tableau6[[#This Row],[DATE DE DEPOT]]),"",Tableau6[[#This Row],[DATE DE DEPOT]]+Tableau6[[#This Row],[DELAI]])</f>
        <v>45710</v>
      </c>
      <c r="U31" s="25">
        <f ca="1">+IF(AND(W31=0,Tableau6[[#This Row],[DATE LIMITE]]&lt;TODAY()),TODAY()-Tableau6[[#This Row],[DATE LIMITE]],0)</f>
        <v>0</v>
      </c>
      <c r="V31"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1" s="23">
        <f>SUMIF(Tableau3[FACTURE],Tableau6[[#This Row],[NUM DE FACTURE]],Tableau3[MONTANT TTC])</f>
        <v>236000</v>
      </c>
      <c r="X31" s="7"/>
      <c r="Y31" s="156">
        <f>+Tableau6[[#This Row],[NET A PAYER]]-Tableau6[[#This Row],[MONTANT PAYE]]</f>
        <v>0</v>
      </c>
      <c r="Z31"/>
    </row>
    <row r="32" spans="1:26" ht="10.050000000000001" customHeight="1" x14ac:dyDescent="0.2">
      <c r="A32" t="s">
        <v>100</v>
      </c>
      <c r="B32" s="3">
        <v>45680</v>
      </c>
      <c r="C32" s="7">
        <v>45680</v>
      </c>
      <c r="D32" s="351">
        <v>237</v>
      </c>
      <c r="E32" s="11" t="s">
        <v>138</v>
      </c>
      <c r="F32" s="2" t="s">
        <v>109</v>
      </c>
      <c r="G32" s="11" t="s">
        <v>205</v>
      </c>
      <c r="H32" s="2" t="s">
        <v>116</v>
      </c>
      <c r="I32" s="155"/>
      <c r="J32" s="233">
        <v>1350000</v>
      </c>
      <c r="K32" s="155">
        <f>+Tableau6[[#This Row],[MONTANT HT BIEN]]+Tableau6[[#This Row],[MONTANT HT SERVICE]]</f>
        <v>1350000</v>
      </c>
      <c r="L32" s="153">
        <v>0</v>
      </c>
      <c r="M32" s="153">
        <f>+IFERROR(IF(Tableau6[[#This Row],[CODE TVA]]="TVAF",Tableau6[[#This Row],[MONTANT HT]]*0.18,0),0)</f>
        <v>243000</v>
      </c>
      <c r="N32" s="153">
        <f>Tableau6[[#This Row],[MONTANT HT]]+Tableau6[[#This Row],[TVA]]-Tableau6[[#This Row],[ACOMPTE SUR HT]]</f>
        <v>1593000</v>
      </c>
      <c r="O32" s="153"/>
      <c r="P32" s="153">
        <f>+ROUND(Tableau6[[#This Row],[MONTANT TTC]]-Tableau6[[#This Row],[ACOMPTE SUR TTC]],0)</f>
        <v>1593000</v>
      </c>
      <c r="Q32" s="11" t="s">
        <v>508</v>
      </c>
      <c r="R32" s="5">
        <f>IFERROR(INDEX(Tableau2[[ID BC UNIQUE]:[MONTANT HT VALIDE]],MATCH(Tableau6[[#This Row],[N° BC]],Tableau2[ID BC UNIQUE],0),6),0)</f>
        <v>1350000</v>
      </c>
      <c r="S32" s="25">
        <f>IFERROR(INDEX(Tableau2[[DATE]:[DELAIS DE PAIEMENT FACTURES EN JOUR]],MATCH(Tableau6[[#This Row],[N° BC]],Tableau2[ID BC UNIQUE],0),5),0)</f>
        <v>30</v>
      </c>
      <c r="T32" s="7">
        <f>IF(ISBLANK(Tableau6[[#This Row],[DATE DE DEPOT]]),"",Tableau6[[#This Row],[DATE DE DEPOT]]+Tableau6[[#This Row],[DELAI]])</f>
        <v>45710</v>
      </c>
      <c r="U32" s="25">
        <f ca="1">+IF(AND(W32=0,Tableau6[[#This Row],[DATE LIMITE]]&lt;TODAY()),TODAY()-Tableau6[[#This Row],[DATE LIMITE]],0)</f>
        <v>0</v>
      </c>
      <c r="V32"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2" s="23">
        <f>SUMIF(Tableau3[FACTURE],Tableau6[[#This Row],[NUM DE FACTURE]],Tableau3[MONTANT TTC])</f>
        <v>1593000</v>
      </c>
      <c r="X32" s="7"/>
      <c r="Y32" s="156">
        <f>+Tableau6[[#This Row],[NET A PAYER]]-Tableau6[[#This Row],[MONTANT PAYE]]</f>
        <v>0</v>
      </c>
      <c r="Z32"/>
    </row>
    <row r="33" spans="1:26" ht="10.050000000000001" customHeight="1" x14ac:dyDescent="0.2">
      <c r="A33" t="s">
        <v>100</v>
      </c>
      <c r="B33" s="3">
        <v>45680</v>
      </c>
      <c r="C33" s="7">
        <v>45680</v>
      </c>
      <c r="D33" s="351">
        <v>238</v>
      </c>
      <c r="E33" s="11" t="s">
        <v>138</v>
      </c>
      <c r="F33" s="2" t="s">
        <v>109</v>
      </c>
      <c r="G33" s="11" t="s">
        <v>175</v>
      </c>
      <c r="H33" s="2" t="s">
        <v>116</v>
      </c>
      <c r="I33" s="23"/>
      <c r="J33" s="233">
        <v>3500000</v>
      </c>
      <c r="K33" s="155">
        <f>+Tableau6[[#This Row],[MONTANT HT BIEN]]+Tableau6[[#This Row],[MONTANT HT SERVICE]]</f>
        <v>3500000</v>
      </c>
      <c r="L33" s="153">
        <v>0</v>
      </c>
      <c r="M33" s="153">
        <f>+IFERROR(IF(Tableau6[[#This Row],[CODE TVA]]="TVAF",Tableau6[[#This Row],[MONTANT HT]]*0.18,0),0)</f>
        <v>630000</v>
      </c>
      <c r="N33" s="153">
        <f>Tableau6[[#This Row],[MONTANT HT]]+Tableau6[[#This Row],[TVA]]-Tableau6[[#This Row],[ACOMPTE SUR HT]]</f>
        <v>4130000</v>
      </c>
      <c r="O33" s="177"/>
      <c r="P33" s="153">
        <f>+ROUND(Tableau6[[#This Row],[MONTANT TTC]]-Tableau6[[#This Row],[ACOMPTE SUR TTC]],0)</f>
        <v>4130000</v>
      </c>
      <c r="Q33" s="11" t="s">
        <v>509</v>
      </c>
      <c r="R33" s="5">
        <f>IFERROR(INDEX(Tableau2[[ID BC UNIQUE]:[MONTANT HT VALIDE]],MATCH(Tableau6[[#This Row],[N° BC]],Tableau2[ID BC UNIQUE],0),6),0)</f>
        <v>3500000</v>
      </c>
      <c r="S33" s="25">
        <f>IFERROR(INDEX(Tableau2[[DATE]:[DELAIS DE PAIEMENT FACTURES EN JOUR]],MATCH(Tableau6[[#This Row],[N° BC]],Tableau2[ID BC UNIQUE],0),5),0)</f>
        <v>30</v>
      </c>
      <c r="T33" s="7">
        <f>IF(ISBLANK(Tableau6[[#This Row],[DATE DE DEPOT]]),"",Tableau6[[#This Row],[DATE DE DEPOT]]+Tableau6[[#This Row],[DELAI]])</f>
        <v>45710</v>
      </c>
      <c r="U33" s="25">
        <f ca="1">+IF(AND(W33=0,Tableau6[[#This Row],[DATE LIMITE]]&lt;TODAY()),TODAY()-Tableau6[[#This Row],[DATE LIMITE]],0)</f>
        <v>0</v>
      </c>
      <c r="V33"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3" s="23">
        <f>SUMIF(Tableau3[FACTURE],Tableau6[[#This Row],[NUM DE FACTURE]],Tableau3[MONTANT TTC])</f>
        <v>4130000</v>
      </c>
      <c r="X33" s="7"/>
      <c r="Y33" s="156">
        <f>+Tableau6[[#This Row],[NET A PAYER]]-Tableau6[[#This Row],[MONTANT PAYE]]</f>
        <v>0</v>
      </c>
      <c r="Z33"/>
    </row>
    <row r="34" spans="1:26" ht="10.050000000000001" customHeight="1" x14ac:dyDescent="0.2">
      <c r="A34" t="s">
        <v>100</v>
      </c>
      <c r="B34" s="3">
        <v>45680</v>
      </c>
      <c r="C34" s="7">
        <v>45680</v>
      </c>
      <c r="D34" s="351">
        <v>239</v>
      </c>
      <c r="E34" s="11" t="s">
        <v>138</v>
      </c>
      <c r="F34" s="2" t="s">
        <v>109</v>
      </c>
      <c r="G34" s="11" t="s">
        <v>170</v>
      </c>
      <c r="H34" s="2" t="s">
        <v>116</v>
      </c>
      <c r="I34" s="23"/>
      <c r="J34" s="233">
        <v>1620000</v>
      </c>
      <c r="K34" s="155">
        <f>+Tableau6[[#This Row],[MONTANT HT BIEN]]+Tableau6[[#This Row],[MONTANT HT SERVICE]]</f>
        <v>1620000</v>
      </c>
      <c r="L34" s="153">
        <v>0</v>
      </c>
      <c r="M34" s="153">
        <f>+IFERROR(IF(Tableau6[[#This Row],[CODE TVA]]="TVAF",Tableau6[[#This Row],[MONTANT HT]]*0.18,0),0)</f>
        <v>291600</v>
      </c>
      <c r="N34" s="153">
        <f>Tableau6[[#This Row],[MONTANT HT]]+Tableau6[[#This Row],[TVA]]-Tableau6[[#This Row],[ACOMPTE SUR HT]]</f>
        <v>1911600</v>
      </c>
      <c r="O34" s="177"/>
      <c r="P34" s="153">
        <f>+ROUND(Tableau6[[#This Row],[MONTANT TTC]]-Tableau6[[#This Row],[ACOMPTE SUR TTC]],0)</f>
        <v>1911600</v>
      </c>
      <c r="Q34" s="11" t="s">
        <v>510</v>
      </c>
      <c r="R34" s="5">
        <f>IFERROR(INDEX(Tableau2[[ID BC UNIQUE]:[MONTANT HT VALIDE]],MATCH(Tableau6[[#This Row],[N° BC]],Tableau2[ID BC UNIQUE],0),6),0)</f>
        <v>1620000</v>
      </c>
      <c r="S34" s="25">
        <f>IFERROR(INDEX(Tableau2[[DATE]:[DELAIS DE PAIEMENT FACTURES EN JOUR]],MATCH(Tableau6[[#This Row],[N° BC]],Tableau2[ID BC UNIQUE],0),5),0)</f>
        <v>30</v>
      </c>
      <c r="T34" s="7">
        <f>IF(ISBLANK(Tableau6[[#This Row],[DATE DE DEPOT]]),"",Tableau6[[#This Row],[DATE DE DEPOT]]+Tableau6[[#This Row],[DELAI]])</f>
        <v>45710</v>
      </c>
      <c r="U34" s="25">
        <f ca="1">+IF(AND(W34=0,Tableau6[[#This Row],[DATE LIMITE]]&lt;TODAY()),TODAY()-Tableau6[[#This Row],[DATE LIMITE]],0)</f>
        <v>0</v>
      </c>
      <c r="V34"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4" s="23">
        <f>SUMIF(Tableau3[FACTURE],Tableau6[[#This Row],[NUM DE FACTURE]],Tableau3[MONTANT TTC])</f>
        <v>1911600</v>
      </c>
      <c r="X34" s="7"/>
      <c r="Y34" s="156">
        <f>+Tableau6[[#This Row],[NET A PAYER]]-Tableau6[[#This Row],[MONTANT PAYE]]</f>
        <v>0</v>
      </c>
      <c r="Z34"/>
    </row>
    <row r="35" spans="1:26" ht="10.050000000000001" customHeight="1" x14ac:dyDescent="0.2">
      <c r="A35" t="s">
        <v>100</v>
      </c>
      <c r="B35" s="3">
        <v>45680</v>
      </c>
      <c r="C35" s="44">
        <v>45680</v>
      </c>
      <c r="D35" s="351">
        <v>240</v>
      </c>
      <c r="E35" s="11" t="s">
        <v>138</v>
      </c>
      <c r="F35" s="2" t="s">
        <v>109</v>
      </c>
      <c r="G35" s="11" t="s">
        <v>171</v>
      </c>
      <c r="H35" s="2" t="s">
        <v>116</v>
      </c>
      <c r="I35" s="168"/>
      <c r="J35" s="234">
        <v>2880000</v>
      </c>
      <c r="K35" s="168">
        <f>+Tableau6[[#This Row],[MONTANT HT BIEN]]+Tableau6[[#This Row],[MONTANT HT SERVICE]]</f>
        <v>2880000</v>
      </c>
      <c r="L35" s="169">
        <v>0</v>
      </c>
      <c r="M35" s="169">
        <f>+IFERROR(IF(Tableau6[[#This Row],[CODE TVA]]="TVAF",Tableau6[[#This Row],[MONTANT HT]]*0.18,0),0)</f>
        <v>518400</v>
      </c>
      <c r="N35" s="153">
        <f>Tableau6[[#This Row],[MONTANT HT]]+Tableau6[[#This Row],[TVA]]-Tableau6[[#This Row],[ACOMPTE SUR HT]]</f>
        <v>3398400</v>
      </c>
      <c r="O35" s="169"/>
      <c r="P35" s="169">
        <f>+ROUND(Tableau6[[#This Row],[MONTANT TTC]]-Tableau6[[#This Row],[ACOMPTE SUR TTC]],0)</f>
        <v>3398400</v>
      </c>
      <c r="Q35" s="45" t="s">
        <v>511</v>
      </c>
      <c r="R35" s="46">
        <f>IFERROR(INDEX(Tableau2[[ID BC UNIQUE]:[MONTANT HT VALIDE]],MATCH(Tableau6[[#This Row],[N° BC]],Tableau2[ID BC UNIQUE],0),6),0)</f>
        <v>2880000</v>
      </c>
      <c r="S35" s="48">
        <f>IFERROR(INDEX(Tableau2[[DATE]:[DELAIS DE PAIEMENT FACTURES EN JOUR]],MATCH(Tableau6[[#This Row],[N° BC]],Tableau2[ID BC UNIQUE],0),5),0)</f>
        <v>30</v>
      </c>
      <c r="T35" s="7">
        <f>IF(ISBLANK(Tableau6[[#This Row],[DATE DE DEPOT]]),"",Tableau6[[#This Row],[DATE DE DEPOT]]+Tableau6[[#This Row],[DELAI]])</f>
        <v>45710</v>
      </c>
      <c r="U35" s="25">
        <f ca="1">+IF(AND(W35=0,Tableau6[[#This Row],[DATE LIMITE]]&lt;TODAY()),TODAY()-Tableau6[[#This Row],[DATE LIMITE]],0)</f>
        <v>0</v>
      </c>
      <c r="V35" s="4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5" s="49">
        <f>SUMIF(Tableau3[FACTURE],Tableau6[[#This Row],[NUM DE FACTURE]],Tableau3[MONTANT TTC])</f>
        <v>3398400</v>
      </c>
      <c r="X35" s="44"/>
      <c r="Y35" s="157">
        <f>+Tableau6[[#This Row],[NET A PAYER]]-Tableau6[[#This Row],[MONTANT PAYE]]</f>
        <v>0</v>
      </c>
      <c r="Z35" s="50"/>
    </row>
    <row r="36" spans="1:26" ht="10.050000000000001" customHeight="1" x14ac:dyDescent="0.2">
      <c r="A36" t="s">
        <v>100</v>
      </c>
      <c r="B36" s="3">
        <v>45680</v>
      </c>
      <c r="C36" s="7">
        <v>45680</v>
      </c>
      <c r="D36" s="351">
        <v>241</v>
      </c>
      <c r="E36" s="11" t="s">
        <v>138</v>
      </c>
      <c r="F36" s="2" t="s">
        <v>109</v>
      </c>
      <c r="G36" s="11" t="s">
        <v>200</v>
      </c>
      <c r="H36" s="2" t="s">
        <v>116</v>
      </c>
      <c r="I36" s="155"/>
      <c r="J36" s="233">
        <v>4000000</v>
      </c>
      <c r="K36" s="155">
        <f>+Tableau6[[#This Row],[MONTANT HT BIEN]]+Tableau6[[#This Row],[MONTANT HT SERVICE]]</f>
        <v>4000000</v>
      </c>
      <c r="L36" s="153">
        <v>0</v>
      </c>
      <c r="M36" s="153">
        <f>+IFERROR(IF(Tableau6[[#This Row],[CODE TVA]]="TVAF",Tableau6[[#This Row],[MONTANT HT]]*0.18,0),0)</f>
        <v>720000</v>
      </c>
      <c r="N36" s="153">
        <f>Tableau6[[#This Row],[MONTANT HT]]+Tableau6[[#This Row],[TVA]]-Tableau6[[#This Row],[ACOMPTE SUR HT]]</f>
        <v>4720000</v>
      </c>
      <c r="O36" s="153"/>
      <c r="P36" s="153">
        <f>+ROUND(Tableau6[[#This Row],[MONTANT TTC]]-Tableau6[[#This Row],[ACOMPTE SUR TTC]],0)</f>
        <v>4720000</v>
      </c>
      <c r="Q36" s="11" t="s">
        <v>512</v>
      </c>
      <c r="R36" s="5">
        <f>IFERROR(INDEX(Tableau2[[ID BC UNIQUE]:[MONTANT HT VALIDE]],MATCH(Tableau6[[#This Row],[N° BC]],Tableau2[ID BC UNIQUE],0),6),0)</f>
        <v>4000000</v>
      </c>
      <c r="S36" s="25">
        <f>IFERROR(INDEX(Tableau2[[DATE]:[DELAIS DE PAIEMENT FACTURES EN JOUR]],MATCH(Tableau6[[#This Row],[N° BC]],Tableau2[ID BC UNIQUE],0),5),0)</f>
        <v>30</v>
      </c>
      <c r="T36" s="7">
        <f>IF(ISBLANK(Tableau6[[#This Row],[DATE DE DEPOT]]),"",Tableau6[[#This Row],[DATE DE DEPOT]]+Tableau6[[#This Row],[DELAI]])</f>
        <v>45710</v>
      </c>
      <c r="U36" s="25">
        <f ca="1">+IF(AND(W36=0,Tableau6[[#This Row],[DATE LIMITE]]&lt;TODAY()),TODAY()-Tableau6[[#This Row],[DATE LIMITE]],0)</f>
        <v>0</v>
      </c>
      <c r="V36"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6" s="23">
        <f>SUMIF(Tableau3[FACTURE],Tableau6[[#This Row],[NUM DE FACTURE]],Tableau3[MONTANT TTC])</f>
        <v>4720000</v>
      </c>
      <c r="X36" s="7"/>
      <c r="Y36" s="156">
        <f>+Tableau6[[#This Row],[NET A PAYER]]-Tableau6[[#This Row],[MONTANT PAYE]]</f>
        <v>0</v>
      </c>
      <c r="Z36"/>
    </row>
    <row r="37" spans="1:26" ht="10.050000000000001" customHeight="1" x14ac:dyDescent="0.2">
      <c r="A37" t="s">
        <v>100</v>
      </c>
      <c r="B37" s="3">
        <v>45680</v>
      </c>
      <c r="C37" s="7">
        <v>45680</v>
      </c>
      <c r="D37" s="351">
        <v>242</v>
      </c>
      <c r="E37" s="11" t="s">
        <v>138</v>
      </c>
      <c r="F37" s="2" t="s">
        <v>109</v>
      </c>
      <c r="G37" s="11" t="s">
        <v>200</v>
      </c>
      <c r="H37" s="2" t="s">
        <v>116</v>
      </c>
      <c r="I37" s="155"/>
      <c r="J37" s="233">
        <v>1000000</v>
      </c>
      <c r="K37" s="155">
        <f>+Tableau6[[#This Row],[MONTANT HT BIEN]]+Tableau6[[#This Row],[MONTANT HT SERVICE]]</f>
        <v>1000000</v>
      </c>
      <c r="L37" s="153">
        <v>0</v>
      </c>
      <c r="M37" s="153">
        <f>+IFERROR(IF(Tableau6[[#This Row],[CODE TVA]]="TVAF",Tableau6[[#This Row],[MONTANT HT]]*0.18,0),0)</f>
        <v>180000</v>
      </c>
      <c r="N37" s="153">
        <f>Tableau6[[#This Row],[MONTANT HT]]+Tableau6[[#This Row],[TVA]]-Tableau6[[#This Row],[ACOMPTE SUR HT]]</f>
        <v>1180000</v>
      </c>
      <c r="O37" s="153"/>
      <c r="P37" s="153">
        <f>+ROUND(Tableau6[[#This Row],[MONTANT TTC]]-Tableau6[[#This Row],[ACOMPTE SUR TTC]],0)</f>
        <v>1180000</v>
      </c>
      <c r="Q37" s="11" t="s">
        <v>513</v>
      </c>
      <c r="R37" s="5">
        <f>IFERROR(INDEX(Tableau2[[ID BC UNIQUE]:[MONTANT HT VALIDE]],MATCH(Tableau6[[#This Row],[N° BC]],Tableau2[ID BC UNIQUE],0),6),0)</f>
        <v>1000000</v>
      </c>
      <c r="S37" s="25">
        <f>IFERROR(INDEX(Tableau2[[DATE]:[DELAIS DE PAIEMENT FACTURES EN JOUR]],MATCH(Tableau6[[#This Row],[N° BC]],Tableau2[ID BC UNIQUE],0),5),0)</f>
        <v>30</v>
      </c>
      <c r="T37" s="7">
        <f>IF(ISBLANK(Tableau6[[#This Row],[DATE DE DEPOT]]),"",Tableau6[[#This Row],[DATE DE DEPOT]]+Tableau6[[#This Row],[DELAI]])</f>
        <v>45710</v>
      </c>
      <c r="U37" s="25">
        <f ca="1">+IF(AND(W37=0,Tableau6[[#This Row],[DATE LIMITE]]&lt;TODAY()),TODAY()-Tableau6[[#This Row],[DATE LIMITE]],0)</f>
        <v>0</v>
      </c>
      <c r="V37"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7" s="23">
        <f>SUMIF(Tableau3[FACTURE],Tableau6[[#This Row],[NUM DE FACTURE]],Tableau3[MONTANT TTC])</f>
        <v>1180000</v>
      </c>
      <c r="X37" s="7"/>
      <c r="Y37" s="156">
        <f>+Tableau6[[#This Row],[NET A PAYER]]-Tableau6[[#This Row],[MONTANT PAYE]]</f>
        <v>0</v>
      </c>
      <c r="Z37"/>
    </row>
    <row r="38" spans="1:26" ht="10.050000000000001" customHeight="1" x14ac:dyDescent="0.2">
      <c r="A38" t="s">
        <v>100</v>
      </c>
      <c r="B38" s="3">
        <v>45680</v>
      </c>
      <c r="C38" s="7">
        <v>45680</v>
      </c>
      <c r="D38" s="351">
        <v>243</v>
      </c>
      <c r="E38" s="11" t="s">
        <v>138</v>
      </c>
      <c r="F38" s="2" t="s">
        <v>109</v>
      </c>
      <c r="G38" s="11" t="s">
        <v>176</v>
      </c>
      <c r="H38" s="2" t="s">
        <v>116</v>
      </c>
      <c r="I38" s="155"/>
      <c r="J38" s="233">
        <v>2700000</v>
      </c>
      <c r="K38" s="155">
        <f>+Tableau6[[#This Row],[MONTANT HT BIEN]]+Tableau6[[#This Row],[MONTANT HT SERVICE]]</f>
        <v>2700000</v>
      </c>
      <c r="L38" s="153">
        <v>0</v>
      </c>
      <c r="M38" s="153">
        <f>+IFERROR(IF(Tableau6[[#This Row],[CODE TVA]]="TVAF",Tableau6[[#This Row],[MONTANT HT]]*0.18,0),0)</f>
        <v>486000</v>
      </c>
      <c r="N38" s="153">
        <f>Tableau6[[#This Row],[MONTANT HT]]+Tableau6[[#This Row],[TVA]]-Tableau6[[#This Row],[ACOMPTE SUR HT]]</f>
        <v>3186000</v>
      </c>
      <c r="O38" s="153"/>
      <c r="P38" s="153">
        <f>+ROUND(Tableau6[[#This Row],[MONTANT TTC]]-Tableau6[[#This Row],[ACOMPTE SUR TTC]],0)</f>
        <v>3186000</v>
      </c>
      <c r="Q38" s="8" t="s">
        <v>480</v>
      </c>
      <c r="R38" s="5">
        <f>IFERROR(INDEX(Tableau2[[ID BC UNIQUE]:[MONTANT HT VALIDE]],MATCH(Tableau6[[#This Row],[N° BC]],Tableau2[ID BC UNIQUE],0),6),0)</f>
        <v>2700000</v>
      </c>
      <c r="S38" s="25">
        <f>IFERROR(INDEX(Tableau2[[DATE]:[DELAIS DE PAIEMENT FACTURES EN JOUR]],MATCH(Tableau6[[#This Row],[N° BC]],Tableau2[ID BC UNIQUE],0),5),0)</f>
        <v>30</v>
      </c>
      <c r="T38" s="7">
        <f>IF(ISBLANK(Tableau6[[#This Row],[DATE DE DEPOT]]),"",Tableau6[[#This Row],[DATE DE DEPOT]]+Tableau6[[#This Row],[DELAI]])</f>
        <v>45710</v>
      </c>
      <c r="U38" s="25">
        <f ca="1">+IF(AND(W38=0,Tableau6[[#This Row],[DATE LIMITE]]&lt;TODAY()),TODAY()-Tableau6[[#This Row],[DATE LIMITE]],0)</f>
        <v>0</v>
      </c>
      <c r="V38"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8" s="23">
        <f>SUMIF(Tableau3[FACTURE],Tableau6[[#This Row],[NUM DE FACTURE]],Tableau3[MONTANT TTC])</f>
        <v>3186000</v>
      </c>
      <c r="X38" s="7"/>
      <c r="Y38" s="156">
        <f>+Tableau6[[#This Row],[NET A PAYER]]-Tableau6[[#This Row],[MONTANT PAYE]]</f>
        <v>0</v>
      </c>
      <c r="Z38"/>
    </row>
    <row r="39" spans="1:26" ht="10.050000000000001" customHeight="1" x14ac:dyDescent="0.2">
      <c r="A39" t="s">
        <v>100</v>
      </c>
      <c r="B39" s="3">
        <v>45680</v>
      </c>
      <c r="C39" s="7">
        <v>45680</v>
      </c>
      <c r="D39" s="351">
        <v>244</v>
      </c>
      <c r="E39" s="11" t="s">
        <v>138</v>
      </c>
      <c r="F39" s="2" t="s">
        <v>109</v>
      </c>
      <c r="G39" s="11" t="s">
        <v>174</v>
      </c>
      <c r="H39" s="2" t="s">
        <v>116</v>
      </c>
      <c r="I39" s="155"/>
      <c r="J39" s="233">
        <v>800000</v>
      </c>
      <c r="K39" s="155">
        <f>+Tableau6[[#This Row],[MONTANT HT BIEN]]+Tableau6[[#This Row],[MONTANT HT SERVICE]]</f>
        <v>800000</v>
      </c>
      <c r="L39" s="153">
        <v>0</v>
      </c>
      <c r="M39" s="153">
        <f>+IFERROR(IF(Tableau6[[#This Row],[CODE TVA]]="TVAF",Tableau6[[#This Row],[MONTANT HT]]*0.18,0),0)</f>
        <v>144000</v>
      </c>
      <c r="N39" s="153">
        <f>Tableau6[[#This Row],[MONTANT HT]]+Tableau6[[#This Row],[TVA]]-Tableau6[[#This Row],[ACOMPTE SUR HT]]</f>
        <v>944000</v>
      </c>
      <c r="O39" s="153"/>
      <c r="P39" s="153">
        <f>+ROUND(Tableau6[[#This Row],[MONTANT TTC]]-Tableau6[[#This Row],[ACOMPTE SUR TTC]],0)</f>
        <v>944000</v>
      </c>
      <c r="Q39" s="2" t="s">
        <v>479</v>
      </c>
      <c r="R39" s="5">
        <f>IFERROR(INDEX(Tableau2[[ID BC UNIQUE]:[MONTANT HT VALIDE]],MATCH(Tableau6[[#This Row],[N° BC]],Tableau2[ID BC UNIQUE],0),6),0)</f>
        <v>800000</v>
      </c>
      <c r="S39" s="25">
        <f>IFERROR(INDEX(Tableau2[[DATE]:[DELAIS DE PAIEMENT FACTURES EN JOUR]],MATCH(Tableau6[[#This Row],[N° BC]],Tableau2[ID BC UNIQUE],0),5),0)</f>
        <v>30</v>
      </c>
      <c r="T39" s="7">
        <f>IF(ISBLANK(Tableau6[[#This Row],[DATE DE DEPOT]]),"",Tableau6[[#This Row],[DATE DE DEPOT]]+Tableau6[[#This Row],[DELAI]])</f>
        <v>45710</v>
      </c>
      <c r="U39" s="25">
        <f ca="1">+IF(AND(W39=0,Tableau6[[#This Row],[DATE LIMITE]]&lt;TODAY()),TODAY()-Tableau6[[#This Row],[DATE LIMITE]],0)</f>
        <v>0</v>
      </c>
      <c r="V39"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9" s="23">
        <f>SUMIF(Tableau3[FACTURE],Tableau6[[#This Row],[NUM DE FACTURE]],Tableau3[MONTANT TTC])</f>
        <v>944000</v>
      </c>
      <c r="X39" s="7"/>
      <c r="Y39" s="156">
        <f>+Tableau6[[#This Row],[NET A PAYER]]-Tableau6[[#This Row],[MONTANT PAYE]]</f>
        <v>0</v>
      </c>
      <c r="Z39"/>
    </row>
    <row r="40" spans="1:26" ht="10.050000000000001" customHeight="1" x14ac:dyDescent="0.2">
      <c r="A40" t="s">
        <v>100</v>
      </c>
      <c r="B40" s="3">
        <v>45680</v>
      </c>
      <c r="C40" s="7">
        <v>45680</v>
      </c>
      <c r="D40" s="351">
        <v>245</v>
      </c>
      <c r="E40" s="11" t="s">
        <v>138</v>
      </c>
      <c r="F40" s="2" t="s">
        <v>109</v>
      </c>
      <c r="G40" s="11" t="s">
        <v>175</v>
      </c>
      <c r="H40" s="2" t="s">
        <v>116</v>
      </c>
      <c r="I40" s="155"/>
      <c r="J40" s="233">
        <v>3500000</v>
      </c>
      <c r="K40" s="155">
        <f>+Tableau6[[#This Row],[MONTANT HT BIEN]]+Tableau6[[#This Row],[MONTANT HT SERVICE]]</f>
        <v>3500000</v>
      </c>
      <c r="L40" s="153">
        <v>0</v>
      </c>
      <c r="M40" s="153">
        <f>+IFERROR(IF(Tableau6[[#This Row],[CODE TVA]]="TVAF",Tableau6[[#This Row],[MONTANT HT]]*0.18,0),0)</f>
        <v>630000</v>
      </c>
      <c r="N40" s="153">
        <f>Tableau6[[#This Row],[MONTANT HT]]+Tableau6[[#This Row],[TVA]]-Tableau6[[#This Row],[ACOMPTE SUR HT]]</f>
        <v>4130000</v>
      </c>
      <c r="O40" s="153"/>
      <c r="P40" s="153">
        <f>+ROUND(Tableau6[[#This Row],[MONTANT TTC]]-Tableau6[[#This Row],[ACOMPTE SUR TTC]],0)</f>
        <v>4130000</v>
      </c>
      <c r="Q40" s="2" t="s">
        <v>477</v>
      </c>
      <c r="R40" s="5">
        <f>IFERROR(INDEX(Tableau2[[ID BC UNIQUE]:[MONTANT HT VALIDE]],MATCH(Tableau6[[#This Row],[N° BC]],Tableau2[ID BC UNIQUE],0),6),0)</f>
        <v>3500000</v>
      </c>
      <c r="S40" s="25">
        <f>IFERROR(INDEX(Tableau2[[DATE]:[DELAIS DE PAIEMENT FACTURES EN JOUR]],MATCH(Tableau6[[#This Row],[N° BC]],Tableau2[ID BC UNIQUE],0),5),0)</f>
        <v>30</v>
      </c>
      <c r="T40" s="7">
        <f>IF(ISBLANK(Tableau6[[#This Row],[DATE DE DEPOT]]),"",Tableau6[[#This Row],[DATE DE DEPOT]]+Tableau6[[#This Row],[DELAI]])</f>
        <v>45710</v>
      </c>
      <c r="U40" s="25">
        <f ca="1">+IF(AND(W40=0,Tableau6[[#This Row],[DATE LIMITE]]&lt;TODAY()),TODAY()-Tableau6[[#This Row],[DATE LIMITE]],0)</f>
        <v>0</v>
      </c>
      <c r="V40"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40" s="23">
        <f>SUMIF(Tableau3[FACTURE],Tableau6[[#This Row],[NUM DE FACTURE]],Tableau3[MONTANT TTC])</f>
        <v>4130000</v>
      </c>
      <c r="X40" s="7"/>
      <c r="Y40" s="156">
        <f>+Tableau6[[#This Row],[NET A PAYER]]-Tableau6[[#This Row],[MONTANT PAYE]]</f>
        <v>0</v>
      </c>
      <c r="Z40"/>
    </row>
    <row r="41" spans="1:26" ht="10.050000000000001" customHeight="1" x14ac:dyDescent="0.2">
      <c r="A41" t="s">
        <v>100</v>
      </c>
      <c r="B41" s="3">
        <v>45680</v>
      </c>
      <c r="C41" s="44">
        <v>45680</v>
      </c>
      <c r="D41" s="351">
        <v>246</v>
      </c>
      <c r="E41" s="11" t="s">
        <v>138</v>
      </c>
      <c r="F41" s="2" t="s">
        <v>109</v>
      </c>
      <c r="G41" s="11" t="s">
        <v>206</v>
      </c>
      <c r="H41" s="2" t="s">
        <v>116</v>
      </c>
      <c r="I41" s="168"/>
      <c r="J41" s="234">
        <v>4140000</v>
      </c>
      <c r="K41" s="168">
        <f>+Tableau6[[#This Row],[MONTANT HT BIEN]]+Tableau6[[#This Row],[MONTANT HT SERVICE]]</f>
        <v>4140000</v>
      </c>
      <c r="L41" s="169">
        <v>0</v>
      </c>
      <c r="M41" s="169">
        <f>+IFERROR(IF(Tableau6[[#This Row],[CODE TVA]]="TVAF",Tableau6[[#This Row],[MONTANT HT]]*0.18,0),0)</f>
        <v>745200</v>
      </c>
      <c r="N41" s="169">
        <f>Tableau6[[#This Row],[MONTANT HT]]+Tableau6[[#This Row],[TVA]]-Tableau6[[#This Row],[ACOMPTE SUR HT]]</f>
        <v>4885200</v>
      </c>
      <c r="O41" s="169"/>
      <c r="P41" s="169">
        <f>+ROUND(Tableau6[[#This Row],[MONTANT TTC]]-Tableau6[[#This Row],[ACOMPTE SUR TTC]],0)</f>
        <v>4885200</v>
      </c>
      <c r="Q41" s="47" t="s">
        <v>514</v>
      </c>
      <c r="R41" s="46">
        <f>IFERROR(INDEX(Tableau2[[ID BC UNIQUE]:[MONTANT HT VALIDE]],MATCH(Tableau6[[#This Row],[N° BC]],Tableau2[ID BC UNIQUE],0),6),0)</f>
        <v>4140000</v>
      </c>
      <c r="S41" s="48">
        <f>IFERROR(INDEX(Tableau2[[DATE]:[DELAIS DE PAIEMENT FACTURES EN JOUR]],MATCH(Tableau6[[#This Row],[N° BC]],Tableau2[ID BC UNIQUE],0),5),0)</f>
        <v>30</v>
      </c>
      <c r="T41" s="7">
        <f>IF(ISBLANK(Tableau6[[#This Row],[DATE DE DEPOT]]),"",Tableau6[[#This Row],[DATE DE DEPOT]]+Tableau6[[#This Row],[DELAI]])</f>
        <v>45710</v>
      </c>
      <c r="U41" s="25">
        <f ca="1">+IF(AND(W41=0,Tableau6[[#This Row],[DATE LIMITE]]&lt;TODAY()),TODAY()-Tableau6[[#This Row],[DATE LIMITE]],0)</f>
        <v>0</v>
      </c>
      <c r="V41" s="4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41" s="49">
        <f>SUMIF(Tableau3[FACTURE],Tableau6[[#This Row],[NUM DE FACTURE]],Tableau3[MONTANT TTC])</f>
        <v>4885200</v>
      </c>
      <c r="X41" s="44"/>
      <c r="Y41" s="157">
        <f>+Tableau6[[#This Row],[NET A PAYER]]-Tableau6[[#This Row],[MONTANT PAYE]]</f>
        <v>0</v>
      </c>
      <c r="Z41" s="50"/>
    </row>
    <row r="42" spans="1:26" ht="10.050000000000001" customHeight="1" x14ac:dyDescent="0.2">
      <c r="A42" t="s">
        <v>100</v>
      </c>
      <c r="B42" s="3">
        <v>45680</v>
      </c>
      <c r="C42" s="7">
        <v>45680</v>
      </c>
      <c r="D42" s="351">
        <v>247</v>
      </c>
      <c r="E42" s="11" t="s">
        <v>138</v>
      </c>
      <c r="F42" s="2" t="s">
        <v>109</v>
      </c>
      <c r="G42" s="11" t="s">
        <v>200</v>
      </c>
      <c r="H42" s="2" t="s">
        <v>116</v>
      </c>
      <c r="I42" s="155"/>
      <c r="J42" s="233">
        <v>3960000</v>
      </c>
      <c r="K42" s="155">
        <f>+Tableau6[[#This Row],[MONTANT HT BIEN]]+Tableau6[[#This Row],[MONTANT HT SERVICE]]</f>
        <v>3960000</v>
      </c>
      <c r="L42" s="153">
        <v>0</v>
      </c>
      <c r="M42" s="153">
        <f>+IFERROR(IF(Tableau6[[#This Row],[CODE TVA]]="TVAF",Tableau6[[#This Row],[MONTANT HT]]*0.18,0),0)</f>
        <v>712800</v>
      </c>
      <c r="N42" s="153">
        <f>Tableau6[[#This Row],[MONTANT HT]]+Tableau6[[#This Row],[TVA]]-Tableau6[[#This Row],[ACOMPTE SUR HT]]</f>
        <v>4672800</v>
      </c>
      <c r="O42" s="153"/>
      <c r="P42" s="153">
        <f>+ROUND(Tableau6[[#This Row],[MONTANT TTC]]-Tableau6[[#This Row],[ACOMPTE SUR TTC]],0)</f>
        <v>4672800</v>
      </c>
      <c r="Q42" s="2" t="s">
        <v>515</v>
      </c>
      <c r="R42" s="5">
        <f>IFERROR(INDEX(Tableau2[[ID BC UNIQUE]:[MONTANT HT VALIDE]],MATCH(Tableau6[[#This Row],[N° BC]],Tableau2[ID BC UNIQUE],0),6),0)</f>
        <v>3960000</v>
      </c>
      <c r="S42" s="25">
        <f>IFERROR(INDEX(Tableau2[[DATE]:[DELAIS DE PAIEMENT FACTURES EN JOUR]],MATCH(Tableau6[[#This Row],[N° BC]],Tableau2[ID BC UNIQUE],0),5),0)</f>
        <v>30</v>
      </c>
      <c r="T42" s="7">
        <f>IF(ISBLANK(Tableau6[[#This Row],[DATE DE DEPOT]]),"",Tableau6[[#This Row],[DATE DE DEPOT]]+Tableau6[[#This Row],[DELAI]])</f>
        <v>45710</v>
      </c>
      <c r="U42" s="25">
        <f ca="1">+IF(AND(W42=0,Tableau6[[#This Row],[DATE LIMITE]]&lt;TODAY()),TODAY()-Tableau6[[#This Row],[DATE LIMITE]],0)</f>
        <v>0</v>
      </c>
      <c r="V42"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42" s="23">
        <f>SUMIF(Tableau3[FACTURE],Tableau6[[#This Row],[NUM DE FACTURE]],Tableau3[MONTANT TTC])</f>
        <v>4672800</v>
      </c>
      <c r="X42" s="7"/>
      <c r="Y42" s="156">
        <f>+Tableau6[[#This Row],[NET A PAYER]]-Tableau6[[#This Row],[MONTANT PAYE]]</f>
        <v>0</v>
      </c>
      <c r="Z42"/>
    </row>
    <row r="43" spans="1:26" ht="10.050000000000001" customHeight="1" x14ac:dyDescent="0.2">
      <c r="A43" t="s">
        <v>100</v>
      </c>
      <c r="B43" s="3">
        <v>45680</v>
      </c>
      <c r="C43" s="7">
        <v>45680</v>
      </c>
      <c r="D43" s="351">
        <v>248</v>
      </c>
      <c r="E43" s="11" t="s">
        <v>138</v>
      </c>
      <c r="F43" s="2" t="s">
        <v>109</v>
      </c>
      <c r="G43" s="11" t="s">
        <v>199</v>
      </c>
      <c r="H43" s="2" t="s">
        <v>116</v>
      </c>
      <c r="I43" s="155"/>
      <c r="J43" s="233">
        <v>330000</v>
      </c>
      <c r="K43" s="155">
        <f>+Tableau6[[#This Row],[MONTANT HT BIEN]]+Tableau6[[#This Row],[MONTANT HT SERVICE]]</f>
        <v>330000</v>
      </c>
      <c r="L43" s="153">
        <v>0</v>
      </c>
      <c r="M43" s="153">
        <f>+IFERROR(IF(Tableau6[[#This Row],[CODE TVA]]="TVAF",Tableau6[[#This Row],[MONTANT HT]]*0.18,0),0)</f>
        <v>59400</v>
      </c>
      <c r="N43" s="153">
        <f>Tableau6[[#This Row],[MONTANT HT]]+Tableau6[[#This Row],[TVA]]-Tableau6[[#This Row],[ACOMPTE SUR HT]]</f>
        <v>389400</v>
      </c>
      <c r="O43" s="153"/>
      <c r="P43" s="153">
        <f>+ROUND(Tableau6[[#This Row],[MONTANT TTC]]-Tableau6[[#This Row],[ACOMPTE SUR TTC]],0)</f>
        <v>389400</v>
      </c>
      <c r="Q43" s="8" t="s">
        <v>517</v>
      </c>
      <c r="R43" s="5">
        <f>IFERROR(INDEX(Tableau2[[ID BC UNIQUE]:[MONTANT HT VALIDE]],MATCH(Tableau6[[#This Row],[N° BC]],Tableau2[ID BC UNIQUE],0),6),0)</f>
        <v>330000</v>
      </c>
      <c r="S43" s="25">
        <f>IFERROR(INDEX(Tableau2[[DATE]:[DELAIS DE PAIEMENT FACTURES EN JOUR]],MATCH(Tableau6[[#This Row],[N° BC]],Tableau2[ID BC UNIQUE],0),5),0)</f>
        <v>30</v>
      </c>
      <c r="T43" s="7">
        <f>IF(ISBLANK(Tableau6[[#This Row],[DATE DE DEPOT]]),"",Tableau6[[#This Row],[DATE DE DEPOT]]+Tableau6[[#This Row],[DELAI]])</f>
        <v>45710</v>
      </c>
      <c r="U43" s="25">
        <f ca="1">+IF(AND(W43=0,Tableau6[[#This Row],[DATE LIMITE]]&lt;TODAY()),TODAY()-Tableau6[[#This Row],[DATE LIMITE]],0)</f>
        <v>0</v>
      </c>
      <c r="V43"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43" s="23">
        <f>SUMIF(Tableau3[FACTURE],Tableau6[[#This Row],[NUM DE FACTURE]],Tableau3[MONTANT TTC])</f>
        <v>389400</v>
      </c>
      <c r="X43" s="7"/>
      <c r="Y43" s="156">
        <f>+Tableau6[[#This Row],[NET A PAYER]]-Tableau6[[#This Row],[MONTANT PAYE]]</f>
        <v>0</v>
      </c>
      <c r="Z43"/>
    </row>
    <row r="44" spans="1:26" ht="10.050000000000001" customHeight="1" x14ac:dyDescent="0.2">
      <c r="A44" t="s">
        <v>100</v>
      </c>
      <c r="B44" s="3">
        <v>45680</v>
      </c>
      <c r="C44" s="12">
        <v>45680</v>
      </c>
      <c r="D44" s="351">
        <v>249</v>
      </c>
      <c r="E44" s="11" t="s">
        <v>138</v>
      </c>
      <c r="F44" s="2" t="s">
        <v>109</v>
      </c>
      <c r="G44" s="11" t="s">
        <v>207</v>
      </c>
      <c r="H44" s="2" t="s">
        <v>116</v>
      </c>
      <c r="I44" s="178"/>
      <c r="J44" s="235">
        <v>1700000</v>
      </c>
      <c r="K44" s="178">
        <f>+Tableau6[[#This Row],[MONTANT HT BIEN]]+Tableau6[[#This Row],[MONTANT HT SERVICE]]</f>
        <v>1700000</v>
      </c>
      <c r="L44" s="153">
        <v>0</v>
      </c>
      <c r="M44" s="176">
        <f>+IFERROR(IF(Tableau6[[#This Row],[CODE TVA]]="TVAF",Tableau6[[#This Row],[MONTANT HT]]*0.18,0),0)</f>
        <v>306000</v>
      </c>
      <c r="N44" s="176">
        <f>Tableau6[[#This Row],[MONTANT HT]]+Tableau6[[#This Row],[TVA]]-Tableau6[[#This Row],[ACOMPTE SUR HT]]</f>
        <v>2006000</v>
      </c>
      <c r="O44" s="176"/>
      <c r="P44" s="176">
        <f>+ROUND(Tableau6[[#This Row],[MONTANT TTC]]-Tableau6[[#This Row],[ACOMPTE SUR TTC]],0)</f>
        <v>2006000</v>
      </c>
      <c r="Q44" s="15" t="s">
        <v>516</v>
      </c>
      <c r="R44" s="14">
        <f>IFERROR(INDEX(Tableau2[[ID BC UNIQUE]:[MONTANT HT VALIDE]],MATCH(Tableau6[[#This Row],[N° BC]],Tableau2[ID BC UNIQUE],0),6),0)</f>
        <v>1700000</v>
      </c>
      <c r="S44" s="26">
        <f>IFERROR(INDEX(Tableau2[[DATE]:[DELAIS DE PAIEMENT FACTURES EN JOUR]],MATCH(Tableau6[[#This Row],[N° BC]],Tableau2[ID BC UNIQUE],0),5),0)</f>
        <v>30</v>
      </c>
      <c r="T44" s="7">
        <f>IF(ISBLANK(Tableau6[[#This Row],[DATE DE DEPOT]]),"",Tableau6[[#This Row],[DATE DE DEPOT]]+Tableau6[[#This Row],[DELAI]])</f>
        <v>45710</v>
      </c>
      <c r="U44" s="25">
        <f ca="1">+IF(AND(W44=0,Tableau6[[#This Row],[DATE LIMITE]]&lt;TODAY()),TODAY()-Tableau6[[#This Row],[DATE LIMITE]],0)</f>
        <v>0</v>
      </c>
      <c r="V44" s="1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44" s="24">
        <f>SUMIF(Tableau3[FACTURE],Tableau6[[#This Row],[NUM DE FACTURE]],Tableau3[MONTANT TTC])</f>
        <v>2006000</v>
      </c>
      <c r="X44" s="12"/>
      <c r="Y44" s="158">
        <f>+Tableau6[[#This Row],[NET A PAYER]]-Tableau6[[#This Row],[MONTANT PAYE]]</f>
        <v>0</v>
      </c>
      <c r="Z44"/>
    </row>
    <row r="45" spans="1:26" ht="10.050000000000001" customHeight="1" x14ac:dyDescent="0.2">
      <c r="A45" t="s">
        <v>100</v>
      </c>
      <c r="B45" s="3">
        <v>45680</v>
      </c>
      <c r="C45" s="7">
        <v>45680</v>
      </c>
      <c r="D45" s="351">
        <v>250</v>
      </c>
      <c r="E45" s="11" t="s">
        <v>138</v>
      </c>
      <c r="F45" s="2" t="s">
        <v>109</v>
      </c>
      <c r="G45" s="11" t="s">
        <v>171</v>
      </c>
      <c r="H45" s="2" t="s">
        <v>116</v>
      </c>
      <c r="I45" s="155"/>
      <c r="J45" s="233">
        <v>720000</v>
      </c>
      <c r="K45" s="155">
        <f>+Tableau6[[#This Row],[MONTANT HT BIEN]]+Tableau6[[#This Row],[MONTANT HT SERVICE]]</f>
        <v>720000</v>
      </c>
      <c r="L45" s="153">
        <v>0</v>
      </c>
      <c r="M45" s="153">
        <f>+IFERROR(IF(Tableau6[[#This Row],[CODE TVA]]="TVAF",Tableau6[[#This Row],[MONTANT HT]]*0.18,0),0)</f>
        <v>129600</v>
      </c>
      <c r="N45" s="153">
        <f>Tableau6[[#This Row],[MONTANT HT]]+Tableau6[[#This Row],[TVA]]-Tableau6[[#This Row],[ACOMPTE SUR HT]]</f>
        <v>849600</v>
      </c>
      <c r="O45" s="153"/>
      <c r="P45" s="153">
        <f>+ROUND(Tableau6[[#This Row],[MONTANT TTC]]-Tableau6[[#This Row],[ACOMPTE SUR TTC]],0)</f>
        <v>849600</v>
      </c>
      <c r="Q45" s="11" t="s">
        <v>478</v>
      </c>
      <c r="R45" s="5">
        <f>IFERROR(INDEX(Tableau2[[ID BC UNIQUE]:[MONTANT HT VALIDE]],MATCH(Tableau6[[#This Row],[N° BC]],Tableau2[ID BC UNIQUE],0),6),0)</f>
        <v>720000</v>
      </c>
      <c r="S45" s="25">
        <f>IFERROR(INDEX(Tableau2[[DATE]:[DELAIS DE PAIEMENT FACTURES EN JOUR]],MATCH(Tableau6[[#This Row],[N° BC]],Tableau2[ID BC UNIQUE],0),5),0)</f>
        <v>30</v>
      </c>
      <c r="T45" s="7">
        <f>IF(ISBLANK(Tableau6[[#This Row],[DATE DE DEPOT]]),"",Tableau6[[#This Row],[DATE DE DEPOT]]+Tableau6[[#This Row],[DELAI]])</f>
        <v>45710</v>
      </c>
      <c r="U45" s="25">
        <f ca="1">+IF(AND(W45=0,Tableau6[[#This Row],[DATE LIMITE]]&lt;TODAY()),TODAY()-Tableau6[[#This Row],[DATE LIMITE]],0)</f>
        <v>0</v>
      </c>
      <c r="V45"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45" s="23">
        <f>SUMIF(Tableau3[FACTURE],Tableau6[[#This Row],[NUM DE FACTURE]],Tableau3[MONTANT TTC])</f>
        <v>849600</v>
      </c>
      <c r="X45" s="7"/>
      <c r="Y45" s="156">
        <f>+Tableau6[[#This Row],[NET A PAYER]]-Tableau6[[#This Row],[MONTANT PAYE]]</f>
        <v>0</v>
      </c>
      <c r="Z45"/>
    </row>
    <row r="46" spans="1:26" ht="10.050000000000001" customHeight="1" x14ac:dyDescent="0.2">
      <c r="A46" t="s">
        <v>100</v>
      </c>
      <c r="B46" s="3">
        <v>45681</v>
      </c>
      <c r="C46" s="12">
        <v>45681</v>
      </c>
      <c r="D46" s="351">
        <v>251</v>
      </c>
      <c r="E46" s="11" t="s">
        <v>138</v>
      </c>
      <c r="F46" s="2" t="s">
        <v>109</v>
      </c>
      <c r="G46" s="11" t="s">
        <v>156</v>
      </c>
      <c r="H46" s="2" t="s">
        <v>116</v>
      </c>
      <c r="I46" s="178"/>
      <c r="J46" s="235">
        <v>15345000</v>
      </c>
      <c r="K46" s="178">
        <f>+Tableau6[[#This Row],[MONTANT HT BIEN]]+Tableau6[[#This Row],[MONTANT HT SERVICE]]</f>
        <v>15345000</v>
      </c>
      <c r="L46" s="153">
        <v>0</v>
      </c>
      <c r="M46" s="176">
        <f>+IFERROR(IF(Tableau6[[#This Row],[CODE TVA]]="TVAF",Tableau6[[#This Row],[MONTANT HT]]*0.18,0),0)</f>
        <v>2762100</v>
      </c>
      <c r="N46" s="176">
        <f>Tableau6[[#This Row],[MONTANT HT]]+Tableau6[[#This Row],[TVA]]-Tableau6[[#This Row],[ACOMPTE SUR HT]]</f>
        <v>18107100</v>
      </c>
      <c r="O46" s="176"/>
      <c r="P46" s="176">
        <f>+ROUND(Tableau6[[#This Row],[MONTANT TTC]]-Tableau6[[#This Row],[ACOMPTE SUR TTC]],0)</f>
        <v>18107100</v>
      </c>
      <c r="Q46" s="15" t="s">
        <v>518</v>
      </c>
      <c r="R46" s="14">
        <f>IFERROR(INDEX(Tableau2[[ID BC UNIQUE]:[MONTANT HT VALIDE]],MATCH(Tableau6[[#This Row],[N° BC]],Tableau2[ID BC UNIQUE],0),6),0)</f>
        <v>15345000</v>
      </c>
      <c r="S46" s="26">
        <f>IFERROR(INDEX(Tableau2[[DATE]:[DELAIS DE PAIEMENT FACTURES EN JOUR]],MATCH(Tableau6[[#This Row],[N° BC]],Tableau2[ID BC UNIQUE],0),5),0)</f>
        <v>30</v>
      </c>
      <c r="T46" s="7">
        <f>IF(ISBLANK(Tableau6[[#This Row],[DATE DE DEPOT]]),"",Tableau6[[#This Row],[DATE DE DEPOT]]+Tableau6[[#This Row],[DELAI]])</f>
        <v>45711</v>
      </c>
      <c r="U46" s="25">
        <f ca="1">+IF(AND(W46=0,Tableau6[[#This Row],[DATE LIMITE]]&lt;TODAY()),TODAY()-Tableau6[[#This Row],[DATE LIMITE]],0)</f>
        <v>0</v>
      </c>
      <c r="V46" s="1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46" s="24">
        <f>SUMIF(Tableau3[FACTURE],Tableau6[[#This Row],[NUM DE FACTURE]],Tableau3[MONTANT TTC])</f>
        <v>18107100</v>
      </c>
      <c r="X46" s="12"/>
      <c r="Y46" s="158">
        <f>+Tableau6[[#This Row],[NET A PAYER]]-Tableau6[[#This Row],[MONTANT PAYE]]</f>
        <v>0</v>
      </c>
      <c r="Z46"/>
    </row>
    <row r="47" spans="1:26" s="16" customFormat="1" ht="11.55" customHeight="1" x14ac:dyDescent="0.2">
      <c r="A47" t="s">
        <v>100</v>
      </c>
      <c r="B47" s="3">
        <v>45684</v>
      </c>
      <c r="C47" s="7">
        <v>45684</v>
      </c>
      <c r="D47" s="351">
        <v>252</v>
      </c>
      <c r="E47" s="11" t="s">
        <v>138</v>
      </c>
      <c r="F47" s="2" t="s">
        <v>109</v>
      </c>
      <c r="G47" s="11" t="s">
        <v>162</v>
      </c>
      <c r="H47" s="2" t="s">
        <v>116</v>
      </c>
      <c r="I47" s="155"/>
      <c r="J47" s="233">
        <v>1080000</v>
      </c>
      <c r="K47" s="155">
        <f>+Tableau6[[#This Row],[MONTANT HT BIEN]]+Tableau6[[#This Row],[MONTANT HT SERVICE]]</f>
        <v>1080000</v>
      </c>
      <c r="L47" s="153">
        <v>0</v>
      </c>
      <c r="M47" s="153">
        <f>+IFERROR(IF(Tableau6[[#This Row],[CODE TVA]]="TVAF",Tableau6[[#This Row],[MONTANT HT]]*0.18,0),0)</f>
        <v>194400</v>
      </c>
      <c r="N47" s="153">
        <f>Tableau6[[#This Row],[MONTANT HT]]+Tableau6[[#This Row],[TVA]]-Tableau6[[#This Row],[ACOMPTE SUR HT]]</f>
        <v>1274400</v>
      </c>
      <c r="O47" s="153"/>
      <c r="P47" s="153">
        <f>+ROUND(Tableau6[[#This Row],[MONTANT TTC]]-Tableau6[[#This Row],[ACOMPTE SUR TTC]],0)</f>
        <v>1274400</v>
      </c>
      <c r="Q47" s="15" t="s">
        <v>519</v>
      </c>
      <c r="R47" s="5">
        <f>IFERROR(INDEX(Tableau2[[ID BC UNIQUE]:[MONTANT HT VALIDE]],MATCH(Tableau6[[#This Row],[N° BC]],Tableau2[ID BC UNIQUE],0),6),0)</f>
        <v>1080000</v>
      </c>
      <c r="S47" s="25">
        <f>IFERROR(INDEX(Tableau2[[DATE]:[DELAIS DE PAIEMENT FACTURES EN JOUR]],MATCH(Tableau6[[#This Row],[N° BC]],Tableau2[ID BC UNIQUE],0),5),0)</f>
        <v>30</v>
      </c>
      <c r="T47" s="7">
        <f>IF(ISBLANK(Tableau6[[#This Row],[DATE DE DEPOT]]),"",Tableau6[[#This Row],[DATE DE DEPOT]]+Tableau6[[#This Row],[DELAI]])</f>
        <v>45714</v>
      </c>
      <c r="U47" s="25">
        <f ca="1">+IF(AND(W47=0,Tableau6[[#This Row],[DATE LIMITE]]&lt;TODAY()),TODAY()-Tableau6[[#This Row],[DATE LIMITE]],0)</f>
        <v>0</v>
      </c>
      <c r="V47"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47" s="23">
        <f>SUMIF(Tableau3[FACTURE],Tableau6[[#This Row],[NUM DE FACTURE]],Tableau3[MONTANT TTC])</f>
        <v>1274400</v>
      </c>
      <c r="X47" s="7"/>
      <c r="Y47" s="156">
        <f>+Tableau6[[#This Row],[NET A PAYER]]-Tableau6[[#This Row],[MONTANT PAYE]]</f>
        <v>0</v>
      </c>
      <c r="Z47"/>
    </row>
    <row r="48" spans="1:26" s="81" customFormat="1" ht="10.050000000000001" customHeight="1" x14ac:dyDescent="0.2">
      <c r="A48" t="s">
        <v>100</v>
      </c>
      <c r="B48" s="3">
        <v>45686</v>
      </c>
      <c r="C48" s="7">
        <v>45686</v>
      </c>
      <c r="D48" s="351">
        <v>254</v>
      </c>
      <c r="E48" s="11" t="s">
        <v>138</v>
      </c>
      <c r="F48" s="2" t="s">
        <v>109</v>
      </c>
      <c r="G48" s="11" t="s">
        <v>194</v>
      </c>
      <c r="H48" s="2" t="s">
        <v>116</v>
      </c>
      <c r="I48" s="155"/>
      <c r="J48" s="233">
        <v>5980000</v>
      </c>
      <c r="K48" s="155">
        <f>+Tableau6[[#This Row],[MONTANT HT BIEN]]+Tableau6[[#This Row],[MONTANT HT SERVICE]]</f>
        <v>5980000</v>
      </c>
      <c r="L48" s="153">
        <v>0</v>
      </c>
      <c r="M48" s="153">
        <f>+IFERROR(IF(Tableau6[[#This Row],[CODE TVA]]="TVAF",Tableau6[[#This Row],[MONTANT HT]]*0.18,0),0)</f>
        <v>1076400</v>
      </c>
      <c r="N48" s="153">
        <f>Tableau6[[#This Row],[MONTANT HT]]+Tableau6[[#This Row],[TVA]]-Tableau6[[#This Row],[ACOMPTE SUR HT]]</f>
        <v>7056400</v>
      </c>
      <c r="O48" s="153"/>
      <c r="P48" s="153">
        <f>+ROUND(Tableau6[[#This Row],[MONTANT TTC]]-Tableau6[[#This Row],[ACOMPTE SUR TTC]],0)</f>
        <v>7056400</v>
      </c>
      <c r="Q48" s="11" t="s">
        <v>520</v>
      </c>
      <c r="R48" s="5">
        <f>IFERROR(INDEX(Tableau2[[ID BC UNIQUE]:[MONTANT HT VALIDE]],MATCH(Tableau6[[#This Row],[N° BC]],Tableau2[ID BC UNIQUE],0),6),0)</f>
        <v>5980000</v>
      </c>
      <c r="S48" s="25">
        <f>IFERROR(INDEX(Tableau2[[DATE]:[DELAIS DE PAIEMENT FACTURES EN JOUR]],MATCH(Tableau6[[#This Row],[N° BC]],Tableau2[ID BC UNIQUE],0),5),0)</f>
        <v>30</v>
      </c>
      <c r="T48" s="7">
        <f>IF(ISBLANK(Tableau6[[#This Row],[DATE DE DEPOT]]),"",Tableau6[[#This Row],[DATE DE DEPOT]]+Tableau6[[#This Row],[DELAI]])</f>
        <v>45716</v>
      </c>
      <c r="U48" s="25">
        <f ca="1">+IF(AND(W48=0,Tableau6[[#This Row],[DATE LIMITE]]&lt;TODAY()),TODAY()-Tableau6[[#This Row],[DATE LIMITE]],0)</f>
        <v>0</v>
      </c>
      <c r="V48"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48" s="23">
        <f>SUMIF(Tableau3[FACTURE],Tableau6[[#This Row],[NUM DE FACTURE]],Tableau3[MONTANT TTC])</f>
        <v>7056400</v>
      </c>
      <c r="X48" s="7"/>
      <c r="Y48" s="156">
        <f>+Tableau6[[#This Row],[NET A PAYER]]-Tableau6[[#This Row],[MONTANT PAYE]]</f>
        <v>0</v>
      </c>
      <c r="Z48"/>
    </row>
    <row r="49" spans="1:26" ht="10.050000000000001" customHeight="1" x14ac:dyDescent="0.2">
      <c r="A49" t="s">
        <v>100</v>
      </c>
      <c r="B49" s="3">
        <v>45686</v>
      </c>
      <c r="C49" s="12">
        <v>45686</v>
      </c>
      <c r="D49" s="351">
        <v>255</v>
      </c>
      <c r="E49" s="15" t="s">
        <v>102</v>
      </c>
      <c r="F49" s="2" t="s">
        <v>109</v>
      </c>
      <c r="G49" s="11" t="s">
        <v>426</v>
      </c>
      <c r="H49" s="2" t="s">
        <v>116</v>
      </c>
      <c r="I49" s="178"/>
      <c r="J49" s="235">
        <v>3060000</v>
      </c>
      <c r="K49" s="178">
        <f>+Tableau6[[#This Row],[MONTANT HT BIEN]]+Tableau6[[#This Row],[MONTANT HT SERVICE]]</f>
        <v>3060000</v>
      </c>
      <c r="L49" s="153">
        <v>0</v>
      </c>
      <c r="M49" s="176">
        <f>+IFERROR(IF(Tableau6[[#This Row],[CODE TVA]]="TVAF",Tableau6[[#This Row],[MONTANT HT]]*0.18,0),0)</f>
        <v>550800</v>
      </c>
      <c r="N49" s="176">
        <f>Tableau6[[#This Row],[MONTANT HT]]+Tableau6[[#This Row],[TVA]]-Tableau6[[#This Row],[ACOMPTE SUR HT]]</f>
        <v>3610800</v>
      </c>
      <c r="O49" s="176"/>
      <c r="P49" s="176">
        <f>+ROUND(Tableau6[[#This Row],[MONTANT TTC]]-Tableau6[[#This Row],[ACOMPTE SUR TTC]],0)</f>
        <v>3610800</v>
      </c>
      <c r="Q49" s="15"/>
      <c r="R49" s="14">
        <f>IFERROR(INDEX(Tableau2[[ID BC UNIQUE]:[MONTANT HT VALIDE]],MATCH(Tableau6[[#This Row],[N° BC]],Tableau2[ID BC UNIQUE],0),6),0)</f>
        <v>0</v>
      </c>
      <c r="S49" s="26">
        <f>IFERROR(INDEX(Tableau2[[DATE]:[DELAIS DE PAIEMENT FACTURES EN JOUR]],MATCH(Tableau6[[#This Row],[N° BC]],Tableau2[ID BC UNIQUE],0),5),0)</f>
        <v>0</v>
      </c>
      <c r="T49" s="7">
        <f>IF(ISBLANK(Tableau6[[#This Row],[DATE DE DEPOT]]),"",Tableau6[[#This Row],[DATE DE DEPOT]]+Tableau6[[#This Row],[DELAI]])</f>
        <v>45686</v>
      </c>
      <c r="U49" s="25">
        <f ca="1">+IF(AND(W49=0,Tableau6[[#This Row],[DATE LIMITE]]&lt;TODAY()),TODAY()-Tableau6[[#This Row],[DATE LIMITE]],0)</f>
        <v>0</v>
      </c>
      <c r="V49" s="1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49" s="24">
        <f>SUMIF(Tableau3[FACTURE],Tableau6[[#This Row],[NUM DE FACTURE]],Tableau3[MONTANT TTC])</f>
        <v>3610800</v>
      </c>
      <c r="X49" s="12">
        <v>45579</v>
      </c>
      <c r="Y49" s="158">
        <f>+Tableau6[[#This Row],[NET A PAYER]]-Tableau6[[#This Row],[MONTANT PAYE]]</f>
        <v>0</v>
      </c>
      <c r="Z49"/>
    </row>
    <row r="50" spans="1:26" ht="10.050000000000001" customHeight="1" x14ac:dyDescent="0.2">
      <c r="A50" t="s">
        <v>100</v>
      </c>
      <c r="B50" s="3">
        <v>45686</v>
      </c>
      <c r="C50" s="12">
        <v>45686</v>
      </c>
      <c r="D50" s="351">
        <v>256</v>
      </c>
      <c r="E50" s="15" t="s">
        <v>102</v>
      </c>
      <c r="F50" s="2" t="s">
        <v>109</v>
      </c>
      <c r="G50" s="11" t="s">
        <v>426</v>
      </c>
      <c r="H50" s="2" t="s">
        <v>116</v>
      </c>
      <c r="I50" s="178"/>
      <c r="J50" s="235">
        <v>336538.13559322036</v>
      </c>
      <c r="K50" s="155">
        <f>+Tableau6[[#This Row],[MONTANT HT BIEN]]+Tableau6[[#This Row],[MONTANT HT SERVICE]]</f>
        <v>336538.13559322036</v>
      </c>
      <c r="L50" s="153">
        <v>0</v>
      </c>
      <c r="M50" s="153">
        <f>+IFERROR(IF(Tableau6[[#This Row],[CODE TVA]]="TVAF",Tableau6[[#This Row],[MONTANT HT]]*0.18,0),0)</f>
        <v>60576.864406779663</v>
      </c>
      <c r="N50" s="176">
        <f>Tableau6[[#This Row],[MONTANT HT]]+Tableau6[[#This Row],[TVA]]-Tableau6[[#This Row],[ACOMPTE SUR HT]]</f>
        <v>397115</v>
      </c>
      <c r="O50" s="176"/>
      <c r="P50" s="176">
        <f>+ROUND(Tableau6[[#This Row],[MONTANT TTC]]-Tableau6[[#This Row],[ACOMPTE SUR TTC]],0)</f>
        <v>397115</v>
      </c>
      <c r="Q50" s="11"/>
      <c r="R50" s="5">
        <f>IFERROR(INDEX(Tableau2[[ID BC UNIQUE]:[MONTANT HT VALIDE]],MATCH(Tableau6[[#This Row],[N° BC]],Tableau2[ID BC UNIQUE],0),6),0)</f>
        <v>0</v>
      </c>
      <c r="S50" s="26">
        <f>IFERROR(INDEX(Tableau2[[DATE]:[DELAIS DE PAIEMENT FACTURES EN JOUR]],MATCH(Tableau6[[#This Row],[N° BC]],Tableau2[ID BC UNIQUE],0),5),0)</f>
        <v>0</v>
      </c>
      <c r="T50" s="7">
        <f>IF(ISBLANK(Tableau6[[#This Row],[DATE DE DEPOT]]),"",Tableau6[[#This Row],[DATE DE DEPOT]]+Tableau6[[#This Row],[DELAI]])</f>
        <v>45686</v>
      </c>
      <c r="U50" s="25">
        <f ca="1">+IF(AND(W50=0,Tableau6[[#This Row],[DATE LIMITE]]&lt;TODAY()),TODAY()-Tableau6[[#This Row],[DATE LIMITE]],0)</f>
        <v>0</v>
      </c>
      <c r="V50" s="1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50" s="24">
        <f>SUMIF(Tableau3[FACTURE],Tableau6[[#This Row],[NUM DE FACTURE]],Tableau3[MONTANT TTC])</f>
        <v>397115</v>
      </c>
      <c r="X50" s="12"/>
      <c r="Y50" s="158">
        <f>+Tableau6[[#This Row],[NET A PAYER]]-Tableau6[[#This Row],[MONTANT PAYE]]</f>
        <v>0</v>
      </c>
      <c r="Z50"/>
    </row>
    <row r="51" spans="1:26" ht="10.050000000000001" customHeight="1" x14ac:dyDescent="0.2">
      <c r="A51" t="s">
        <v>100</v>
      </c>
      <c r="B51" s="3">
        <v>45688</v>
      </c>
      <c r="C51" s="7">
        <v>45688</v>
      </c>
      <c r="D51" s="351">
        <v>257</v>
      </c>
      <c r="E51" s="11" t="s">
        <v>138</v>
      </c>
      <c r="F51" s="2" t="s">
        <v>109</v>
      </c>
      <c r="G51" s="11" t="s">
        <v>194</v>
      </c>
      <c r="H51" s="2" t="s">
        <v>116</v>
      </c>
      <c r="I51" s="155"/>
      <c r="J51" s="233">
        <v>3450000</v>
      </c>
      <c r="K51" s="155">
        <f>+Tableau6[[#This Row],[MONTANT HT BIEN]]+Tableau6[[#This Row],[MONTANT HT SERVICE]]</f>
        <v>3450000</v>
      </c>
      <c r="L51" s="153">
        <v>0</v>
      </c>
      <c r="M51" s="153">
        <f>+IFERROR(IF(Tableau6[[#This Row],[CODE TVA]]="TVAF",Tableau6[[#This Row],[MONTANT HT]]*0.18,0),0)</f>
        <v>621000</v>
      </c>
      <c r="N51" s="153">
        <f>Tableau6[[#This Row],[MONTANT HT]]+Tableau6[[#This Row],[TVA]]-Tableau6[[#This Row],[ACOMPTE SUR HT]]</f>
        <v>4071000</v>
      </c>
      <c r="O51" s="153"/>
      <c r="P51" s="153">
        <f>+ROUND(Tableau6[[#This Row],[MONTANT TTC]]-Tableau6[[#This Row],[ACOMPTE SUR TTC]],0)</f>
        <v>4071000</v>
      </c>
      <c r="Q51" s="11" t="s">
        <v>521</v>
      </c>
      <c r="R51" s="5">
        <f>IFERROR(INDEX(Tableau2[[ID BC UNIQUE]:[MONTANT HT VALIDE]],MATCH(Tableau6[[#This Row],[N° BC]],Tableau2[ID BC UNIQUE],0),6),0)</f>
        <v>3450000</v>
      </c>
      <c r="S51" s="25">
        <f>IFERROR(INDEX(Tableau2[[DATE]:[DELAIS DE PAIEMENT FACTURES EN JOUR]],MATCH(Tableau6[[#This Row],[N° BC]],Tableau2[ID BC UNIQUE],0),5),0)</f>
        <v>30</v>
      </c>
      <c r="T51" s="7">
        <f>IF(ISBLANK(Tableau6[[#This Row],[DATE DE DEPOT]]),"",Tableau6[[#This Row],[DATE DE DEPOT]]+Tableau6[[#This Row],[DELAI]])</f>
        <v>45718</v>
      </c>
      <c r="U51" s="25">
        <f ca="1">+IF(AND(W51=0,Tableau6[[#This Row],[DATE LIMITE]]&lt;TODAY()),TODAY()-Tableau6[[#This Row],[DATE LIMITE]],0)</f>
        <v>0</v>
      </c>
      <c r="V51"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51" s="23">
        <f>SUMIF(Tableau3[FACTURE],Tableau6[[#This Row],[NUM DE FACTURE]],Tableau3[MONTANT TTC])</f>
        <v>4071000</v>
      </c>
      <c r="X51" s="7"/>
      <c r="Y51" s="156">
        <f>+Tableau6[[#This Row],[NET A PAYER]]-Tableau6[[#This Row],[MONTANT PAYE]]</f>
        <v>0</v>
      </c>
      <c r="Z51"/>
    </row>
    <row r="52" spans="1:26" ht="10.050000000000001" customHeight="1" x14ac:dyDescent="0.2">
      <c r="A52" t="s">
        <v>100</v>
      </c>
      <c r="B52" s="3">
        <v>45691</v>
      </c>
      <c r="C52" s="44">
        <v>45691</v>
      </c>
      <c r="D52" s="351">
        <v>259</v>
      </c>
      <c r="E52" s="11" t="s">
        <v>138</v>
      </c>
      <c r="F52" s="2" t="s">
        <v>110</v>
      </c>
      <c r="G52" s="11" t="s">
        <v>209</v>
      </c>
      <c r="H52" s="2" t="s">
        <v>116</v>
      </c>
      <c r="I52" s="168">
        <v>1534000</v>
      </c>
      <c r="J52" s="234"/>
      <c r="K52" s="168">
        <f>+Tableau6[[#This Row],[MONTANT HT BIEN]]+Tableau6[[#This Row],[MONTANT HT SERVICE]]</f>
        <v>1534000</v>
      </c>
      <c r="L52" s="169">
        <v>0</v>
      </c>
      <c r="M52" s="169">
        <f>+IFERROR(IF(Tableau6[[#This Row],[CODE TVA]]="TVAF",Tableau6[[#This Row],[MONTANT HT]]*0.18,0),0)</f>
        <v>276120</v>
      </c>
      <c r="N52" s="169">
        <f>Tableau6[[#This Row],[MONTANT HT]]+Tableau6[[#This Row],[TVA]]-Tableau6[[#This Row],[ACOMPTE SUR HT]]</f>
        <v>1810120</v>
      </c>
      <c r="O52" s="169"/>
      <c r="P52" s="169">
        <f>+ROUND(Tableau6[[#This Row],[MONTANT TTC]]-Tableau6[[#This Row],[ACOMPTE SUR TTC]],0)</f>
        <v>1810120</v>
      </c>
      <c r="Q52" s="51" t="s">
        <v>415</v>
      </c>
      <c r="R52" s="46">
        <f>IFERROR(INDEX(Tableau2[[ID BC UNIQUE]:[MONTANT HT VALIDE]],MATCH(Tableau6[[#This Row],[N° BC]],Tableau2[ID BC UNIQUE],0),6),0)</f>
        <v>1534000</v>
      </c>
      <c r="S52" s="48">
        <f>IFERROR(INDEX(Tableau2[[DATE]:[DELAIS DE PAIEMENT FACTURES EN JOUR]],MATCH(Tableau6[[#This Row],[N° BC]],Tableau2[ID BC UNIQUE],0),5),0)</f>
        <v>30</v>
      </c>
      <c r="T52" s="7">
        <f>IF(ISBLANK(Tableau6[[#This Row],[DATE DE DEPOT]]),"",Tableau6[[#This Row],[DATE DE DEPOT]]+Tableau6[[#This Row],[DELAI]])</f>
        <v>45721</v>
      </c>
      <c r="U52" s="25">
        <f ca="1">+IF(AND(W52=0,Tableau6[[#This Row],[DATE LIMITE]]&lt;TODAY()),TODAY()-Tableau6[[#This Row],[DATE LIMITE]],0)</f>
        <v>0</v>
      </c>
      <c r="V52" s="4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52" s="49">
        <f>SUMIF(Tableau3[FACTURE],Tableau6[[#This Row],[NUM DE FACTURE]],Tableau3[MONTANT TTC])</f>
        <v>1810120</v>
      </c>
      <c r="X52" s="44"/>
      <c r="Y52" s="157">
        <f>+Tableau6[[#This Row],[NET A PAYER]]-Tableau6[[#This Row],[MONTANT PAYE]]</f>
        <v>0</v>
      </c>
      <c r="Z52" s="50"/>
    </row>
    <row r="53" spans="1:26" ht="10.050000000000001" customHeight="1" x14ac:dyDescent="0.2">
      <c r="A53" t="s">
        <v>100</v>
      </c>
      <c r="B53" s="3">
        <v>45691</v>
      </c>
      <c r="C53" s="44">
        <v>45691</v>
      </c>
      <c r="D53" s="351">
        <v>260</v>
      </c>
      <c r="E53" s="11" t="s">
        <v>138</v>
      </c>
      <c r="F53" s="2" t="s">
        <v>110</v>
      </c>
      <c r="G53" s="11" t="s">
        <v>208</v>
      </c>
      <c r="H53" s="2" t="s">
        <v>116</v>
      </c>
      <c r="I53" s="234">
        <v>2602000</v>
      </c>
      <c r="J53" s="234"/>
      <c r="K53" s="168">
        <f>+Tableau6[[#This Row],[MONTANT HT BIEN]]+Tableau6[[#This Row],[MONTANT HT SERVICE]]</f>
        <v>2602000</v>
      </c>
      <c r="L53" s="169">
        <v>0</v>
      </c>
      <c r="M53" s="169">
        <f>+IFERROR(IF(Tableau6[[#This Row],[CODE TVA]]="TVAF",Tableau6[[#This Row],[MONTANT HT]]*0.18,0),0)</f>
        <v>468360</v>
      </c>
      <c r="N53" s="169">
        <f>Tableau6[[#This Row],[MONTANT HT]]+Tableau6[[#This Row],[TVA]]-Tableau6[[#This Row],[ACOMPTE SUR HT]]</f>
        <v>3070360</v>
      </c>
      <c r="O53" s="169"/>
      <c r="P53" s="169">
        <f>+ROUND(Tableau6[[#This Row],[MONTANT TTC]]-Tableau6[[#This Row],[ACOMPTE SUR TTC]],0)</f>
        <v>3070360</v>
      </c>
      <c r="Q53" s="51" t="s">
        <v>449</v>
      </c>
      <c r="R53" s="46">
        <f>IFERROR(INDEX(Tableau2[[ID BC UNIQUE]:[MONTANT HT VALIDE]],MATCH(Tableau6[[#This Row],[N° BC]],Tableau2[ID BC UNIQUE],0),6),0)</f>
        <v>2602000</v>
      </c>
      <c r="S53" s="48">
        <f>IFERROR(INDEX(Tableau2[[DATE]:[DELAIS DE PAIEMENT FACTURES EN JOUR]],MATCH(Tableau6[[#This Row],[N° BC]],Tableau2[ID BC UNIQUE],0),5),0)</f>
        <v>30</v>
      </c>
      <c r="T53" s="7">
        <f>IF(ISBLANK(Tableau6[[#This Row],[DATE DE DEPOT]]),"",Tableau6[[#This Row],[DATE DE DEPOT]]+Tableau6[[#This Row],[DELAI]])</f>
        <v>45721</v>
      </c>
      <c r="U53" s="25">
        <f ca="1">+IF(AND(W53=0,Tableau6[[#This Row],[DATE LIMITE]]&lt;TODAY()),TODAY()-Tableau6[[#This Row],[DATE LIMITE]],0)</f>
        <v>0</v>
      </c>
      <c r="V53" s="4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53" s="49">
        <f>SUMIF(Tableau3[FACTURE],Tableau6[[#This Row],[NUM DE FACTURE]],Tableau3[MONTANT TTC])</f>
        <v>3070360</v>
      </c>
      <c r="X53" s="44"/>
      <c r="Y53" s="157">
        <f>+Tableau6[[#This Row],[NET A PAYER]]-Tableau6[[#This Row],[MONTANT PAYE]]</f>
        <v>0</v>
      </c>
      <c r="Z53" s="50"/>
    </row>
    <row r="54" spans="1:26" ht="10.050000000000001" customHeight="1" x14ac:dyDescent="0.2">
      <c r="A54" t="s">
        <v>100</v>
      </c>
      <c r="B54" s="3">
        <v>45692</v>
      </c>
      <c r="C54" s="7">
        <v>45692</v>
      </c>
      <c r="D54" s="472">
        <v>262</v>
      </c>
      <c r="E54" s="11" t="s">
        <v>138</v>
      </c>
      <c r="F54" s="2" t="s">
        <v>111</v>
      </c>
      <c r="G54" s="11" t="s">
        <v>165</v>
      </c>
      <c r="H54" s="2" t="s">
        <v>116</v>
      </c>
      <c r="I54" s="155"/>
      <c r="J54" s="155">
        <v>3622500</v>
      </c>
      <c r="K54" s="155">
        <f>+Tableau6[[#This Row],[MONTANT HT BIEN]]+Tableau6[[#This Row],[MONTANT HT SERVICE]]</f>
        <v>3622500</v>
      </c>
      <c r="L54" s="153">
        <v>0</v>
      </c>
      <c r="M54" s="153">
        <f>+IFERROR(IF(Tableau6[[#This Row],[CODE TVA]]="TVAF",Tableau6[[#This Row],[MONTANT HT]]*0.18,0),0)</f>
        <v>652050</v>
      </c>
      <c r="N54" s="153">
        <f>Tableau6[[#This Row],[MONTANT HT]]+Tableau6[[#This Row],[TVA]]-Tableau6[[#This Row],[ACOMPTE SUR HT]]</f>
        <v>4274550</v>
      </c>
      <c r="O54" s="153"/>
      <c r="P54" s="153">
        <f>+ROUND(Tableau6[[#This Row],[MONTANT TTC]]-Tableau6[[#This Row],[ACOMPTE SUR TTC]],0)</f>
        <v>4274550</v>
      </c>
      <c r="Q54" s="11" t="s">
        <v>450</v>
      </c>
      <c r="R54" s="5">
        <f>IFERROR(INDEX(Tableau2[[ID BC UNIQUE]:[MONTANT HT VALIDE]],MATCH(Tableau6[[#This Row],[N° BC]],Tableau2[ID BC UNIQUE],0),6),0)</f>
        <v>3622500</v>
      </c>
      <c r="S54" s="25">
        <f>IFERROR(INDEX(Tableau2[[DATE]:[DELAIS DE PAIEMENT FACTURES EN JOUR]],MATCH(Tableau6[[#This Row],[N° BC]],Tableau2[ID BC UNIQUE],0),5),0)</f>
        <v>30</v>
      </c>
      <c r="T54" s="7">
        <f>IF(ISBLANK(Tableau6[[#This Row],[DATE DE DEPOT]]),"",Tableau6[[#This Row],[DATE DE DEPOT]]+Tableau6[[#This Row],[DELAI]])</f>
        <v>45722</v>
      </c>
      <c r="U54" s="25">
        <f ca="1">+IF(AND(W54=0,Tableau6[[#This Row],[DATE LIMITE]]&lt;TODAY()),TODAY()-Tableau6[[#This Row],[DATE LIMITE]],0)</f>
        <v>0</v>
      </c>
      <c r="V54"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TROP PAYE</v>
      </c>
      <c r="W54" s="23">
        <f>SUMIF(Tableau3[FACTURE],Tableau6[[#This Row],[NUM DE FACTURE]],Tableau3[MONTANT TTC])</f>
        <v>4306500</v>
      </c>
      <c r="X54" s="7">
        <v>45561</v>
      </c>
      <c r="Y54" s="156">
        <f>+Tableau6[[#This Row],[NET A PAYER]]-Tableau6[[#This Row],[MONTANT PAYE]]</f>
        <v>-31950</v>
      </c>
      <c r="Z54"/>
    </row>
    <row r="55" spans="1:26" ht="10.050000000000001" customHeight="1" x14ac:dyDescent="0.2">
      <c r="A55" s="363" t="s">
        <v>100</v>
      </c>
      <c r="B55" s="364">
        <v>45692</v>
      </c>
      <c r="C55" s="365">
        <v>45702</v>
      </c>
      <c r="D55" s="366">
        <v>261</v>
      </c>
      <c r="E55" s="435" t="s">
        <v>138</v>
      </c>
      <c r="F55" s="435" t="s">
        <v>672</v>
      </c>
      <c r="G55" s="435" t="s">
        <v>154</v>
      </c>
      <c r="H55" s="435" t="s">
        <v>305</v>
      </c>
      <c r="I55" s="367"/>
      <c r="J55" s="368">
        <v>1610000</v>
      </c>
      <c r="K55" s="369">
        <f>+Tableau6[[#This Row],[MONTANT HT BIEN]]+Tableau6[[#This Row],[MONTANT HT SERVICE]]</f>
        <v>1610000</v>
      </c>
      <c r="L55" s="153"/>
      <c r="M55" s="370">
        <f>+IFERROR(IF(Tableau6[[#This Row],[CODE TVA]]="TVAF",Tableau6[[#This Row],[MONTANT HT]]*0.18,0),0)</f>
        <v>0</v>
      </c>
      <c r="N55" s="370">
        <f>Tableau6[[#This Row],[MONTANT HT]]+Tableau6[[#This Row],[TVA]]-Tableau6[[#This Row],[ACOMPTE SUR HT]]</f>
        <v>1610000</v>
      </c>
      <c r="O55" s="370"/>
      <c r="P55" s="370">
        <f>+ROUND(Tableau6[[#This Row],[MONTANT TTC]]-Tableau6[[#This Row],[ACOMPTE SUR TTC]],0)</f>
        <v>1610000</v>
      </c>
      <c r="Q55" s="2" t="s">
        <v>673</v>
      </c>
      <c r="R55" s="372">
        <f>IFERROR(INDEX(Tableau2[[ID BC UNIQUE]:[MONTANT HT VALIDE]],MATCH(Tableau6[[#This Row],[N° BC]],Tableau2[ID BC UNIQUE],0),6),0)</f>
        <v>1610000</v>
      </c>
      <c r="S55" s="373">
        <f>IFERROR(INDEX(Tableau2[[DATE]:[DELAIS DE PAIEMENT FACTURES EN JOUR]],MATCH(Tableau6[[#This Row],[N° BC]],Tableau2[ID BC UNIQUE],0),5),0)</f>
        <v>30</v>
      </c>
      <c r="T55" s="365">
        <f>IF(ISBLANK(Tableau6[[#This Row],[DATE DE DEPOT]]),"",Tableau6[[#This Row],[DATE DE DEPOT]]+Tableau6[[#This Row],[DELAI]])</f>
        <v>45732</v>
      </c>
      <c r="U55" s="373">
        <f ca="1">+IF(AND(W55=0,Tableau6[[#This Row],[DATE LIMITE]]&lt;TODAY()),TODAY()-Tableau6[[#This Row],[DATE LIMITE]],0)</f>
        <v>0</v>
      </c>
      <c r="V55" s="37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55" s="374">
        <f>SUMIF(Tableau3[FACTURE],Tableau6[[#This Row],[NUM DE FACTURE]],Tableau3[MONTANT TTC])</f>
        <v>1610000</v>
      </c>
      <c r="X55" s="365"/>
      <c r="Y55" s="375">
        <f>+Tableau6[[#This Row],[NET A PAYER]]-Tableau6[[#This Row],[MONTANT PAYE]]</f>
        <v>0</v>
      </c>
      <c r="Z55" s="363"/>
    </row>
    <row r="56" spans="1:26" ht="10.050000000000001" customHeight="1" x14ac:dyDescent="0.2">
      <c r="A56" t="s">
        <v>100</v>
      </c>
      <c r="B56" s="3">
        <v>45693</v>
      </c>
      <c r="C56" s="7">
        <v>45693</v>
      </c>
      <c r="D56" s="351">
        <v>263</v>
      </c>
      <c r="E56" s="11" t="s">
        <v>138</v>
      </c>
      <c r="F56" s="2" t="s">
        <v>109</v>
      </c>
      <c r="G56" s="11" t="s">
        <v>199</v>
      </c>
      <c r="H56" s="2" t="s">
        <v>116</v>
      </c>
      <c r="I56" s="155"/>
      <c r="J56" s="233">
        <v>180000</v>
      </c>
      <c r="K56" s="155">
        <f>+Tableau6[[#This Row],[MONTANT HT BIEN]]+Tableau6[[#This Row],[MONTANT HT SERVICE]]</f>
        <v>180000</v>
      </c>
      <c r="L56" s="153">
        <v>0</v>
      </c>
      <c r="M56" s="153">
        <f>+IFERROR(IF(Tableau6[[#This Row],[CODE TVA]]="TVAF",Tableau6[[#This Row],[MONTANT HT]]*0.18,0),0)</f>
        <v>32400</v>
      </c>
      <c r="N56" s="153">
        <f>Tableau6[[#This Row],[MONTANT HT]]+Tableau6[[#This Row],[TVA]]-Tableau6[[#This Row],[ACOMPTE SUR HT]]</f>
        <v>212400</v>
      </c>
      <c r="O56" s="153"/>
      <c r="P56" s="153">
        <f>+ROUND(Tableau6[[#This Row],[MONTANT TTC]]-Tableau6[[#This Row],[ACOMPTE SUR TTC]],0)</f>
        <v>212400</v>
      </c>
      <c r="Q56" s="9" t="s">
        <v>759</v>
      </c>
      <c r="R56" s="5">
        <f>IFERROR(INDEX(Tableau2[[ID BC UNIQUE]:[MONTANT HT VALIDE]],MATCH(Tableau6[[#This Row],[N° BC]],Tableau2[ID BC UNIQUE],0),6),0)</f>
        <v>180000</v>
      </c>
      <c r="S56" s="25">
        <f>IFERROR(INDEX(Tableau2[[DATE]:[DELAIS DE PAIEMENT FACTURES EN JOUR]],MATCH(Tableau6[[#This Row],[N° BC]],Tableau2[ID BC UNIQUE],0),5),0)</f>
        <v>30</v>
      </c>
      <c r="T56" s="7">
        <f>IF(ISBLANK(Tableau6[[#This Row],[DATE DE DEPOT]]),"",Tableau6[[#This Row],[DATE DE DEPOT]]+Tableau6[[#This Row],[DELAI]])</f>
        <v>45723</v>
      </c>
      <c r="U56" s="25">
        <f ca="1">+IF(AND(W56=0,Tableau6[[#This Row],[DATE LIMITE]]&lt;TODAY()),TODAY()-Tableau6[[#This Row],[DATE LIMITE]],0)</f>
        <v>0</v>
      </c>
      <c r="V56"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56" s="23">
        <f>SUMIF(Tableau3[FACTURE],Tableau6[[#This Row],[NUM DE FACTURE]],Tableau3[MONTANT TTC])</f>
        <v>212400</v>
      </c>
      <c r="X56" s="7"/>
      <c r="Y56" s="156">
        <f>+Tableau6[[#This Row],[NET A PAYER]]-Tableau6[[#This Row],[MONTANT PAYE]]</f>
        <v>0</v>
      </c>
      <c r="Z56"/>
    </row>
    <row r="57" spans="1:26" ht="10.050000000000001" customHeight="1" x14ac:dyDescent="0.2">
      <c r="A57" t="s">
        <v>100</v>
      </c>
      <c r="B57" s="3">
        <v>45693</v>
      </c>
      <c r="C57" s="7">
        <v>45693</v>
      </c>
      <c r="D57" s="351">
        <v>271</v>
      </c>
      <c r="E57" s="11" t="s">
        <v>103</v>
      </c>
      <c r="F57" s="2" t="s">
        <v>111</v>
      </c>
      <c r="G57" s="11"/>
      <c r="H57" s="2" t="s">
        <v>116</v>
      </c>
      <c r="I57" s="155"/>
      <c r="J57" s="233">
        <v>560000</v>
      </c>
      <c r="K57" s="155">
        <f>+Tableau6[[#This Row],[MONTANT HT BIEN]]+Tableau6[[#This Row],[MONTANT HT SERVICE]]</f>
        <v>560000</v>
      </c>
      <c r="L57" s="153">
        <v>0</v>
      </c>
      <c r="M57" s="153">
        <f>+IFERROR(IF(Tableau6[[#This Row],[CODE TVA]]="TVAF",Tableau6[[#This Row],[MONTANT HT]]*0.18,0),0)</f>
        <v>100800</v>
      </c>
      <c r="N57" s="153">
        <f>Tableau6[[#This Row],[MONTANT HT]]+Tableau6[[#This Row],[TVA]]-Tableau6[[#This Row],[ACOMPTE SUR HT]]</f>
        <v>660800</v>
      </c>
      <c r="O57" s="153"/>
      <c r="P57" s="153">
        <f>+ROUND(Tableau6[[#This Row],[MONTANT TTC]]-Tableau6[[#This Row],[ACOMPTE SUR TTC]],0)</f>
        <v>660800</v>
      </c>
      <c r="Q57" s="9"/>
      <c r="R57" s="5">
        <f>IFERROR(INDEX(Tableau2[[ID BC UNIQUE]:[MONTANT HT VALIDE]],MATCH(Tableau6[[#This Row],[N° BC]],Tableau2[ID BC UNIQUE],0),6),0)</f>
        <v>0</v>
      </c>
      <c r="S57" s="25">
        <f>IFERROR(INDEX(Tableau2[[DATE]:[DELAIS DE PAIEMENT FACTURES EN JOUR]],MATCH(Tableau6[[#This Row],[N° BC]],Tableau2[ID BC UNIQUE],0),5),0)</f>
        <v>0</v>
      </c>
      <c r="T57" s="7">
        <f>IF(ISBLANK(Tableau6[[#This Row],[DATE DE DEPOT]]),"",Tableau6[[#This Row],[DATE DE DEPOT]]+Tableau6[[#This Row],[DELAI]])</f>
        <v>45693</v>
      </c>
      <c r="U57" s="25">
        <f ca="1">+IF(AND(W57=0,Tableau6[[#This Row],[DATE LIMITE]]&lt;TODAY()),TODAY()-Tableau6[[#This Row],[DATE LIMITE]],0)</f>
        <v>0</v>
      </c>
      <c r="V57"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57" s="23">
        <f>SUMIF(Tableau3[FACTURE],Tableau6[[#This Row],[NUM DE FACTURE]],Tableau3[MONTANT TTC])</f>
        <v>660800</v>
      </c>
      <c r="X57" s="7">
        <v>45579</v>
      </c>
      <c r="Y57" s="156">
        <f>+Tableau6[[#This Row],[NET A PAYER]]-Tableau6[[#This Row],[MONTANT PAYE]]</f>
        <v>0</v>
      </c>
      <c r="Z57"/>
    </row>
    <row r="58" spans="1:26" ht="10.050000000000001" customHeight="1" x14ac:dyDescent="0.2">
      <c r="A58" t="s">
        <v>100</v>
      </c>
      <c r="B58" s="3">
        <v>45694</v>
      </c>
      <c r="C58" s="12">
        <v>45694</v>
      </c>
      <c r="D58" s="351">
        <v>269</v>
      </c>
      <c r="E58" s="11" t="s">
        <v>138</v>
      </c>
      <c r="F58" s="2" t="s">
        <v>111</v>
      </c>
      <c r="G58" s="11" t="s">
        <v>170</v>
      </c>
      <c r="H58" s="2" t="s">
        <v>116</v>
      </c>
      <c r="I58" s="178"/>
      <c r="J58" s="235">
        <v>4500000</v>
      </c>
      <c r="K58" s="178">
        <f>+Tableau6[[#This Row],[MONTANT HT BIEN]]+Tableau6[[#This Row],[MONTANT HT SERVICE]]</f>
        <v>4500000</v>
      </c>
      <c r="L58" s="153">
        <v>0</v>
      </c>
      <c r="M58" s="176">
        <f>+IFERROR(IF(Tableau6[[#This Row],[CODE TVA]]="TVAF",Tableau6[[#This Row],[MONTANT HT]]*0.18,0),0)</f>
        <v>810000</v>
      </c>
      <c r="N58" s="176">
        <f>Tableau6[[#This Row],[MONTANT HT]]+Tableau6[[#This Row],[TVA]]-Tableau6[[#This Row],[ACOMPTE SUR HT]]</f>
        <v>5310000</v>
      </c>
      <c r="O58" s="176"/>
      <c r="P58" s="176">
        <f>+ROUND(Tableau6[[#This Row],[MONTANT TTC]]-Tableau6[[#This Row],[ACOMPTE SUR TTC]],0)</f>
        <v>5310000</v>
      </c>
      <c r="Q58" s="15" t="s">
        <v>760</v>
      </c>
      <c r="R58" s="14">
        <f>IFERROR(INDEX(Tableau2[[ID BC UNIQUE]:[MONTANT HT VALIDE]],MATCH(Tableau6[[#This Row],[N° BC]],Tableau2[ID BC UNIQUE],0),6),0)</f>
        <v>4500000</v>
      </c>
      <c r="S58" s="26">
        <f>IFERROR(INDEX(Tableau2[[DATE]:[DELAIS DE PAIEMENT FACTURES EN JOUR]],MATCH(Tableau6[[#This Row],[N° BC]],Tableau2[ID BC UNIQUE],0),5),0)</f>
        <v>30</v>
      </c>
      <c r="T58" s="7">
        <f>IF(ISBLANK(Tableau6[[#This Row],[DATE DE DEPOT]]),"",Tableau6[[#This Row],[DATE DE DEPOT]]+Tableau6[[#This Row],[DELAI]])</f>
        <v>45724</v>
      </c>
      <c r="U58" s="25">
        <f ca="1">+IF(AND(W58=0,Tableau6[[#This Row],[DATE LIMITE]]&lt;TODAY()),TODAY()-Tableau6[[#This Row],[DATE LIMITE]],0)</f>
        <v>0</v>
      </c>
      <c r="V58" s="1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58" s="24">
        <f>SUMIF(Tableau3[FACTURE],Tableau6[[#This Row],[NUM DE FACTURE]],Tableau3[MONTANT TTC])</f>
        <v>5310000</v>
      </c>
      <c r="X58" s="12"/>
      <c r="Y58" s="158">
        <f>+Tableau6[[#This Row],[NET A PAYER]]-Tableau6[[#This Row],[MONTANT PAYE]]</f>
        <v>0</v>
      </c>
      <c r="Z58"/>
    </row>
    <row r="59" spans="1:26" x14ac:dyDescent="0.2">
      <c r="A59" t="s">
        <v>100</v>
      </c>
      <c r="B59" s="3">
        <v>45694</v>
      </c>
      <c r="C59" s="12">
        <v>45694</v>
      </c>
      <c r="D59" s="351">
        <v>285</v>
      </c>
      <c r="E59" s="15" t="s">
        <v>104</v>
      </c>
      <c r="F59" s="2" t="s">
        <v>111</v>
      </c>
      <c r="G59" s="11"/>
      <c r="H59" s="2" t="s">
        <v>116</v>
      </c>
      <c r="I59" s="178"/>
      <c r="J59" s="235">
        <v>216534.50847457629</v>
      </c>
      <c r="K59" s="178">
        <f>+Tableau6[[#This Row],[MONTANT HT BIEN]]+Tableau6[[#This Row],[MONTANT HT SERVICE]]</f>
        <v>216534.50847457629</v>
      </c>
      <c r="L59" s="153">
        <v>0</v>
      </c>
      <c r="M59" s="176">
        <f>+IFERROR(IF(Tableau6[[#This Row],[CODE TVA]]="TVAF",Tableau6[[#This Row],[MONTANT HT]]*0.18,0),0)</f>
        <v>38976.211525423729</v>
      </c>
      <c r="N59" s="176">
        <f>Tableau6[[#This Row],[MONTANT HT]]+Tableau6[[#This Row],[TVA]]-Tableau6[[#This Row],[ACOMPTE SUR HT]]</f>
        <v>255510.72000000003</v>
      </c>
      <c r="O59" s="176"/>
      <c r="P59" s="176">
        <f>+ROUND(Tableau6[[#This Row],[MONTANT TTC]]-Tableau6[[#This Row],[ACOMPTE SUR TTC]],0)</f>
        <v>255511</v>
      </c>
      <c r="Q59" s="11"/>
      <c r="R59" s="14">
        <f>IFERROR(INDEX(Tableau2[[ID BC UNIQUE]:[MONTANT HT VALIDE]],MATCH(Tableau6[[#This Row],[N° BC]],Tableau2[ID BC UNIQUE],0),6),0)</f>
        <v>0</v>
      </c>
      <c r="S59" s="26">
        <f>IFERROR(INDEX(Tableau2[[DATE]:[DELAIS DE PAIEMENT FACTURES EN JOUR]],MATCH(Tableau6[[#This Row],[N° BC]],Tableau2[ID BC UNIQUE],0),5),0)</f>
        <v>0</v>
      </c>
      <c r="T59" s="7">
        <f>IF(ISBLANK(Tableau6[[#This Row],[DATE DE DEPOT]]),"",Tableau6[[#This Row],[DATE DE DEPOT]]+Tableau6[[#This Row],[DELAI]])</f>
        <v>45694</v>
      </c>
      <c r="U59" s="25">
        <f ca="1">+IF(AND(W59=0,Tableau6[[#This Row],[DATE LIMITE]]&lt;TODAY()),TODAY()-Tableau6[[#This Row],[DATE LIMITE]],0)</f>
        <v>0</v>
      </c>
      <c r="V59" s="1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PAIEMENT PARTIEL</v>
      </c>
      <c r="W59" s="24">
        <f>SUMIF(Tableau3[FACTURE],Tableau6[[#This Row],[NUM DE FACTURE]],Tableau3[MONTANT TTC])</f>
        <v>255510.72000000003</v>
      </c>
      <c r="X59" s="12"/>
      <c r="Y59" s="158">
        <f>+Tableau6[[#This Row],[NET A PAYER]]-Tableau6[[#This Row],[MONTANT PAYE]]</f>
        <v>0.27999999996973202</v>
      </c>
      <c r="Z59"/>
    </row>
    <row r="60" spans="1:26" ht="10.050000000000001" customHeight="1" x14ac:dyDescent="0.2">
      <c r="A60" t="s">
        <v>100</v>
      </c>
      <c r="B60" s="3">
        <v>45694</v>
      </c>
      <c r="C60" s="7">
        <v>45694</v>
      </c>
      <c r="D60" s="351">
        <v>286</v>
      </c>
      <c r="E60" s="11" t="s">
        <v>104</v>
      </c>
      <c r="F60" s="2" t="s">
        <v>111</v>
      </c>
      <c r="G60" s="11"/>
      <c r="H60" s="2" t="s">
        <v>116</v>
      </c>
      <c r="I60" s="155"/>
      <c r="J60" s="233">
        <v>58190.03389830509</v>
      </c>
      <c r="K60" s="155">
        <f>+Tableau6[[#This Row],[MONTANT HT BIEN]]+Tableau6[[#This Row],[MONTANT HT SERVICE]]</f>
        <v>58190.03389830509</v>
      </c>
      <c r="L60" s="153">
        <v>0</v>
      </c>
      <c r="M60" s="153">
        <f>+IFERROR(IF(Tableau6[[#This Row],[CODE TVA]]="TVAF",Tableau6[[#This Row],[MONTANT HT]]*0.18,0),0)</f>
        <v>10474.206101694916</v>
      </c>
      <c r="N60" s="153">
        <f>Tableau6[[#This Row],[MONTANT HT]]+Tableau6[[#This Row],[TVA]]-Tableau6[[#This Row],[ACOMPTE SUR HT]]</f>
        <v>68664.240000000005</v>
      </c>
      <c r="O60" s="153"/>
      <c r="P60" s="153">
        <f>+ROUND(Tableau6[[#This Row],[MONTANT TTC]]-Tableau6[[#This Row],[ACOMPTE SUR TTC]],0)</f>
        <v>68664</v>
      </c>
      <c r="Q60" s="11"/>
      <c r="R60" s="5">
        <f>IFERROR(INDEX(Tableau2[[ID BC UNIQUE]:[MONTANT HT VALIDE]],MATCH(Tableau6[[#This Row],[N° BC]],Tableau2[ID BC UNIQUE],0),6),0)</f>
        <v>0</v>
      </c>
      <c r="S60" s="25">
        <f>IFERROR(INDEX(Tableau2[[DATE]:[DELAIS DE PAIEMENT FACTURES EN JOUR]],MATCH(Tableau6[[#This Row],[N° BC]],Tableau2[ID BC UNIQUE],0),5),0)</f>
        <v>0</v>
      </c>
      <c r="T60" s="7">
        <f>IF(ISBLANK(Tableau6[[#This Row],[DATE DE DEPOT]]),"",Tableau6[[#This Row],[DATE DE DEPOT]]+Tableau6[[#This Row],[DELAI]])</f>
        <v>45694</v>
      </c>
      <c r="U60" s="25">
        <f ca="1">+IF(AND(W60=0,Tableau6[[#This Row],[DATE LIMITE]]&lt;TODAY()),TODAY()-Tableau6[[#This Row],[DATE LIMITE]],0)</f>
        <v>0</v>
      </c>
      <c r="V60"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TROP PAYE</v>
      </c>
      <c r="W60" s="23">
        <f>SUMIF(Tableau3[FACTURE],Tableau6[[#This Row],[NUM DE FACTURE]],Tableau3[MONTANT TTC])</f>
        <v>68664.240000000005</v>
      </c>
      <c r="X60" s="7"/>
      <c r="Y60" s="156">
        <f>+Tableau6[[#This Row],[NET A PAYER]]-Tableau6[[#This Row],[MONTANT PAYE]]</f>
        <v>-0.24000000000523869</v>
      </c>
      <c r="Z60"/>
    </row>
    <row r="61" spans="1:26" ht="10.050000000000001" customHeight="1" x14ac:dyDescent="0.2">
      <c r="A61" t="s">
        <v>100</v>
      </c>
      <c r="B61" s="3">
        <v>45694</v>
      </c>
      <c r="C61" s="12">
        <v>45694</v>
      </c>
      <c r="D61" s="351">
        <v>287</v>
      </c>
      <c r="E61" s="11" t="s">
        <v>104</v>
      </c>
      <c r="F61" s="2" t="s">
        <v>111</v>
      </c>
      <c r="G61" s="11"/>
      <c r="H61" s="2" t="s">
        <v>116</v>
      </c>
      <c r="I61" s="178"/>
      <c r="J61" s="235">
        <v>1283651.3898305085</v>
      </c>
      <c r="K61" s="178">
        <f>+Tableau6[[#This Row],[MONTANT HT BIEN]]+Tableau6[[#This Row],[MONTANT HT SERVICE]]</f>
        <v>1283651.3898305085</v>
      </c>
      <c r="L61" s="153">
        <v>0</v>
      </c>
      <c r="M61" s="176">
        <f>+IFERROR(IF(Tableau6[[#This Row],[CODE TVA]]="TVAF",Tableau6[[#This Row],[MONTANT HT]]*0.18,0),0)</f>
        <v>231057.25016949151</v>
      </c>
      <c r="N61" s="176">
        <f>Tableau6[[#This Row],[MONTANT HT]]+Tableau6[[#This Row],[TVA]]-Tableau6[[#This Row],[ACOMPTE SUR HT]]</f>
        <v>1514708.6400000001</v>
      </c>
      <c r="O61" s="153"/>
      <c r="P61" s="176">
        <f>+ROUND(Tableau6[[#This Row],[MONTANT TTC]]-Tableau6[[#This Row],[ACOMPTE SUR TTC]],0)</f>
        <v>1514709</v>
      </c>
      <c r="Q61" s="15"/>
      <c r="R61" s="14">
        <f>IFERROR(INDEX(Tableau2[[ID BC UNIQUE]:[MONTANT HT VALIDE]],MATCH(Tableau6[[#This Row],[N° BC]],Tableau2[ID BC UNIQUE],0),6),0)</f>
        <v>0</v>
      </c>
      <c r="S61" s="26">
        <f>IFERROR(INDEX(Tableau2[[DATE]:[DELAIS DE PAIEMENT FACTURES EN JOUR]],MATCH(Tableau6[[#This Row],[N° BC]],Tableau2[ID BC UNIQUE],0),5),0)</f>
        <v>0</v>
      </c>
      <c r="T61" s="7">
        <f>IF(ISBLANK(Tableau6[[#This Row],[DATE DE DEPOT]]),"",Tableau6[[#This Row],[DATE DE DEPOT]]+Tableau6[[#This Row],[DELAI]])</f>
        <v>45694</v>
      </c>
      <c r="U61" s="25">
        <f ca="1">+IF(AND(W61=0,Tableau6[[#This Row],[DATE LIMITE]]&lt;TODAY()),TODAY()-Tableau6[[#This Row],[DATE LIMITE]],0)</f>
        <v>0</v>
      </c>
      <c r="V61" s="1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PAIEMENT PARTIEL</v>
      </c>
      <c r="W61" s="24">
        <f>SUMIF(Tableau3[FACTURE],Tableau6[[#This Row],[NUM DE FACTURE]],Tableau3[MONTANT TTC])</f>
        <v>1514708.64</v>
      </c>
      <c r="X61" s="12"/>
      <c r="Y61" s="158">
        <f>+Tableau6[[#This Row],[NET A PAYER]]-Tableau6[[#This Row],[MONTANT PAYE]]</f>
        <v>0.36000000010244548</v>
      </c>
      <c r="Z61" s="22"/>
    </row>
    <row r="62" spans="1:26" ht="10.050000000000001" customHeight="1" x14ac:dyDescent="0.2">
      <c r="A62" t="s">
        <v>100</v>
      </c>
      <c r="B62" s="3">
        <v>45694</v>
      </c>
      <c r="C62" s="12">
        <v>45694</v>
      </c>
      <c r="D62" s="472">
        <v>288</v>
      </c>
      <c r="E62" s="15" t="s">
        <v>104</v>
      </c>
      <c r="F62" s="2" t="s">
        <v>111</v>
      </c>
      <c r="G62" s="11" t="s">
        <v>451</v>
      </c>
      <c r="H62" s="2" t="s">
        <v>116</v>
      </c>
      <c r="I62" s="178"/>
      <c r="J62" s="235">
        <v>232140</v>
      </c>
      <c r="K62" s="178">
        <f>+Tableau6[[#This Row],[MONTANT HT BIEN]]+Tableau6[[#This Row],[MONTANT HT SERVICE]]</f>
        <v>232140</v>
      </c>
      <c r="L62" s="153">
        <v>0</v>
      </c>
      <c r="M62" s="176">
        <f>+IFERROR(IF(Tableau6[[#This Row],[CODE TVA]]="TVAF",Tableau6[[#This Row],[MONTANT HT]]*0.18,0),0)</f>
        <v>41785.199999999997</v>
      </c>
      <c r="N62" s="176">
        <f>Tableau6[[#This Row],[MONTANT HT]]+Tableau6[[#This Row],[TVA]]-Tableau6[[#This Row],[ACOMPTE SUR HT]]</f>
        <v>273925.2</v>
      </c>
      <c r="O62" s="153"/>
      <c r="P62" s="176">
        <f>+ROUND(Tableau6[[#This Row],[MONTANT TTC]]-Tableau6[[#This Row],[ACOMPTE SUR TTC]],0)</f>
        <v>273925</v>
      </c>
      <c r="Q62" s="11"/>
      <c r="R62" s="14">
        <f>IFERROR(INDEX(Tableau2[[ID BC UNIQUE]:[MONTANT HT VALIDE]],MATCH(Tableau6[[#This Row],[N° BC]],Tableau2[ID BC UNIQUE],0),6),0)</f>
        <v>0</v>
      </c>
      <c r="S62" s="26">
        <f>IFERROR(INDEX(Tableau2[[DATE]:[DELAIS DE PAIEMENT FACTURES EN JOUR]],MATCH(Tableau6[[#This Row],[N° BC]],Tableau2[ID BC UNIQUE],0),5),0)</f>
        <v>0</v>
      </c>
      <c r="T62" s="7">
        <f>IF(ISBLANK(Tableau6[[#This Row],[DATE DE DEPOT]]),"",Tableau6[[#This Row],[DATE DE DEPOT]]+Tableau6[[#This Row],[DELAI]])</f>
        <v>45694</v>
      </c>
      <c r="U62" s="25">
        <f ca="1">+IF(AND(W62=0,Tableau6[[#This Row],[DATE LIMITE]]&lt;TODAY()),TODAY()-Tableau6[[#This Row],[DATE LIMITE]],0)</f>
        <v>0</v>
      </c>
      <c r="V62" s="1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TROP PAYE</v>
      </c>
      <c r="W62" s="24">
        <f>SUMIF(Tableau3[FACTURE],Tableau6[[#This Row],[NUM DE FACTURE]],Tableau3[MONTANT TTC])</f>
        <v>444191</v>
      </c>
      <c r="X62" s="12"/>
      <c r="Y62" s="158">
        <f>+Tableau6[[#This Row],[NET A PAYER]]-Tableau6[[#This Row],[MONTANT PAYE]]</f>
        <v>-170266</v>
      </c>
      <c r="Z62" s="22"/>
    </row>
    <row r="63" spans="1:26" ht="10.050000000000001" customHeight="1" x14ac:dyDescent="0.2">
      <c r="A63" t="s">
        <v>100</v>
      </c>
      <c r="B63" s="3">
        <v>45699</v>
      </c>
      <c r="C63" s="7">
        <v>45699</v>
      </c>
      <c r="D63" s="351">
        <v>272</v>
      </c>
      <c r="E63" s="11" t="s">
        <v>138</v>
      </c>
      <c r="F63" s="2" t="s">
        <v>111</v>
      </c>
      <c r="G63" s="11" t="s">
        <v>155</v>
      </c>
      <c r="H63" s="2" t="s">
        <v>116</v>
      </c>
      <c r="I63" s="155"/>
      <c r="J63" s="233">
        <v>2100000</v>
      </c>
      <c r="K63" s="155">
        <f>+Tableau6[[#This Row],[MONTANT HT BIEN]]+Tableau6[[#This Row],[MONTANT HT SERVICE]]</f>
        <v>2100000</v>
      </c>
      <c r="L63" s="153">
        <v>0</v>
      </c>
      <c r="M63" s="153">
        <f>+IFERROR(IF(Tableau6[[#This Row],[CODE TVA]]="TVAF",Tableau6[[#This Row],[MONTANT HT]]*0.18,0),0)</f>
        <v>378000</v>
      </c>
      <c r="N63" s="153">
        <f>Tableau6[[#This Row],[MONTANT HT]]+Tableau6[[#This Row],[TVA]]-Tableau6[[#This Row],[ACOMPTE SUR HT]]</f>
        <v>2478000</v>
      </c>
      <c r="O63" s="153"/>
      <c r="P63" s="153">
        <f>+ROUND(Tableau6[[#This Row],[MONTANT TTC]]-Tableau6[[#This Row],[ACOMPTE SUR TTC]],0)</f>
        <v>2478000</v>
      </c>
      <c r="Q63" s="9" t="s">
        <v>453</v>
      </c>
      <c r="R63" s="5">
        <f>IFERROR(INDEX(Tableau2[[ID BC UNIQUE]:[MONTANT HT VALIDE]],MATCH(Tableau6[[#This Row],[N° BC]],Tableau2[ID BC UNIQUE],0),6),0)</f>
        <v>2100000</v>
      </c>
      <c r="S63" s="25">
        <f>IFERROR(INDEX(Tableau2[[DATE]:[DELAIS DE PAIEMENT FACTURES EN JOUR]],MATCH(Tableau6[[#This Row],[N° BC]],Tableau2[ID BC UNIQUE],0),5),0)</f>
        <v>30</v>
      </c>
      <c r="T63" s="7">
        <f>IF(ISBLANK(Tableau6[[#This Row],[DATE DE DEPOT]]),"",Tableau6[[#This Row],[DATE DE DEPOT]]+Tableau6[[#This Row],[DELAI]])</f>
        <v>45729</v>
      </c>
      <c r="U63" s="25">
        <f ca="1">+IF(AND(W63=0,Tableau6[[#This Row],[DATE LIMITE]]&lt;TODAY()),TODAY()-Tableau6[[#This Row],[DATE LIMITE]],0)</f>
        <v>0</v>
      </c>
      <c r="V63"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63" s="23">
        <f>SUMIF(Tableau3[FACTURE],Tableau6[[#This Row],[NUM DE FACTURE]],Tableau3[MONTANT TTC])</f>
        <v>2478000</v>
      </c>
      <c r="X63" s="7"/>
      <c r="Y63" s="156">
        <f>+Tableau6[[#This Row],[NET A PAYER]]-Tableau6[[#This Row],[MONTANT PAYE]]</f>
        <v>0</v>
      </c>
      <c r="Z63"/>
    </row>
    <row r="64" spans="1:26" ht="10.050000000000001" customHeight="1" x14ac:dyDescent="0.2">
      <c r="A64" t="s">
        <v>100</v>
      </c>
      <c r="B64" s="3">
        <v>45700</v>
      </c>
      <c r="C64" s="7">
        <v>45700</v>
      </c>
      <c r="D64" s="351">
        <v>273</v>
      </c>
      <c r="E64" s="11" t="s">
        <v>138</v>
      </c>
      <c r="F64" s="2" t="s">
        <v>111</v>
      </c>
      <c r="G64" s="11" t="s">
        <v>234</v>
      </c>
      <c r="H64" s="2" t="s">
        <v>305</v>
      </c>
      <c r="I64" s="155"/>
      <c r="J64" s="233">
        <v>1080000</v>
      </c>
      <c r="K64" s="155">
        <f>+Tableau6[[#This Row],[MONTANT HT BIEN]]+Tableau6[[#This Row],[MONTANT HT SERVICE]]</f>
        <v>1080000</v>
      </c>
      <c r="L64" s="153">
        <v>0</v>
      </c>
      <c r="M64" s="153">
        <f>+IFERROR(IF(Tableau6[[#This Row],[CODE TVA]]="TVAF",Tableau6[[#This Row],[MONTANT HT]]*0.18,0),0)</f>
        <v>0</v>
      </c>
      <c r="N64" s="153">
        <f>Tableau6[[#This Row],[MONTANT HT]]+Tableau6[[#This Row],[TVA]]-Tableau6[[#This Row],[ACOMPTE SUR HT]]</f>
        <v>1080000</v>
      </c>
      <c r="O64" s="153"/>
      <c r="P64" s="153">
        <f>+ROUND(Tableau6[[#This Row],[MONTANT TTC]]-Tableau6[[#This Row],[ACOMPTE SUR TTC]],0)</f>
        <v>1080000</v>
      </c>
      <c r="Q64" s="9" t="s">
        <v>761</v>
      </c>
      <c r="R64" s="5">
        <f>IFERROR(INDEX(Tableau2[[ID BC UNIQUE]:[MONTANT HT VALIDE]],MATCH(Tableau6[[#This Row],[N° BC]],Tableau2[ID BC UNIQUE],0),6),0)</f>
        <v>1080000</v>
      </c>
      <c r="S64" s="25">
        <f>IFERROR(INDEX(Tableau2[[DATE]:[DELAIS DE PAIEMENT FACTURES EN JOUR]],MATCH(Tableau6[[#This Row],[N° BC]],Tableau2[ID BC UNIQUE],0),5),0)</f>
        <v>30</v>
      </c>
      <c r="T64" s="7">
        <f>IF(ISBLANK(Tableau6[[#This Row],[DATE DE DEPOT]]),"",Tableau6[[#This Row],[DATE DE DEPOT]]+Tableau6[[#This Row],[DELAI]])</f>
        <v>45730</v>
      </c>
      <c r="U64" s="25">
        <f ca="1">+IF(AND(W64=0,Tableau6[[#This Row],[DATE LIMITE]]&lt;TODAY()),TODAY()-Tableau6[[#This Row],[DATE LIMITE]],0)</f>
        <v>0</v>
      </c>
      <c r="V64"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64" s="23">
        <f>SUMIF(Tableau3[FACTURE],Tableau6[[#This Row],[NUM DE FACTURE]],Tableau3[MONTANT TTC])</f>
        <v>1080000</v>
      </c>
      <c r="X64" s="7"/>
      <c r="Y64" s="156">
        <f>+Tableau6[[#This Row],[NET A PAYER]]-Tableau6[[#This Row],[MONTANT PAYE]]</f>
        <v>0</v>
      </c>
      <c r="Z64"/>
    </row>
    <row r="65" spans="1:26" ht="10.050000000000001" customHeight="1" x14ac:dyDescent="0.2">
      <c r="A65" t="s">
        <v>100</v>
      </c>
      <c r="B65" s="3">
        <v>45701</v>
      </c>
      <c r="C65" s="44">
        <v>45701</v>
      </c>
      <c r="D65" s="351">
        <v>277</v>
      </c>
      <c r="E65" s="11" t="s">
        <v>138</v>
      </c>
      <c r="F65" s="2" t="s">
        <v>111</v>
      </c>
      <c r="G65" s="11" t="s">
        <v>156</v>
      </c>
      <c r="H65" s="2" t="s">
        <v>116</v>
      </c>
      <c r="I65" s="168"/>
      <c r="J65" s="234">
        <v>5670000</v>
      </c>
      <c r="K65" s="168">
        <f>+Tableau6[[#This Row],[MONTANT HT BIEN]]+Tableau6[[#This Row],[MONTANT HT SERVICE]]</f>
        <v>5670000</v>
      </c>
      <c r="L65" s="169">
        <v>0</v>
      </c>
      <c r="M65" s="169">
        <f>+IFERROR(IF(Tableau6[[#This Row],[CODE TVA]]="TVAF",Tableau6[[#This Row],[MONTANT HT]]*0.18,0),0)</f>
        <v>1020600</v>
      </c>
      <c r="N65" s="169">
        <f>Tableau6[[#This Row],[MONTANT HT]]+Tableau6[[#This Row],[TVA]]-Tableau6[[#This Row],[ACOMPTE SUR HT]]</f>
        <v>6690600</v>
      </c>
      <c r="O65" s="169"/>
      <c r="P65" s="169">
        <f>+ROUND(Tableau6[[#This Row],[MONTANT TTC]]-Tableau6[[#This Row],[ACOMPTE SUR TTC]],0)</f>
        <v>6690600</v>
      </c>
      <c r="Q65" s="51" t="s">
        <v>454</v>
      </c>
      <c r="R65" s="46">
        <f>IFERROR(INDEX(Tableau2[[ID BC UNIQUE]:[MONTANT HT VALIDE]],MATCH(Tableau6[[#This Row],[N° BC]],Tableau2[ID BC UNIQUE],0),6),0)</f>
        <v>5670000</v>
      </c>
      <c r="S65" s="48">
        <f>IFERROR(INDEX(Tableau2[[DATE]:[DELAIS DE PAIEMENT FACTURES EN JOUR]],MATCH(Tableau6[[#This Row],[N° BC]],Tableau2[ID BC UNIQUE],0),5),0)</f>
        <v>30</v>
      </c>
      <c r="T65" s="7">
        <f>IF(ISBLANK(Tableau6[[#This Row],[DATE DE DEPOT]]),"",Tableau6[[#This Row],[DATE DE DEPOT]]+Tableau6[[#This Row],[DELAI]])</f>
        <v>45731</v>
      </c>
      <c r="U65" s="25">
        <f ca="1">+IF(AND(W65=0,Tableau6[[#This Row],[DATE LIMITE]]&lt;TODAY()),TODAY()-Tableau6[[#This Row],[DATE LIMITE]],0)</f>
        <v>0</v>
      </c>
      <c r="V65" s="4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65" s="49">
        <f>SUMIF(Tableau3[FACTURE],Tableau6[[#This Row],[NUM DE FACTURE]],Tableau3[MONTANT TTC])</f>
        <v>6690600</v>
      </c>
      <c r="X65" s="44"/>
      <c r="Y65" s="157">
        <f>+Tableau6[[#This Row],[NET A PAYER]]-Tableau6[[#This Row],[MONTANT PAYE]]</f>
        <v>0</v>
      </c>
      <c r="Z65" s="50"/>
    </row>
    <row r="66" spans="1:26" x14ac:dyDescent="0.2">
      <c r="A66" t="s">
        <v>100</v>
      </c>
      <c r="B66" s="3">
        <v>45701</v>
      </c>
      <c r="C66" s="12">
        <v>45701</v>
      </c>
      <c r="D66" s="351">
        <v>278</v>
      </c>
      <c r="E66" s="11" t="s">
        <v>138</v>
      </c>
      <c r="F66" s="2" t="s">
        <v>111</v>
      </c>
      <c r="G66" s="11" t="s">
        <v>156</v>
      </c>
      <c r="H66" s="2" t="s">
        <v>116</v>
      </c>
      <c r="I66" s="178"/>
      <c r="J66" s="235">
        <v>2870000</v>
      </c>
      <c r="K66" s="178">
        <f>+Tableau6[[#This Row],[MONTANT HT BIEN]]+Tableau6[[#This Row],[MONTANT HT SERVICE]]</f>
        <v>2870000</v>
      </c>
      <c r="L66" s="153">
        <v>0</v>
      </c>
      <c r="M66" s="176">
        <f>+IFERROR(IF(Tableau6[[#This Row],[CODE TVA]]="TVAF",Tableau6[[#This Row],[MONTANT HT]]*0.18,0),0)</f>
        <v>516600</v>
      </c>
      <c r="N66" s="176">
        <f>Tableau6[[#This Row],[MONTANT HT]]+Tableau6[[#This Row],[TVA]]-Tableau6[[#This Row],[ACOMPTE SUR HT]]</f>
        <v>3386600</v>
      </c>
      <c r="O66" s="176"/>
      <c r="P66" s="176">
        <f>+ROUND(Tableau6[[#This Row],[MONTANT TTC]]-Tableau6[[#This Row],[ACOMPTE SUR TTC]],0)</f>
        <v>3386600</v>
      </c>
      <c r="Q66" s="15" t="s">
        <v>452</v>
      </c>
      <c r="R66" s="14">
        <f>IFERROR(INDEX(Tableau2[[ID BC UNIQUE]:[MONTANT HT VALIDE]],MATCH(Tableau6[[#This Row],[N° BC]],Tableau2[ID BC UNIQUE],0),6),0)</f>
        <v>2870000</v>
      </c>
      <c r="S66" s="26">
        <f>IFERROR(INDEX(Tableau2[[DATE]:[DELAIS DE PAIEMENT FACTURES EN JOUR]],MATCH(Tableau6[[#This Row],[N° BC]],Tableau2[ID BC UNIQUE],0),5),0)</f>
        <v>30</v>
      </c>
      <c r="T66" s="7">
        <f>IF(ISBLANK(Tableau6[[#This Row],[DATE DE DEPOT]]),"",Tableau6[[#This Row],[DATE DE DEPOT]]+Tableau6[[#This Row],[DELAI]])</f>
        <v>45731</v>
      </c>
      <c r="U66" s="25">
        <f ca="1">+IF(AND(W66=0,Tableau6[[#This Row],[DATE LIMITE]]&lt;TODAY()),TODAY()-Tableau6[[#This Row],[DATE LIMITE]],0)</f>
        <v>0</v>
      </c>
      <c r="V66" s="1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66" s="24">
        <f>SUMIF(Tableau3[FACTURE],Tableau6[[#This Row],[NUM DE FACTURE]],Tableau3[MONTANT TTC])</f>
        <v>3386600</v>
      </c>
      <c r="X66" s="12"/>
      <c r="Y66" s="158">
        <f>+Tableau6[[#This Row],[NET A PAYER]]-Tableau6[[#This Row],[MONTANT PAYE]]</f>
        <v>0</v>
      </c>
      <c r="Z66"/>
    </row>
    <row r="67" spans="1:26" x14ac:dyDescent="0.2">
      <c r="A67" t="s">
        <v>100</v>
      </c>
      <c r="B67" s="3">
        <v>45701</v>
      </c>
      <c r="C67" s="44">
        <v>45701</v>
      </c>
      <c r="D67" s="351">
        <v>279</v>
      </c>
      <c r="E67" s="11" t="s">
        <v>138</v>
      </c>
      <c r="F67" s="2" t="s">
        <v>111</v>
      </c>
      <c r="G67" s="11" t="s">
        <v>156</v>
      </c>
      <c r="H67" s="2" t="s">
        <v>116</v>
      </c>
      <c r="I67" s="168"/>
      <c r="J67" s="234">
        <v>8500000</v>
      </c>
      <c r="K67" s="168">
        <f>+Tableau6[[#This Row],[MONTANT HT BIEN]]+Tableau6[[#This Row],[MONTANT HT SERVICE]]</f>
        <v>8500000</v>
      </c>
      <c r="L67" s="169">
        <v>0</v>
      </c>
      <c r="M67" s="169">
        <f>+IFERROR(IF(Tableau6[[#This Row],[CODE TVA]]="TVAF",Tableau6[[#This Row],[MONTANT HT]]*0.18,0),0)</f>
        <v>1530000</v>
      </c>
      <c r="N67" s="169">
        <f>Tableau6[[#This Row],[MONTANT HT]]+Tableau6[[#This Row],[TVA]]-Tableau6[[#This Row],[ACOMPTE SUR HT]]</f>
        <v>10030000</v>
      </c>
      <c r="O67" s="169"/>
      <c r="P67" s="169">
        <f>+ROUND(Tableau6[[#This Row],[MONTANT TTC]]-Tableau6[[#This Row],[ACOMPTE SUR TTC]],0)</f>
        <v>10030000</v>
      </c>
      <c r="Q67" s="47" t="s">
        <v>455</v>
      </c>
      <c r="R67" s="46">
        <f>IFERROR(INDEX(Tableau2[[ID BC UNIQUE]:[MONTANT HT VALIDE]],MATCH(Tableau6[[#This Row],[N° BC]],Tableau2[ID BC UNIQUE],0),6),0)</f>
        <v>8500000</v>
      </c>
      <c r="S67" s="48">
        <f>IFERROR(INDEX(Tableau2[[DATE]:[DELAIS DE PAIEMENT FACTURES EN JOUR]],MATCH(Tableau6[[#This Row],[N° BC]],Tableau2[ID BC UNIQUE],0),5),0)</f>
        <v>30</v>
      </c>
      <c r="T67" s="7">
        <f>IF(ISBLANK(Tableau6[[#This Row],[DATE DE DEPOT]]),"",Tableau6[[#This Row],[DATE DE DEPOT]]+Tableau6[[#This Row],[DELAI]])</f>
        <v>45731</v>
      </c>
      <c r="U67" s="25">
        <f ca="1">+IF(AND(W67=0,Tableau6[[#This Row],[DATE LIMITE]]&lt;TODAY()),TODAY()-Tableau6[[#This Row],[DATE LIMITE]],0)</f>
        <v>0</v>
      </c>
      <c r="V67" s="4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67" s="49">
        <f>SUMIF(Tableau3[FACTURE],Tableau6[[#This Row],[NUM DE FACTURE]],Tableau3[MONTANT TTC])</f>
        <v>10030000</v>
      </c>
      <c r="X67" s="44"/>
      <c r="Y67" s="157">
        <f>+Tableau6[[#This Row],[NET A PAYER]]-Tableau6[[#This Row],[MONTANT PAYE]]</f>
        <v>0</v>
      </c>
      <c r="Z67" s="50"/>
    </row>
    <row r="68" spans="1:26" ht="10.050000000000001" customHeight="1" x14ac:dyDescent="0.2">
      <c r="A68" t="s">
        <v>100</v>
      </c>
      <c r="B68" s="3">
        <v>45701</v>
      </c>
      <c r="C68" s="12">
        <v>45701</v>
      </c>
      <c r="D68" s="351">
        <v>280</v>
      </c>
      <c r="E68" s="11" t="s">
        <v>138</v>
      </c>
      <c r="F68" s="2" t="s">
        <v>111</v>
      </c>
      <c r="G68" s="11" t="s">
        <v>283</v>
      </c>
      <c r="H68" s="2" t="s">
        <v>116</v>
      </c>
      <c r="I68" s="178"/>
      <c r="J68" s="235">
        <v>312500</v>
      </c>
      <c r="K68" s="178">
        <f>+Tableau6[[#This Row],[MONTANT HT BIEN]]+Tableau6[[#This Row],[MONTANT HT SERVICE]]</f>
        <v>312500</v>
      </c>
      <c r="L68" s="153">
        <v>0</v>
      </c>
      <c r="M68" s="176">
        <f>+IFERROR(IF(Tableau6[[#This Row],[CODE TVA]]="TVAF",Tableau6[[#This Row],[MONTANT HT]]*0.18,0),0)</f>
        <v>56250</v>
      </c>
      <c r="N68" s="176">
        <f>Tableau6[[#This Row],[MONTANT HT]]+Tableau6[[#This Row],[TVA]]-Tableau6[[#This Row],[ACOMPTE SUR HT]]</f>
        <v>368750</v>
      </c>
      <c r="O68" s="176"/>
      <c r="P68" s="176">
        <f>+ROUND(Tableau6[[#This Row],[MONTANT TTC]]-Tableau6[[#This Row],[ACOMPTE SUR TTC]],0)</f>
        <v>368750</v>
      </c>
      <c r="Q68" s="15" t="s">
        <v>456</v>
      </c>
      <c r="R68" s="14">
        <f>IFERROR(INDEX(Tableau2[[ID BC UNIQUE]:[MONTANT HT VALIDE]],MATCH(Tableau6[[#This Row],[N° BC]],Tableau2[ID BC UNIQUE],0),6),0)</f>
        <v>312500</v>
      </c>
      <c r="S68" s="26">
        <f>IFERROR(INDEX(Tableau2[[DATE]:[DELAIS DE PAIEMENT FACTURES EN JOUR]],MATCH(Tableau6[[#This Row],[N° BC]],Tableau2[ID BC UNIQUE],0),5),0)</f>
        <v>30</v>
      </c>
      <c r="T68" s="7">
        <f>IF(ISBLANK(Tableau6[[#This Row],[DATE DE DEPOT]]),"",Tableau6[[#This Row],[DATE DE DEPOT]]+Tableau6[[#This Row],[DELAI]])</f>
        <v>45731</v>
      </c>
      <c r="U68" s="25">
        <f ca="1">+IF(AND(W68=0,Tableau6[[#This Row],[DATE LIMITE]]&lt;TODAY()),TODAY()-Tableau6[[#This Row],[DATE LIMITE]],0)</f>
        <v>0</v>
      </c>
      <c r="V68" s="1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68" s="24">
        <f>SUMIF(Tableau3[FACTURE],Tableau6[[#This Row],[NUM DE FACTURE]],Tableau3[MONTANT TTC])</f>
        <v>368750</v>
      </c>
      <c r="X68" s="12"/>
      <c r="Y68" s="158">
        <f>+Tableau6[[#This Row],[NET A PAYER]]-Tableau6[[#This Row],[MONTANT PAYE]]</f>
        <v>0</v>
      </c>
      <c r="Z68"/>
    </row>
    <row r="69" spans="1:26" ht="10.050000000000001" customHeight="1" x14ac:dyDescent="0.2">
      <c r="A69" t="s">
        <v>100</v>
      </c>
      <c r="B69" s="3">
        <v>45701</v>
      </c>
      <c r="C69" s="12">
        <v>45701</v>
      </c>
      <c r="D69" s="351">
        <v>281</v>
      </c>
      <c r="E69" s="11" t="s">
        <v>138</v>
      </c>
      <c r="F69" s="2" t="s">
        <v>111</v>
      </c>
      <c r="G69" s="11" t="s">
        <v>211</v>
      </c>
      <c r="H69" s="2" t="s">
        <v>116</v>
      </c>
      <c r="I69" s="178"/>
      <c r="J69" s="235">
        <v>2430000</v>
      </c>
      <c r="K69" s="178">
        <f>+Tableau6[[#This Row],[MONTANT HT BIEN]]+Tableau6[[#This Row],[MONTANT HT SERVICE]]</f>
        <v>2430000</v>
      </c>
      <c r="L69" s="153">
        <v>0</v>
      </c>
      <c r="M69" s="176">
        <f>+IFERROR(IF(Tableau6[[#This Row],[CODE TVA]]="TVAF",Tableau6[[#This Row],[MONTANT HT]]*0.18,0),0)</f>
        <v>437400</v>
      </c>
      <c r="N69" s="176">
        <f>Tableau6[[#This Row],[MONTANT HT]]+Tableau6[[#This Row],[TVA]]-Tableau6[[#This Row],[ACOMPTE SUR HT]]</f>
        <v>2867400</v>
      </c>
      <c r="O69" s="176"/>
      <c r="P69" s="176">
        <f>+ROUND(Tableau6[[#This Row],[MONTANT TTC]]-Tableau6[[#This Row],[ACOMPTE SUR TTC]],0)</f>
        <v>2867400</v>
      </c>
      <c r="Q69" s="15" t="s">
        <v>457</v>
      </c>
      <c r="R69" s="14">
        <f>IFERROR(INDEX(Tableau2[[ID BC UNIQUE]:[MONTANT HT VALIDE]],MATCH(Tableau6[[#This Row],[N° BC]],Tableau2[ID BC UNIQUE],0),6),0)</f>
        <v>2430000</v>
      </c>
      <c r="S69" s="26">
        <f>IFERROR(INDEX(Tableau2[[DATE]:[DELAIS DE PAIEMENT FACTURES EN JOUR]],MATCH(Tableau6[[#This Row],[N° BC]],Tableau2[ID BC UNIQUE],0),5),0)</f>
        <v>30</v>
      </c>
      <c r="T69" s="7">
        <f>IF(ISBLANK(Tableau6[[#This Row],[DATE DE DEPOT]]),"",Tableau6[[#This Row],[DATE DE DEPOT]]+Tableau6[[#This Row],[DELAI]])</f>
        <v>45731</v>
      </c>
      <c r="U69" s="25">
        <f ca="1">+IF(AND(W69=0,Tableau6[[#This Row],[DATE LIMITE]]&lt;TODAY()),TODAY()-Tableau6[[#This Row],[DATE LIMITE]],0)</f>
        <v>0</v>
      </c>
      <c r="V69" s="1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69" s="24">
        <f>SUMIF(Tableau3[FACTURE],Tableau6[[#This Row],[NUM DE FACTURE]],Tableau3[MONTANT TTC])</f>
        <v>2867400</v>
      </c>
      <c r="X69" s="12"/>
      <c r="Y69" s="158">
        <f>+Tableau6[[#This Row],[NET A PAYER]]-Tableau6[[#This Row],[MONTANT PAYE]]</f>
        <v>0</v>
      </c>
      <c r="Z69"/>
    </row>
    <row r="70" spans="1:26" ht="10.050000000000001" customHeight="1" x14ac:dyDescent="0.2">
      <c r="A70" t="s">
        <v>100</v>
      </c>
      <c r="B70" s="3">
        <v>45701</v>
      </c>
      <c r="C70" s="7">
        <v>45701</v>
      </c>
      <c r="D70" s="351">
        <v>282</v>
      </c>
      <c r="E70" s="11" t="s">
        <v>138</v>
      </c>
      <c r="F70" s="2" t="s">
        <v>111</v>
      </c>
      <c r="G70" s="11" t="s">
        <v>162</v>
      </c>
      <c r="H70" s="2" t="s">
        <v>116</v>
      </c>
      <c r="I70" s="155"/>
      <c r="J70" s="233">
        <v>3960000</v>
      </c>
      <c r="K70" s="155">
        <f>+Tableau6[[#This Row],[MONTANT HT BIEN]]+Tableau6[[#This Row],[MONTANT HT SERVICE]]</f>
        <v>3960000</v>
      </c>
      <c r="L70" s="153">
        <v>0</v>
      </c>
      <c r="M70" s="153">
        <f>+IFERROR(IF(Tableau6[[#This Row],[CODE TVA]]="TVAF",Tableau6[[#This Row],[MONTANT HT]]*0.18,0),0)</f>
        <v>712800</v>
      </c>
      <c r="N70" s="153">
        <f>Tableau6[[#This Row],[MONTANT HT]]+Tableau6[[#This Row],[TVA]]-Tableau6[[#This Row],[ACOMPTE SUR HT]]</f>
        <v>4672800</v>
      </c>
      <c r="O70" s="153"/>
      <c r="P70" s="153">
        <f>+ROUND(Tableau6[[#This Row],[MONTANT TTC]]-Tableau6[[#This Row],[ACOMPTE SUR TTC]],0)</f>
        <v>4672800</v>
      </c>
      <c r="Q70" s="11" t="s">
        <v>458</v>
      </c>
      <c r="R70" s="5">
        <f>IFERROR(INDEX(Tableau2[[ID BC UNIQUE]:[MONTANT HT VALIDE]],MATCH(Tableau6[[#This Row],[N° BC]],Tableau2[ID BC UNIQUE],0),6),0)</f>
        <v>3960000</v>
      </c>
      <c r="S70" s="25">
        <f>IFERROR(INDEX(Tableau2[[DATE]:[DELAIS DE PAIEMENT FACTURES EN JOUR]],MATCH(Tableau6[[#This Row],[N° BC]],Tableau2[ID BC UNIQUE],0),5),0)</f>
        <v>30</v>
      </c>
      <c r="T70" s="7">
        <f>IF(ISBLANK(Tableau6[[#This Row],[DATE DE DEPOT]]),"",Tableau6[[#This Row],[DATE DE DEPOT]]+Tableau6[[#This Row],[DELAI]])</f>
        <v>45731</v>
      </c>
      <c r="U70" s="25">
        <f ca="1">+IF(AND(W70=0,Tableau6[[#This Row],[DATE LIMITE]]&lt;TODAY()),TODAY()-Tableau6[[#This Row],[DATE LIMITE]],0)</f>
        <v>0</v>
      </c>
      <c r="V70"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70" s="23">
        <f>SUMIF(Tableau3[FACTURE],Tableau6[[#This Row],[NUM DE FACTURE]],Tableau3[MONTANT TTC])</f>
        <v>4672800</v>
      </c>
      <c r="X70" s="7">
        <v>45579</v>
      </c>
      <c r="Y70" s="156">
        <f>+Tableau6[[#This Row],[NET A PAYER]]-Tableau6[[#This Row],[MONTANT PAYE]]</f>
        <v>0</v>
      </c>
      <c r="Z70"/>
    </row>
    <row r="71" spans="1:26" x14ac:dyDescent="0.2">
      <c r="A71" t="s">
        <v>100</v>
      </c>
      <c r="B71" s="3">
        <v>45705</v>
      </c>
      <c r="C71" s="7">
        <v>45705</v>
      </c>
      <c r="D71" s="351">
        <v>274</v>
      </c>
      <c r="E71" s="11" t="s">
        <v>138</v>
      </c>
      <c r="F71" s="2" t="s">
        <v>111</v>
      </c>
      <c r="G71" s="11" t="s">
        <v>154</v>
      </c>
      <c r="H71" s="2" t="s">
        <v>305</v>
      </c>
      <c r="I71" s="155"/>
      <c r="J71" s="233">
        <v>980000</v>
      </c>
      <c r="K71" s="155">
        <f>+Tableau6[[#This Row],[MONTANT HT BIEN]]+Tableau6[[#This Row],[MONTANT HT SERVICE]]</f>
        <v>980000</v>
      </c>
      <c r="L71" s="153">
        <v>0</v>
      </c>
      <c r="M71" s="153">
        <f>+IFERROR(IF(Tableau6[[#This Row],[CODE TVA]]="TVAF",Tableau6[[#This Row],[MONTANT HT]]*0.18,0),0)</f>
        <v>0</v>
      </c>
      <c r="N71" s="153">
        <f>Tableau6[[#This Row],[MONTANT HT]]+Tableau6[[#This Row],[TVA]]-Tableau6[[#This Row],[ACOMPTE SUR HT]]</f>
        <v>980000</v>
      </c>
      <c r="O71" s="153"/>
      <c r="P71" s="153">
        <f>+ROUND(Tableau6[[#This Row],[MONTANT TTC]]-Tableau6[[#This Row],[ACOMPTE SUR TTC]],0)</f>
        <v>980000</v>
      </c>
      <c r="Q71" s="8" t="s">
        <v>762</v>
      </c>
      <c r="R71" s="5">
        <f>IFERROR(INDEX(Tableau2[[ID BC UNIQUE]:[MONTANT HT VALIDE]],MATCH(Tableau6[[#This Row],[N° BC]],Tableau2[ID BC UNIQUE],0),6),0)</f>
        <v>980000</v>
      </c>
      <c r="S71" s="25">
        <f>IFERROR(INDEX(Tableau2[[DATE]:[DELAIS DE PAIEMENT FACTURES EN JOUR]],MATCH(Tableau6[[#This Row],[N° BC]],Tableau2[ID BC UNIQUE],0),5),0)</f>
        <v>30</v>
      </c>
      <c r="T71" s="7">
        <f>IF(ISBLANK(Tableau6[[#This Row],[DATE DE DEPOT]]),"",Tableau6[[#This Row],[DATE DE DEPOT]]+Tableau6[[#This Row],[DELAI]])</f>
        <v>45735</v>
      </c>
      <c r="U71" s="25">
        <f ca="1">+IF(AND(W71=0,Tableau6[[#This Row],[DATE LIMITE]]&lt;TODAY()),TODAY()-Tableau6[[#This Row],[DATE LIMITE]],0)</f>
        <v>0</v>
      </c>
      <c r="V71"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71" s="23">
        <f>SUMIF(Tableau3[FACTURE],Tableau6[[#This Row],[NUM DE FACTURE]],Tableau3[MONTANT TTC])</f>
        <v>980000</v>
      </c>
      <c r="X71" s="7">
        <v>45548</v>
      </c>
      <c r="Y71" s="156">
        <f>+Tableau6[[#This Row],[NET A PAYER]]-Tableau6[[#This Row],[MONTANT PAYE]]</f>
        <v>0</v>
      </c>
      <c r="Z71"/>
    </row>
    <row r="72" spans="1:26" ht="10.050000000000001" customHeight="1" x14ac:dyDescent="0.2">
      <c r="A72" t="s">
        <v>100</v>
      </c>
      <c r="B72" s="3">
        <v>45705</v>
      </c>
      <c r="C72" s="12">
        <v>45705</v>
      </c>
      <c r="D72" s="351">
        <v>292</v>
      </c>
      <c r="E72" s="11" t="s">
        <v>138</v>
      </c>
      <c r="F72" s="2" t="s">
        <v>111</v>
      </c>
      <c r="G72" s="11" t="s">
        <v>161</v>
      </c>
      <c r="H72" s="2" t="s">
        <v>116</v>
      </c>
      <c r="I72" s="178"/>
      <c r="J72" s="235">
        <v>27468694</v>
      </c>
      <c r="K72" s="178">
        <f>+Tableau6[[#This Row],[MONTANT HT BIEN]]+Tableau6[[#This Row],[MONTANT HT SERVICE]]</f>
        <v>27468694</v>
      </c>
      <c r="L72" s="153">
        <v>0</v>
      </c>
      <c r="M72" s="176">
        <f>+IFERROR(IF(Tableau6[[#This Row],[CODE TVA]]="TVAF",Tableau6[[#This Row],[MONTANT HT]]*0.18,0),0)</f>
        <v>4944364.92</v>
      </c>
      <c r="N72" s="176">
        <f>Tableau6[[#This Row],[MONTANT HT]]+Tableau6[[#This Row],[TVA]]-Tableau6[[#This Row],[ACOMPTE SUR HT]]</f>
        <v>32413058.920000002</v>
      </c>
      <c r="O72" s="176"/>
      <c r="P72" s="176">
        <f>+ROUND(Tableau6[[#This Row],[MONTANT TTC]]-Tableau6[[#This Row],[ACOMPTE SUR TTC]],0)</f>
        <v>32413059</v>
      </c>
      <c r="Q72" s="15" t="s">
        <v>459</v>
      </c>
      <c r="R72" s="14">
        <f>IFERROR(INDEX(Tableau2[[ID BC UNIQUE]:[MONTANT HT VALIDE]],MATCH(Tableau6[[#This Row],[N° BC]],Tableau2[ID BC UNIQUE],0),6),0)</f>
        <v>27468694</v>
      </c>
      <c r="S72" s="26">
        <f>IFERROR(INDEX(Tableau2[[DATE]:[DELAIS DE PAIEMENT FACTURES EN JOUR]],MATCH(Tableau6[[#This Row],[N° BC]],Tableau2[ID BC UNIQUE],0),5),0)</f>
        <v>30</v>
      </c>
      <c r="T72" s="7">
        <f>IF(ISBLANK(Tableau6[[#This Row],[DATE DE DEPOT]]),"",Tableau6[[#This Row],[DATE DE DEPOT]]+Tableau6[[#This Row],[DELAI]])</f>
        <v>45735</v>
      </c>
      <c r="U72" s="25">
        <f ca="1">+IF(AND(W72=0,Tableau6[[#This Row],[DATE LIMITE]]&lt;TODAY()),TODAY()-Tableau6[[#This Row],[DATE LIMITE]],0)</f>
        <v>0</v>
      </c>
      <c r="V72" s="1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72" s="24">
        <f>SUMIF(Tableau3[FACTURE],Tableau6[[#This Row],[NUM DE FACTURE]],Tableau3[MONTANT TTC])</f>
        <v>32413059</v>
      </c>
      <c r="X72" s="12"/>
      <c r="Y72" s="158">
        <f>+Tableau6[[#This Row],[NET A PAYER]]-Tableau6[[#This Row],[MONTANT PAYE]]</f>
        <v>0</v>
      </c>
      <c r="Z72" s="22"/>
    </row>
    <row r="73" spans="1:26" ht="10.050000000000001" customHeight="1" x14ac:dyDescent="0.2">
      <c r="A73" t="s">
        <v>100</v>
      </c>
      <c r="B73" s="3">
        <v>45706</v>
      </c>
      <c r="C73" s="12">
        <v>45706</v>
      </c>
      <c r="D73" s="472">
        <v>291</v>
      </c>
      <c r="E73" s="11" t="s">
        <v>138</v>
      </c>
      <c r="F73" s="2" t="s">
        <v>111</v>
      </c>
      <c r="G73" s="11" t="s">
        <v>210</v>
      </c>
      <c r="H73" s="2" t="s">
        <v>116</v>
      </c>
      <c r="I73" s="178"/>
      <c r="J73" s="235">
        <v>340000</v>
      </c>
      <c r="K73" s="178">
        <f>+Tableau6[[#This Row],[MONTANT HT BIEN]]+Tableau6[[#This Row],[MONTANT HT SERVICE]]</f>
        <v>340000</v>
      </c>
      <c r="L73" s="153">
        <v>0</v>
      </c>
      <c r="M73" s="176">
        <f>+IFERROR(IF(Tableau6[[#This Row],[CODE TVA]]="TVAF",Tableau6[[#This Row],[MONTANT HT]]*0.18,0),0)</f>
        <v>61200</v>
      </c>
      <c r="N73" s="176">
        <f>Tableau6[[#This Row],[MONTANT HT]]+Tableau6[[#This Row],[TVA]]-Tableau6[[#This Row],[ACOMPTE SUR HT]]</f>
        <v>401200</v>
      </c>
      <c r="O73" s="176"/>
      <c r="P73" s="176">
        <f>+ROUND(Tableau6[[#This Row],[MONTANT TTC]]-Tableau6[[#This Row],[ACOMPTE SUR TTC]],0)</f>
        <v>401200</v>
      </c>
      <c r="Q73" s="15" t="s">
        <v>476</v>
      </c>
      <c r="R73" s="14">
        <f>IFERROR(INDEX(Tableau2[[ID BC UNIQUE]:[MONTANT HT VALIDE]],MATCH(Tableau6[[#This Row],[N° BC]],Tableau2[ID BC UNIQUE],0),6),0)</f>
        <v>340000</v>
      </c>
      <c r="S73" s="26">
        <f>IFERROR(INDEX(Tableau2[[DATE]:[DELAIS DE PAIEMENT FACTURES EN JOUR]],MATCH(Tableau6[[#This Row],[N° BC]],Tableau2[ID BC UNIQUE],0),5),0)</f>
        <v>30</v>
      </c>
      <c r="T73" s="7">
        <f>IF(ISBLANK(Tableau6[[#This Row],[DATE DE DEPOT]]),"",Tableau6[[#This Row],[DATE DE DEPOT]]+Tableau6[[#This Row],[DELAI]])</f>
        <v>45736</v>
      </c>
      <c r="U73" s="25">
        <f ca="1">+IF(AND(W73=0,Tableau6[[#This Row],[DATE LIMITE]]&lt;TODAY()),TODAY()-Tableau6[[#This Row],[DATE LIMITE]],0)</f>
        <v>0</v>
      </c>
      <c r="V73" s="1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73" s="24">
        <f>SUMIF(Tableau3[FACTURE],Tableau6[[#This Row],[NUM DE FACTURE]],Tableau3[MONTANT TTC])</f>
        <v>401200</v>
      </c>
      <c r="X73" s="12"/>
      <c r="Y73" s="158">
        <f>+Tableau6[[#This Row],[NET A PAYER]]-Tableau6[[#This Row],[MONTANT PAYE]]</f>
        <v>0</v>
      </c>
      <c r="Z73" s="22"/>
    </row>
    <row r="74" spans="1:26" ht="10.050000000000001" customHeight="1" x14ac:dyDescent="0.2">
      <c r="A74" t="s">
        <v>100</v>
      </c>
      <c r="B74" s="3">
        <v>45713</v>
      </c>
      <c r="C74" s="12">
        <v>45713</v>
      </c>
      <c r="D74" s="351">
        <v>290</v>
      </c>
      <c r="E74" s="15" t="s">
        <v>102</v>
      </c>
      <c r="F74" s="2" t="s">
        <v>110</v>
      </c>
      <c r="G74" s="11" t="s">
        <v>552</v>
      </c>
      <c r="H74" s="2" t="s">
        <v>116</v>
      </c>
      <c r="I74" s="178">
        <v>21000000</v>
      </c>
      <c r="J74" s="235"/>
      <c r="K74" s="178">
        <f>+Tableau6[[#This Row],[MONTANT HT BIEN]]+Tableau6[[#This Row],[MONTANT HT SERVICE]]</f>
        <v>21000000</v>
      </c>
      <c r="L74" s="153">
        <v>0</v>
      </c>
      <c r="M74" s="176">
        <f>+IFERROR(IF(Tableau6[[#This Row],[CODE TVA]]="TVAF",Tableau6[[#This Row],[MONTANT HT]]*0.18,0),0)</f>
        <v>3780000</v>
      </c>
      <c r="N74" s="176">
        <f>Tableau6[[#This Row],[MONTANT HT]]+Tableau6[[#This Row],[TVA]]-Tableau6[[#This Row],[ACOMPTE SUR HT]]</f>
        <v>24780000</v>
      </c>
      <c r="O74" s="176"/>
      <c r="P74" s="176">
        <f>+ROUND(Tableau6[[#This Row],[MONTANT TTC]]-Tableau6[[#This Row],[ACOMPTE SUR TTC]],0)</f>
        <v>24780000</v>
      </c>
      <c r="Q74" s="15"/>
      <c r="R74" s="14">
        <f>IFERROR(INDEX(Tableau2[[ID BC UNIQUE]:[MONTANT HT VALIDE]],MATCH(Tableau6[[#This Row],[N° BC]],Tableau2[ID BC UNIQUE],0),6),0)</f>
        <v>0</v>
      </c>
      <c r="S74" s="26">
        <f>IFERROR(INDEX(Tableau2[[DATE]:[DELAIS DE PAIEMENT FACTURES EN JOUR]],MATCH(Tableau6[[#This Row],[N° BC]],Tableau2[ID BC UNIQUE],0),5),0)</f>
        <v>0</v>
      </c>
      <c r="T74" s="7">
        <f>IF(ISBLANK(Tableau6[[#This Row],[DATE DE DEPOT]]),"",Tableau6[[#This Row],[DATE DE DEPOT]]+Tableau6[[#This Row],[DELAI]])</f>
        <v>45713</v>
      </c>
      <c r="U74" s="25">
        <f ca="1">+IF(AND(W74=0,Tableau6[[#This Row],[DATE LIMITE]]&lt;TODAY()),TODAY()-Tableau6[[#This Row],[DATE LIMITE]],0)</f>
        <v>0</v>
      </c>
      <c r="V74" s="1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74" s="24">
        <f>SUMIF(Tableau3[FACTURE],Tableau6[[#This Row],[NUM DE FACTURE]],Tableau3[MONTANT TTC])</f>
        <v>24780000</v>
      </c>
      <c r="X74" s="12">
        <v>45585</v>
      </c>
      <c r="Y74" s="158">
        <f>+Tableau6[[#This Row],[NET A PAYER]]-Tableau6[[#This Row],[MONTANT PAYE]]</f>
        <v>0</v>
      </c>
      <c r="Z74" s="22"/>
    </row>
    <row r="75" spans="1:26" ht="10.050000000000001" customHeight="1" x14ac:dyDescent="0.2">
      <c r="A75" t="s">
        <v>100</v>
      </c>
      <c r="B75" s="3">
        <v>45716</v>
      </c>
      <c r="C75" s="12">
        <v>45716</v>
      </c>
      <c r="D75" s="351">
        <v>293</v>
      </c>
      <c r="E75" s="11" t="s">
        <v>138</v>
      </c>
      <c r="F75" s="2" t="s">
        <v>111</v>
      </c>
      <c r="G75" s="11" t="s">
        <v>176</v>
      </c>
      <c r="H75" s="2" t="s">
        <v>116</v>
      </c>
      <c r="I75" s="178"/>
      <c r="J75" s="235">
        <v>4200000</v>
      </c>
      <c r="K75" s="178">
        <f>+Tableau6[[#This Row],[MONTANT HT BIEN]]+Tableau6[[#This Row],[MONTANT HT SERVICE]]</f>
        <v>4200000</v>
      </c>
      <c r="L75" s="153">
        <v>0</v>
      </c>
      <c r="M75" s="176">
        <f>+IFERROR(IF(Tableau6[[#This Row],[CODE TVA]]="TVAF",Tableau6[[#This Row],[MONTANT HT]]*0.18,0),0)</f>
        <v>756000</v>
      </c>
      <c r="N75" s="176">
        <f>Tableau6[[#This Row],[MONTANT HT]]+Tableau6[[#This Row],[TVA]]-Tableau6[[#This Row],[ACOMPTE SUR HT]]</f>
        <v>4956000</v>
      </c>
      <c r="O75" s="176"/>
      <c r="P75" s="176">
        <f>+ROUND(Tableau6[[#This Row],[MONTANT TTC]]-Tableau6[[#This Row],[ACOMPTE SUR TTC]],0)</f>
        <v>4956000</v>
      </c>
      <c r="Q75" s="15" t="s">
        <v>460</v>
      </c>
      <c r="R75" s="14">
        <f>IFERROR(INDEX(Tableau2[[ID BC UNIQUE]:[MONTANT HT VALIDE]],MATCH(Tableau6[[#This Row],[N° BC]],Tableau2[ID BC UNIQUE],0),6),0)</f>
        <v>4200000</v>
      </c>
      <c r="S75" s="26">
        <f>IFERROR(INDEX(Tableau2[[DATE]:[DELAIS DE PAIEMENT FACTURES EN JOUR]],MATCH(Tableau6[[#This Row],[N° BC]],Tableau2[ID BC UNIQUE],0),5),0)</f>
        <v>30</v>
      </c>
      <c r="T75" s="7">
        <f>IF(ISBLANK(Tableau6[[#This Row],[DATE DE DEPOT]]),"",Tableau6[[#This Row],[DATE DE DEPOT]]+Tableau6[[#This Row],[DELAI]])</f>
        <v>45746</v>
      </c>
      <c r="U75" s="25">
        <f ca="1">+IF(AND(W75=0,Tableau6[[#This Row],[DATE LIMITE]]&lt;TODAY()),TODAY()-Tableau6[[#This Row],[DATE LIMITE]],0)</f>
        <v>0</v>
      </c>
      <c r="V75" s="1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75" s="24">
        <f>SUMIF(Tableau3[FACTURE],Tableau6[[#This Row],[NUM DE FACTURE]],Tableau3[MONTANT TTC])</f>
        <v>4956000</v>
      </c>
      <c r="X75" s="12"/>
      <c r="Y75" s="158">
        <f>+Tableau6[[#This Row],[NET A PAYER]]-Tableau6[[#This Row],[MONTANT PAYE]]</f>
        <v>0</v>
      </c>
      <c r="Z75" s="22"/>
    </row>
    <row r="76" spans="1:26" ht="10.050000000000001" customHeight="1" x14ac:dyDescent="0.2">
      <c r="A76" t="s">
        <v>100</v>
      </c>
      <c r="B76" s="3">
        <v>45716</v>
      </c>
      <c r="C76" s="12">
        <v>45716</v>
      </c>
      <c r="D76" s="351">
        <v>294</v>
      </c>
      <c r="E76" s="11" t="s">
        <v>138</v>
      </c>
      <c r="F76" s="2" t="s">
        <v>111</v>
      </c>
      <c r="G76" s="11" t="s">
        <v>176</v>
      </c>
      <c r="H76" s="2" t="s">
        <v>116</v>
      </c>
      <c r="I76" s="178"/>
      <c r="J76" s="235">
        <v>3500000</v>
      </c>
      <c r="K76" s="178">
        <f>+Tableau6[[#This Row],[MONTANT HT BIEN]]+Tableau6[[#This Row],[MONTANT HT SERVICE]]</f>
        <v>3500000</v>
      </c>
      <c r="L76" s="153">
        <v>0</v>
      </c>
      <c r="M76" s="176">
        <f>+IFERROR(IF(Tableau6[[#This Row],[CODE TVA]]="TVAF",Tableau6[[#This Row],[MONTANT HT]]*0.18,0),0)</f>
        <v>630000</v>
      </c>
      <c r="N76" s="176">
        <f>Tableau6[[#This Row],[MONTANT HT]]+Tableau6[[#This Row],[TVA]]-Tableau6[[#This Row],[ACOMPTE SUR HT]]</f>
        <v>4130000</v>
      </c>
      <c r="O76" s="153"/>
      <c r="P76" s="176">
        <f>+ROUND(Tableau6[[#This Row],[MONTANT TTC]]-Tableau6[[#This Row],[ACOMPTE SUR TTC]],0)</f>
        <v>4130000</v>
      </c>
      <c r="Q76" s="11" t="s">
        <v>461</v>
      </c>
      <c r="R76" s="14">
        <f>IFERROR(INDEX(Tableau2[[ID BC UNIQUE]:[MONTANT HT VALIDE]],MATCH(Tableau6[[#This Row],[N° BC]],Tableau2[ID BC UNIQUE],0),6),0)</f>
        <v>3500000</v>
      </c>
      <c r="S76" s="26">
        <f>IFERROR(INDEX(Tableau2[[DATE]:[DELAIS DE PAIEMENT FACTURES EN JOUR]],MATCH(Tableau6[[#This Row],[N° BC]],Tableau2[ID BC UNIQUE],0),5),0)</f>
        <v>30</v>
      </c>
      <c r="T76" s="7">
        <f>IF(ISBLANK(Tableau6[[#This Row],[DATE DE DEPOT]]),"",Tableau6[[#This Row],[DATE DE DEPOT]]+Tableau6[[#This Row],[DELAI]])</f>
        <v>45746</v>
      </c>
      <c r="U76" s="25">
        <f ca="1">+IF(AND(W76=0,Tableau6[[#This Row],[DATE LIMITE]]&lt;TODAY()),TODAY()-Tableau6[[#This Row],[DATE LIMITE]],0)</f>
        <v>0</v>
      </c>
      <c r="V76" s="1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76" s="24">
        <f>SUMIF(Tableau3[FACTURE],Tableau6[[#This Row],[NUM DE FACTURE]],Tableau3[MONTANT TTC])</f>
        <v>4130000</v>
      </c>
      <c r="X76" s="12"/>
      <c r="Y76" s="158">
        <f>+Tableau6[[#This Row],[NET A PAYER]]-Tableau6[[#This Row],[MONTANT PAYE]]</f>
        <v>0</v>
      </c>
      <c r="Z76" s="22"/>
    </row>
    <row r="77" spans="1:26" ht="10.050000000000001" customHeight="1" x14ac:dyDescent="0.2">
      <c r="A77" t="s">
        <v>100</v>
      </c>
      <c r="B77" s="3">
        <v>45716</v>
      </c>
      <c r="C77" s="12">
        <v>45716</v>
      </c>
      <c r="D77" s="351">
        <v>295</v>
      </c>
      <c r="E77" s="11" t="s">
        <v>138</v>
      </c>
      <c r="F77" s="2" t="s">
        <v>111</v>
      </c>
      <c r="G77" s="11" t="s">
        <v>176</v>
      </c>
      <c r="H77" s="2" t="s">
        <v>116</v>
      </c>
      <c r="I77" s="178"/>
      <c r="J77" s="235">
        <v>2160000</v>
      </c>
      <c r="K77" s="178">
        <f>+Tableau6[[#This Row],[MONTANT HT BIEN]]+Tableau6[[#This Row],[MONTANT HT SERVICE]]</f>
        <v>2160000</v>
      </c>
      <c r="L77" s="153">
        <v>0</v>
      </c>
      <c r="M77" s="176">
        <f>+IFERROR(IF(Tableau6[[#This Row],[CODE TVA]]="TVAF",Tableau6[[#This Row],[MONTANT HT]]*0.18,0),0)</f>
        <v>388800</v>
      </c>
      <c r="N77" s="176">
        <f>Tableau6[[#This Row],[MONTANT HT]]+Tableau6[[#This Row],[TVA]]-Tableau6[[#This Row],[ACOMPTE SUR HT]]</f>
        <v>2548800</v>
      </c>
      <c r="O77" s="176"/>
      <c r="P77" s="176">
        <f>+ROUND(Tableau6[[#This Row],[MONTANT TTC]]-Tableau6[[#This Row],[ACOMPTE SUR TTC]],0)</f>
        <v>2548800</v>
      </c>
      <c r="Q77" s="15" t="s">
        <v>462</v>
      </c>
      <c r="R77" s="14">
        <f>IFERROR(INDEX(Tableau2[[ID BC UNIQUE]:[MONTANT HT VALIDE]],MATCH(Tableau6[[#This Row],[N° BC]],Tableau2[ID BC UNIQUE],0),6),0)</f>
        <v>2160000</v>
      </c>
      <c r="S77" s="26">
        <f>IFERROR(INDEX(Tableau2[[DATE]:[DELAIS DE PAIEMENT FACTURES EN JOUR]],MATCH(Tableau6[[#This Row],[N° BC]],Tableau2[ID BC UNIQUE],0),5),0)</f>
        <v>30</v>
      </c>
      <c r="T77" s="7">
        <f>IF(ISBLANK(Tableau6[[#This Row],[DATE DE DEPOT]]),"",Tableau6[[#This Row],[DATE DE DEPOT]]+Tableau6[[#This Row],[DELAI]])</f>
        <v>45746</v>
      </c>
      <c r="U77" s="25">
        <f ca="1">+IF(AND(W77=0,Tableau6[[#This Row],[DATE LIMITE]]&lt;TODAY()),TODAY()-Tableau6[[#This Row],[DATE LIMITE]],0)</f>
        <v>0</v>
      </c>
      <c r="V77" s="1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77" s="24">
        <f>SUMIF(Tableau3[FACTURE],Tableau6[[#This Row],[NUM DE FACTURE]],Tableau3[MONTANT TTC])</f>
        <v>2548800</v>
      </c>
      <c r="X77" s="12"/>
      <c r="Y77" s="158">
        <f>+Tableau6[[#This Row],[NET A PAYER]]-Tableau6[[#This Row],[MONTANT PAYE]]</f>
        <v>0</v>
      </c>
      <c r="Z77"/>
    </row>
    <row r="78" spans="1:26" ht="10.050000000000001" customHeight="1" x14ac:dyDescent="0.2">
      <c r="A78" t="s">
        <v>100</v>
      </c>
      <c r="B78" s="71">
        <v>45716</v>
      </c>
      <c r="C78" s="61">
        <v>45716</v>
      </c>
      <c r="D78" s="351">
        <v>296</v>
      </c>
      <c r="E78" s="11" t="s">
        <v>138</v>
      </c>
      <c r="F78" s="2" t="s">
        <v>111</v>
      </c>
      <c r="G78" s="11" t="s">
        <v>176</v>
      </c>
      <c r="H78" s="2" t="s">
        <v>116</v>
      </c>
      <c r="I78" s="179"/>
      <c r="J78" s="236">
        <v>2520000</v>
      </c>
      <c r="K78" s="179">
        <f>+Tableau6[[#This Row],[MONTANT HT BIEN]]+Tableau6[[#This Row],[MONTANT HT SERVICE]]</f>
        <v>2520000</v>
      </c>
      <c r="L78" s="153">
        <v>0</v>
      </c>
      <c r="M78" s="180">
        <f>+IFERROR(IF(Tableau6[[#This Row],[CODE TVA]]="TVAF",Tableau6[[#This Row],[MONTANT HT]]*0.18,0),0)</f>
        <v>453600</v>
      </c>
      <c r="N78" s="180">
        <f>Tableau6[[#This Row],[MONTANT HT]]+Tableau6[[#This Row],[TVA]]-Tableau6[[#This Row],[ACOMPTE SUR HT]]</f>
        <v>2973600</v>
      </c>
      <c r="O78" s="180"/>
      <c r="P78" s="180">
        <f>+ROUND(Tableau6[[#This Row],[MONTANT TTC]]-Tableau6[[#This Row],[ACOMPTE SUR TTC]],0)</f>
        <v>2973600</v>
      </c>
      <c r="Q78" s="11" t="s">
        <v>463</v>
      </c>
      <c r="R78" s="63">
        <f>IFERROR(INDEX(Tableau2[[ID BC UNIQUE]:[MONTANT HT VALIDE]],MATCH(Tableau6[[#This Row],[N° BC]],Tableau2[ID BC UNIQUE],0),6),0)</f>
        <v>2520000</v>
      </c>
      <c r="S78" s="64">
        <f>IFERROR(INDEX(Tableau2[[DATE]:[DELAIS DE PAIEMENT FACTURES EN JOUR]],MATCH(Tableau6[[#This Row],[N° BC]],Tableau2[ID BC UNIQUE],0),5),0)</f>
        <v>30</v>
      </c>
      <c r="T78" s="7">
        <f>IF(ISBLANK(Tableau6[[#This Row],[DATE DE DEPOT]]),"",Tableau6[[#This Row],[DATE DE DEPOT]]+Tableau6[[#This Row],[DELAI]])</f>
        <v>45746</v>
      </c>
      <c r="U78" s="25">
        <f ca="1">+IF(AND(W78=0,Tableau6[[#This Row],[DATE LIMITE]]&lt;TODAY()),TODAY()-Tableau6[[#This Row],[DATE LIMITE]],0)</f>
        <v>0</v>
      </c>
      <c r="V78" s="6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78" s="65">
        <f>SUMIF(Tableau3[FACTURE],Tableau6[[#This Row],[NUM DE FACTURE]],Tableau3[MONTANT TTC])</f>
        <v>2973600</v>
      </c>
      <c r="X78" s="61"/>
      <c r="Y78" s="159">
        <f>+Tableau6[[#This Row],[NET A PAYER]]-Tableau6[[#This Row],[MONTANT PAYE]]</f>
        <v>0</v>
      </c>
      <c r="Z78" s="60"/>
    </row>
    <row r="79" spans="1:26" ht="10.050000000000001" customHeight="1" x14ac:dyDescent="0.2">
      <c r="A79" t="s">
        <v>100</v>
      </c>
      <c r="B79" s="3">
        <v>45716</v>
      </c>
      <c r="C79" s="12">
        <v>45716</v>
      </c>
      <c r="D79" s="351">
        <v>297</v>
      </c>
      <c r="E79" s="11" t="s">
        <v>138</v>
      </c>
      <c r="F79" s="2" t="s">
        <v>111</v>
      </c>
      <c r="G79" s="11" t="s">
        <v>176</v>
      </c>
      <c r="H79" s="2" t="s">
        <v>116</v>
      </c>
      <c r="I79" s="178"/>
      <c r="J79" s="235">
        <v>540000</v>
      </c>
      <c r="K79" s="178">
        <f>+Tableau6[[#This Row],[MONTANT HT BIEN]]+Tableau6[[#This Row],[MONTANT HT SERVICE]]</f>
        <v>540000</v>
      </c>
      <c r="L79" s="153">
        <v>0</v>
      </c>
      <c r="M79" s="176">
        <f>+IFERROR(IF(Tableau6[[#This Row],[CODE TVA]]="TVAF",Tableau6[[#This Row],[MONTANT HT]]*0.18,0),0)</f>
        <v>97200</v>
      </c>
      <c r="N79" s="176">
        <f>Tableau6[[#This Row],[MONTANT HT]]+Tableau6[[#This Row],[TVA]]-Tableau6[[#This Row],[ACOMPTE SUR HT]]</f>
        <v>637200</v>
      </c>
      <c r="O79" s="176"/>
      <c r="P79" s="176">
        <f>+ROUND(Tableau6[[#This Row],[MONTANT TTC]]-Tableau6[[#This Row],[ACOMPTE SUR TTC]],0)</f>
        <v>637200</v>
      </c>
      <c r="Q79" s="15" t="s">
        <v>464</v>
      </c>
      <c r="R79" s="14">
        <f>IFERROR(INDEX(Tableau2[[ID BC UNIQUE]:[MONTANT HT VALIDE]],MATCH(Tableau6[[#This Row],[N° BC]],Tableau2[ID BC UNIQUE],0),6),0)</f>
        <v>540000</v>
      </c>
      <c r="S79" s="26">
        <f>IFERROR(INDEX(Tableau2[[DATE]:[DELAIS DE PAIEMENT FACTURES EN JOUR]],MATCH(Tableau6[[#This Row],[N° BC]],Tableau2[ID BC UNIQUE],0),5),0)</f>
        <v>30</v>
      </c>
      <c r="T79" s="7">
        <f>IF(ISBLANK(Tableau6[[#This Row],[DATE DE DEPOT]]),"",Tableau6[[#This Row],[DATE DE DEPOT]]+Tableau6[[#This Row],[DELAI]])</f>
        <v>45746</v>
      </c>
      <c r="U79" s="25">
        <f ca="1">+IF(AND(W79=0,Tableau6[[#This Row],[DATE LIMITE]]&lt;TODAY()),TODAY()-Tableau6[[#This Row],[DATE LIMITE]],0)</f>
        <v>0</v>
      </c>
      <c r="V79" s="1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79" s="24">
        <f>SUMIF(Tableau3[FACTURE],Tableau6[[#This Row],[NUM DE FACTURE]],Tableau3[MONTANT TTC])</f>
        <v>637200</v>
      </c>
      <c r="X79" s="12"/>
      <c r="Y79" s="158">
        <f>+Tableau6[[#This Row],[NET A PAYER]]-Tableau6[[#This Row],[MONTANT PAYE]]</f>
        <v>0</v>
      </c>
      <c r="Z79" s="22"/>
    </row>
    <row r="80" spans="1:26" ht="10.050000000000001" customHeight="1" x14ac:dyDescent="0.2">
      <c r="A80" t="s">
        <v>100</v>
      </c>
      <c r="B80" s="71">
        <v>45716</v>
      </c>
      <c r="C80" s="61">
        <v>45716</v>
      </c>
      <c r="D80" s="351">
        <v>298</v>
      </c>
      <c r="E80" s="11" t="s">
        <v>138</v>
      </c>
      <c r="F80" s="2" t="s">
        <v>111</v>
      </c>
      <c r="G80" s="11" t="s">
        <v>199</v>
      </c>
      <c r="H80" s="2" t="s">
        <v>116</v>
      </c>
      <c r="I80" s="179"/>
      <c r="J80" s="236">
        <v>3600000</v>
      </c>
      <c r="K80" s="179">
        <f>+Tableau6[[#This Row],[MONTANT HT BIEN]]+Tableau6[[#This Row],[MONTANT HT SERVICE]]</f>
        <v>3600000</v>
      </c>
      <c r="L80" s="153">
        <v>0</v>
      </c>
      <c r="M80" s="180">
        <f>+IFERROR(IF(Tableau6[[#This Row],[CODE TVA]]="TVAF",Tableau6[[#This Row],[MONTANT HT]]*0.18,0),0)</f>
        <v>648000</v>
      </c>
      <c r="N80" s="180">
        <f>Tableau6[[#This Row],[MONTANT HT]]+Tableau6[[#This Row],[TVA]]-Tableau6[[#This Row],[ACOMPTE SUR HT]]</f>
        <v>4248000</v>
      </c>
      <c r="O80" s="180"/>
      <c r="P80" s="180">
        <f>+ROUND(Tableau6[[#This Row],[MONTANT TTC]]-Tableau6[[#This Row],[ACOMPTE SUR TTC]],0)</f>
        <v>4248000</v>
      </c>
      <c r="Q80" s="11" t="s">
        <v>465</v>
      </c>
      <c r="R80" s="63">
        <f>IFERROR(INDEX(Tableau2[[ID BC UNIQUE]:[MONTANT HT VALIDE]],MATCH(Tableau6[[#This Row],[N° BC]],Tableau2[ID BC UNIQUE],0),6),0)</f>
        <v>3600000</v>
      </c>
      <c r="S80" s="64">
        <f>IFERROR(INDEX(Tableau2[[DATE]:[DELAIS DE PAIEMENT FACTURES EN JOUR]],MATCH(Tableau6[[#This Row],[N° BC]],Tableau2[ID BC UNIQUE],0),5),0)</f>
        <v>30</v>
      </c>
      <c r="T80" s="7">
        <f>IF(ISBLANK(Tableau6[[#This Row],[DATE DE DEPOT]]),"",Tableau6[[#This Row],[DATE DE DEPOT]]+Tableau6[[#This Row],[DELAI]])</f>
        <v>45746</v>
      </c>
      <c r="U80" s="25">
        <f ca="1">+IF(AND(W80=0,Tableau6[[#This Row],[DATE LIMITE]]&lt;TODAY()),TODAY()-Tableau6[[#This Row],[DATE LIMITE]],0)</f>
        <v>0</v>
      </c>
      <c r="V80" s="6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80" s="65">
        <f>SUMIF(Tableau3[FACTURE],Tableau6[[#This Row],[NUM DE FACTURE]],Tableau3[MONTANT TTC])</f>
        <v>4248000</v>
      </c>
      <c r="X80" s="61"/>
      <c r="Y80" s="159">
        <f>+Tableau6[[#This Row],[NET A PAYER]]-Tableau6[[#This Row],[MONTANT PAYE]]</f>
        <v>0</v>
      </c>
      <c r="Z80" s="60"/>
    </row>
    <row r="81" spans="1:26" ht="10.050000000000001" customHeight="1" x14ac:dyDescent="0.2">
      <c r="A81" t="s">
        <v>100</v>
      </c>
      <c r="B81" s="71">
        <v>45716</v>
      </c>
      <c r="C81" s="61">
        <v>45716</v>
      </c>
      <c r="D81" s="351">
        <v>299</v>
      </c>
      <c r="E81" s="11" t="s">
        <v>138</v>
      </c>
      <c r="F81" s="2" t="s">
        <v>111</v>
      </c>
      <c r="G81" s="11" t="s">
        <v>200</v>
      </c>
      <c r="H81" s="2" t="s">
        <v>116</v>
      </c>
      <c r="I81" s="179"/>
      <c r="J81" s="236">
        <v>1400000</v>
      </c>
      <c r="K81" s="179">
        <f>+Tableau6[[#This Row],[MONTANT HT BIEN]]+Tableau6[[#This Row],[MONTANT HT SERVICE]]</f>
        <v>1400000</v>
      </c>
      <c r="L81" s="153">
        <v>0</v>
      </c>
      <c r="M81" s="180">
        <f>+IFERROR(IF(Tableau6[[#This Row],[CODE TVA]]="TVAF",Tableau6[[#This Row],[MONTANT HT]]*0.18,0),0)</f>
        <v>252000</v>
      </c>
      <c r="N81" s="180">
        <f>Tableau6[[#This Row],[MONTANT HT]]+Tableau6[[#This Row],[TVA]]-Tableau6[[#This Row],[ACOMPTE SUR HT]]</f>
        <v>1652000</v>
      </c>
      <c r="O81" s="180"/>
      <c r="P81" s="180">
        <f>+ROUND(Tableau6[[#This Row],[MONTANT TTC]]-Tableau6[[#This Row],[ACOMPTE SUR TTC]],0)</f>
        <v>1652000</v>
      </c>
      <c r="Q81" s="11" t="s">
        <v>763</v>
      </c>
      <c r="R81" s="63">
        <f>IFERROR(INDEX(Tableau2[[ID BC UNIQUE]:[MONTANT HT VALIDE]],MATCH(Tableau6[[#This Row],[N° BC]],Tableau2[ID BC UNIQUE],0),6),0)</f>
        <v>1400000</v>
      </c>
      <c r="S81" s="64">
        <f>IFERROR(INDEX(Tableau2[[DATE]:[DELAIS DE PAIEMENT FACTURES EN JOUR]],MATCH(Tableau6[[#This Row],[N° BC]],Tableau2[ID BC UNIQUE],0),5),0)</f>
        <v>30</v>
      </c>
      <c r="T81" s="7">
        <f>IF(ISBLANK(Tableau6[[#This Row],[DATE DE DEPOT]]),"",Tableau6[[#This Row],[DATE DE DEPOT]]+Tableau6[[#This Row],[DELAI]])</f>
        <v>45746</v>
      </c>
      <c r="U81" s="25">
        <f ca="1">+IF(AND(W81=0,Tableau6[[#This Row],[DATE LIMITE]]&lt;TODAY()),TODAY()-Tableau6[[#This Row],[DATE LIMITE]],0)</f>
        <v>0</v>
      </c>
      <c r="V81" s="6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81" s="65">
        <f>SUMIF(Tableau3[FACTURE],Tableau6[[#This Row],[NUM DE FACTURE]],Tableau3[MONTANT TTC])</f>
        <v>1652000</v>
      </c>
      <c r="X81" s="61"/>
      <c r="Y81" s="159">
        <f>+Tableau6[[#This Row],[NET A PAYER]]-Tableau6[[#This Row],[MONTANT PAYE]]</f>
        <v>0</v>
      </c>
      <c r="Z81" s="60"/>
    </row>
    <row r="82" spans="1:26" ht="10.050000000000001" customHeight="1" x14ac:dyDescent="0.2">
      <c r="A82" t="s">
        <v>100</v>
      </c>
      <c r="B82" s="71">
        <v>45716</v>
      </c>
      <c r="C82" s="61">
        <v>45716</v>
      </c>
      <c r="D82" s="351">
        <v>302</v>
      </c>
      <c r="E82" s="11" t="s">
        <v>138</v>
      </c>
      <c r="F82" s="2" t="s">
        <v>111</v>
      </c>
      <c r="G82" s="11" t="s">
        <v>200</v>
      </c>
      <c r="H82" s="2" t="s">
        <v>116</v>
      </c>
      <c r="I82" s="179"/>
      <c r="J82" s="236">
        <v>600000</v>
      </c>
      <c r="K82" s="179">
        <f>+Tableau6[[#This Row],[MONTANT HT BIEN]]+Tableau6[[#This Row],[MONTANT HT SERVICE]]</f>
        <v>600000</v>
      </c>
      <c r="L82" s="153">
        <v>0</v>
      </c>
      <c r="M82" s="180">
        <f>+IFERROR(IF(Tableau6[[#This Row],[CODE TVA]]="TVAF",Tableau6[[#This Row],[MONTANT HT]]*0.18,0),0)</f>
        <v>108000</v>
      </c>
      <c r="N82" s="180">
        <f>Tableau6[[#This Row],[MONTANT HT]]+Tableau6[[#This Row],[TVA]]-Tableau6[[#This Row],[ACOMPTE SUR HT]]</f>
        <v>708000</v>
      </c>
      <c r="O82" s="180"/>
      <c r="P82" s="180">
        <f>+ROUND(Tableau6[[#This Row],[MONTANT TTC]]-Tableau6[[#This Row],[ACOMPTE SUR TTC]],0)</f>
        <v>708000</v>
      </c>
      <c r="Q82" s="11" t="s">
        <v>466</v>
      </c>
      <c r="R82" s="63">
        <f>IFERROR(INDEX(Tableau2[[ID BC UNIQUE]:[MONTANT HT VALIDE]],MATCH(Tableau6[[#This Row],[N° BC]],Tableau2[ID BC UNIQUE],0),6),0)</f>
        <v>600000</v>
      </c>
      <c r="S82" s="64">
        <f>IFERROR(INDEX(Tableau2[[DATE]:[DELAIS DE PAIEMENT FACTURES EN JOUR]],MATCH(Tableau6[[#This Row],[N° BC]],Tableau2[ID BC UNIQUE],0),5),0)</f>
        <v>30</v>
      </c>
      <c r="T82" s="7">
        <f>IF(ISBLANK(Tableau6[[#This Row],[DATE DE DEPOT]]),"",Tableau6[[#This Row],[DATE DE DEPOT]]+Tableau6[[#This Row],[DELAI]])</f>
        <v>45746</v>
      </c>
      <c r="U82" s="25">
        <f ca="1">+IF(AND(W82=0,Tableau6[[#This Row],[DATE LIMITE]]&lt;TODAY()),TODAY()-Tableau6[[#This Row],[DATE LIMITE]],0)</f>
        <v>0</v>
      </c>
      <c r="V82" s="6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82" s="65">
        <f>SUMIF(Tableau3[FACTURE],Tableau6[[#This Row],[NUM DE FACTURE]],Tableau3[MONTANT TTC])</f>
        <v>708000</v>
      </c>
      <c r="X82" s="61"/>
      <c r="Y82" s="159">
        <f>+Tableau6[[#This Row],[NET A PAYER]]-Tableau6[[#This Row],[MONTANT PAYE]]</f>
        <v>0</v>
      </c>
      <c r="Z82" s="60"/>
    </row>
    <row r="83" spans="1:26" ht="10.050000000000001" customHeight="1" x14ac:dyDescent="0.2">
      <c r="A83" t="s">
        <v>100</v>
      </c>
      <c r="B83" s="71">
        <v>45716</v>
      </c>
      <c r="C83" s="61">
        <v>45716</v>
      </c>
      <c r="D83" s="351">
        <v>303</v>
      </c>
      <c r="E83" s="11" t="s">
        <v>138</v>
      </c>
      <c r="F83" s="2" t="s">
        <v>111</v>
      </c>
      <c r="G83" s="11" t="s">
        <v>200</v>
      </c>
      <c r="H83" s="2" t="s">
        <v>116</v>
      </c>
      <c r="I83" s="179"/>
      <c r="J83" s="236">
        <v>600000</v>
      </c>
      <c r="K83" s="179">
        <f>+Tableau6[[#This Row],[MONTANT HT BIEN]]+Tableau6[[#This Row],[MONTANT HT SERVICE]]</f>
        <v>600000</v>
      </c>
      <c r="L83" s="153">
        <v>0</v>
      </c>
      <c r="M83" s="180">
        <f>+IFERROR(IF(Tableau6[[#This Row],[CODE TVA]]="TVAF",Tableau6[[#This Row],[MONTANT HT]]*0.18,0),0)</f>
        <v>108000</v>
      </c>
      <c r="N83" s="180">
        <f>Tableau6[[#This Row],[MONTANT HT]]+Tableau6[[#This Row],[TVA]]-Tableau6[[#This Row],[ACOMPTE SUR HT]]</f>
        <v>708000</v>
      </c>
      <c r="O83" s="180"/>
      <c r="P83" s="180">
        <f>+ROUND(Tableau6[[#This Row],[MONTANT TTC]]-Tableau6[[#This Row],[ACOMPTE SUR TTC]],0)</f>
        <v>708000</v>
      </c>
      <c r="Q83" s="11" t="s">
        <v>467</v>
      </c>
      <c r="R83" s="63">
        <f>IFERROR(INDEX(Tableau2[[ID BC UNIQUE]:[MONTANT HT VALIDE]],MATCH(Tableau6[[#This Row],[N° BC]],Tableau2[ID BC UNIQUE],0),6),0)</f>
        <v>600000</v>
      </c>
      <c r="S83" s="64">
        <f>IFERROR(INDEX(Tableau2[[DATE]:[DELAIS DE PAIEMENT FACTURES EN JOUR]],MATCH(Tableau6[[#This Row],[N° BC]],Tableau2[ID BC UNIQUE],0),5),0)</f>
        <v>30</v>
      </c>
      <c r="T83" s="7">
        <f>IF(ISBLANK(Tableau6[[#This Row],[DATE DE DEPOT]]),"",Tableau6[[#This Row],[DATE DE DEPOT]]+Tableau6[[#This Row],[DELAI]])</f>
        <v>45746</v>
      </c>
      <c r="U83" s="25">
        <f ca="1">+IF(AND(W83=0,Tableau6[[#This Row],[DATE LIMITE]]&lt;TODAY()),TODAY()-Tableau6[[#This Row],[DATE LIMITE]],0)</f>
        <v>0</v>
      </c>
      <c r="V83" s="6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83" s="65">
        <f>SUMIF(Tableau3[FACTURE],Tableau6[[#This Row],[NUM DE FACTURE]],Tableau3[MONTANT TTC])</f>
        <v>708000</v>
      </c>
      <c r="X83" s="61"/>
      <c r="Y83" s="159">
        <f>+Tableau6[[#This Row],[NET A PAYER]]-Tableau6[[#This Row],[MONTANT PAYE]]</f>
        <v>0</v>
      </c>
      <c r="Z83" s="60"/>
    </row>
    <row r="84" spans="1:26" ht="10.050000000000001" customHeight="1" x14ac:dyDescent="0.2">
      <c r="A84" t="s">
        <v>100</v>
      </c>
      <c r="B84" s="71">
        <v>45716</v>
      </c>
      <c r="C84" s="61">
        <v>45716</v>
      </c>
      <c r="D84" s="351">
        <v>304</v>
      </c>
      <c r="E84" s="11" t="s">
        <v>138</v>
      </c>
      <c r="F84" s="2" t="s">
        <v>111</v>
      </c>
      <c r="G84" s="11" t="s">
        <v>199</v>
      </c>
      <c r="H84" s="2" t="s">
        <v>116</v>
      </c>
      <c r="I84" s="179"/>
      <c r="J84" s="236">
        <v>180000</v>
      </c>
      <c r="K84" s="179">
        <f>+Tableau6[[#This Row],[MONTANT HT BIEN]]+Tableau6[[#This Row],[MONTANT HT SERVICE]]</f>
        <v>180000</v>
      </c>
      <c r="L84" s="153">
        <v>0</v>
      </c>
      <c r="M84" s="180">
        <f>+IFERROR(IF(Tableau6[[#This Row],[CODE TVA]]="TVAF",Tableau6[[#This Row],[MONTANT HT]]*0.18,0),0)</f>
        <v>32400</v>
      </c>
      <c r="N84" s="180">
        <f>Tableau6[[#This Row],[MONTANT HT]]+Tableau6[[#This Row],[TVA]]-Tableau6[[#This Row],[ACOMPTE SUR HT]]</f>
        <v>212400</v>
      </c>
      <c r="O84" s="180"/>
      <c r="P84" s="180">
        <f>+ROUND(Tableau6[[#This Row],[MONTANT TTC]]-Tableau6[[#This Row],[ACOMPTE SUR TTC]],0)</f>
        <v>212400</v>
      </c>
      <c r="Q84" s="11" t="s">
        <v>468</v>
      </c>
      <c r="R84" s="63">
        <f>IFERROR(INDEX(Tableau2[[ID BC UNIQUE]:[MONTANT HT VALIDE]],MATCH(Tableau6[[#This Row],[N° BC]],Tableau2[ID BC UNIQUE],0),6),0)</f>
        <v>180000</v>
      </c>
      <c r="S84" s="64">
        <f>IFERROR(INDEX(Tableau2[[DATE]:[DELAIS DE PAIEMENT FACTURES EN JOUR]],MATCH(Tableau6[[#This Row],[N° BC]],Tableau2[ID BC UNIQUE],0),5),0)</f>
        <v>30</v>
      </c>
      <c r="T84" s="7">
        <f>IF(ISBLANK(Tableau6[[#This Row],[DATE DE DEPOT]]),"",Tableau6[[#This Row],[DATE DE DEPOT]]+Tableau6[[#This Row],[DELAI]])</f>
        <v>45746</v>
      </c>
      <c r="U84" s="25">
        <f ca="1">+IF(AND(W84=0,Tableau6[[#This Row],[DATE LIMITE]]&lt;TODAY()),TODAY()-Tableau6[[#This Row],[DATE LIMITE]],0)</f>
        <v>0</v>
      </c>
      <c r="V84" s="6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84" s="65">
        <f>SUMIF(Tableau3[FACTURE],Tableau6[[#This Row],[NUM DE FACTURE]],Tableau3[MONTANT TTC])</f>
        <v>212400</v>
      </c>
      <c r="X84" s="61"/>
      <c r="Y84" s="159">
        <f>+Tableau6[[#This Row],[NET A PAYER]]-Tableau6[[#This Row],[MONTANT PAYE]]</f>
        <v>0</v>
      </c>
      <c r="Z84" s="60"/>
    </row>
    <row r="85" spans="1:26" ht="10.050000000000001" customHeight="1" x14ac:dyDescent="0.2">
      <c r="A85" t="s">
        <v>100</v>
      </c>
      <c r="B85" s="71">
        <v>45716</v>
      </c>
      <c r="C85" s="61">
        <v>45716</v>
      </c>
      <c r="D85" s="351">
        <v>305</v>
      </c>
      <c r="E85" s="11" t="s">
        <v>138</v>
      </c>
      <c r="F85" s="2" t="s">
        <v>111</v>
      </c>
      <c r="G85" s="11" t="s">
        <v>176</v>
      </c>
      <c r="H85" s="2" t="s">
        <v>116</v>
      </c>
      <c r="I85" s="179"/>
      <c r="J85" s="236">
        <v>3960000</v>
      </c>
      <c r="K85" s="179">
        <f>+Tableau6[[#This Row],[MONTANT HT BIEN]]+Tableau6[[#This Row],[MONTANT HT SERVICE]]</f>
        <v>3960000</v>
      </c>
      <c r="L85" s="153">
        <v>0</v>
      </c>
      <c r="M85" s="180">
        <f>+IFERROR(IF(Tableau6[[#This Row],[CODE TVA]]="TVAF",Tableau6[[#This Row],[MONTANT HT]]*0.18,0),0)</f>
        <v>712800</v>
      </c>
      <c r="N85" s="180">
        <f>Tableau6[[#This Row],[MONTANT HT]]+Tableau6[[#This Row],[TVA]]-Tableau6[[#This Row],[ACOMPTE SUR HT]]</f>
        <v>4672800</v>
      </c>
      <c r="O85" s="180"/>
      <c r="P85" s="180">
        <f>+ROUND(Tableau6[[#This Row],[MONTANT TTC]]-Tableau6[[#This Row],[ACOMPTE SUR TTC]],0)</f>
        <v>4672800</v>
      </c>
      <c r="Q85" s="11" t="s">
        <v>469</v>
      </c>
      <c r="R85" s="63">
        <f>IFERROR(INDEX(Tableau2[[ID BC UNIQUE]:[MONTANT HT VALIDE]],MATCH(Tableau6[[#This Row],[N° BC]],Tableau2[ID BC UNIQUE],0),6),0)</f>
        <v>3960000</v>
      </c>
      <c r="S85" s="64">
        <f>IFERROR(INDEX(Tableau2[[DATE]:[DELAIS DE PAIEMENT FACTURES EN JOUR]],MATCH(Tableau6[[#This Row],[N° BC]],Tableau2[ID BC UNIQUE],0),5),0)</f>
        <v>30</v>
      </c>
      <c r="T85" s="7">
        <f>IF(ISBLANK(Tableau6[[#This Row],[DATE DE DEPOT]]),"",Tableau6[[#This Row],[DATE DE DEPOT]]+Tableau6[[#This Row],[DELAI]])</f>
        <v>45746</v>
      </c>
      <c r="U85" s="25">
        <f ca="1">+IF(AND(W85=0,Tableau6[[#This Row],[DATE LIMITE]]&lt;TODAY()),TODAY()-Tableau6[[#This Row],[DATE LIMITE]],0)</f>
        <v>0</v>
      </c>
      <c r="V85" s="6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85" s="65">
        <f>SUMIF(Tableau3[FACTURE],Tableau6[[#This Row],[NUM DE FACTURE]],Tableau3[MONTANT TTC])</f>
        <v>4672800</v>
      </c>
      <c r="X85" s="61"/>
      <c r="Y85" s="159">
        <f>+Tableau6[[#This Row],[NET A PAYER]]-Tableau6[[#This Row],[MONTANT PAYE]]</f>
        <v>0</v>
      </c>
      <c r="Z85" s="60"/>
    </row>
    <row r="86" spans="1:26" ht="10.050000000000001" customHeight="1" x14ac:dyDescent="0.2">
      <c r="A86" t="s">
        <v>100</v>
      </c>
      <c r="B86" s="71">
        <v>45716</v>
      </c>
      <c r="C86" s="61">
        <v>45716</v>
      </c>
      <c r="D86" s="351">
        <v>307</v>
      </c>
      <c r="E86" s="11" t="s">
        <v>138</v>
      </c>
      <c r="F86" s="2" t="s">
        <v>111</v>
      </c>
      <c r="G86" s="11" t="s">
        <v>205</v>
      </c>
      <c r="H86" s="2" t="s">
        <v>116</v>
      </c>
      <c r="I86" s="179"/>
      <c r="J86" s="236">
        <v>1350000</v>
      </c>
      <c r="K86" s="179">
        <f>+Tableau6[[#This Row],[MONTANT HT BIEN]]+Tableau6[[#This Row],[MONTANT HT SERVICE]]</f>
        <v>1350000</v>
      </c>
      <c r="L86" s="153">
        <v>0</v>
      </c>
      <c r="M86" s="180">
        <f>+IFERROR(IF(Tableau6[[#This Row],[CODE TVA]]="TVAF",Tableau6[[#This Row],[MONTANT HT]]*0.18,0),0)</f>
        <v>243000</v>
      </c>
      <c r="N86" s="180">
        <f>Tableau6[[#This Row],[MONTANT HT]]+Tableau6[[#This Row],[TVA]]-Tableau6[[#This Row],[ACOMPTE SUR HT]]</f>
        <v>1593000</v>
      </c>
      <c r="O86" s="180"/>
      <c r="P86" s="180">
        <f>+ROUND(Tableau6[[#This Row],[MONTANT TTC]]-Tableau6[[#This Row],[ACOMPTE SUR TTC]],0)</f>
        <v>1593000</v>
      </c>
      <c r="Q86" s="11" t="s">
        <v>470</v>
      </c>
      <c r="R86" s="63">
        <f>IFERROR(INDEX(Tableau2[[ID BC UNIQUE]:[MONTANT HT VALIDE]],MATCH(Tableau6[[#This Row],[N° BC]],Tableau2[ID BC UNIQUE],0),6),0)</f>
        <v>1350000</v>
      </c>
      <c r="S86" s="64">
        <f>IFERROR(INDEX(Tableau2[[DATE]:[DELAIS DE PAIEMENT FACTURES EN JOUR]],MATCH(Tableau6[[#This Row],[N° BC]],Tableau2[ID BC UNIQUE],0),5),0)</f>
        <v>30</v>
      </c>
      <c r="T86" s="7">
        <f>IF(ISBLANK(Tableau6[[#This Row],[DATE DE DEPOT]]),"",Tableau6[[#This Row],[DATE DE DEPOT]]+Tableau6[[#This Row],[DELAI]])</f>
        <v>45746</v>
      </c>
      <c r="U86" s="25">
        <f ca="1">+IF(AND(W86=0,Tableau6[[#This Row],[DATE LIMITE]]&lt;TODAY()),TODAY()-Tableau6[[#This Row],[DATE LIMITE]],0)</f>
        <v>0</v>
      </c>
      <c r="V86" s="6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86" s="65">
        <f>SUMIF(Tableau3[FACTURE],Tableau6[[#This Row],[NUM DE FACTURE]],Tableau3[MONTANT TTC])</f>
        <v>1593000</v>
      </c>
      <c r="X86" s="61"/>
      <c r="Y86" s="159">
        <f>+Tableau6[[#This Row],[NET A PAYER]]-Tableau6[[#This Row],[MONTANT PAYE]]</f>
        <v>0</v>
      </c>
      <c r="Z86" s="60"/>
    </row>
    <row r="87" spans="1:26" ht="10.050000000000001" customHeight="1" x14ac:dyDescent="0.2">
      <c r="A87" t="s">
        <v>100</v>
      </c>
      <c r="B87" s="71">
        <v>45716</v>
      </c>
      <c r="C87" s="61">
        <v>45716</v>
      </c>
      <c r="D87" s="351">
        <v>308</v>
      </c>
      <c r="E87" s="11" t="s">
        <v>138</v>
      </c>
      <c r="F87" s="2" t="s">
        <v>111</v>
      </c>
      <c r="G87" s="11" t="s">
        <v>199</v>
      </c>
      <c r="H87" s="2" t="s">
        <v>116</v>
      </c>
      <c r="I87" s="179"/>
      <c r="J87" s="236">
        <v>540000</v>
      </c>
      <c r="K87" s="179">
        <f>+Tableau6[[#This Row],[MONTANT HT BIEN]]+Tableau6[[#This Row],[MONTANT HT SERVICE]]</f>
        <v>540000</v>
      </c>
      <c r="L87" s="153">
        <v>0</v>
      </c>
      <c r="M87" s="180">
        <f>+IFERROR(IF(Tableau6[[#This Row],[CODE TVA]]="TVAF",Tableau6[[#This Row],[MONTANT HT]]*0.18,0),0)</f>
        <v>97200</v>
      </c>
      <c r="N87" s="180">
        <f>Tableau6[[#This Row],[MONTANT HT]]+Tableau6[[#This Row],[TVA]]-Tableau6[[#This Row],[ACOMPTE SUR HT]]</f>
        <v>637200</v>
      </c>
      <c r="O87" s="180"/>
      <c r="P87" s="180">
        <f>+ROUND(Tableau6[[#This Row],[MONTANT TTC]]-Tableau6[[#This Row],[ACOMPTE SUR TTC]],0)</f>
        <v>637200</v>
      </c>
      <c r="Q87" s="11" t="s">
        <v>471</v>
      </c>
      <c r="R87" s="63">
        <f>IFERROR(INDEX(Tableau2[[ID BC UNIQUE]:[MONTANT HT VALIDE]],MATCH(Tableau6[[#This Row],[N° BC]],Tableau2[ID BC UNIQUE],0),6),0)</f>
        <v>540000</v>
      </c>
      <c r="S87" s="64">
        <f>IFERROR(INDEX(Tableau2[[DATE]:[DELAIS DE PAIEMENT FACTURES EN JOUR]],MATCH(Tableau6[[#This Row],[N° BC]],Tableau2[ID BC UNIQUE],0),5),0)</f>
        <v>30</v>
      </c>
      <c r="T87" s="7">
        <f>IF(ISBLANK(Tableau6[[#This Row],[DATE DE DEPOT]]),"",Tableau6[[#This Row],[DATE DE DEPOT]]+Tableau6[[#This Row],[DELAI]])</f>
        <v>45746</v>
      </c>
      <c r="U87" s="25">
        <f ca="1">+IF(AND(W87=0,Tableau6[[#This Row],[DATE LIMITE]]&lt;TODAY()),TODAY()-Tableau6[[#This Row],[DATE LIMITE]],0)</f>
        <v>0</v>
      </c>
      <c r="V87" s="6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87" s="65">
        <f>SUMIF(Tableau3[FACTURE],Tableau6[[#This Row],[NUM DE FACTURE]],Tableau3[MONTANT TTC])</f>
        <v>637200</v>
      </c>
      <c r="X87" s="61"/>
      <c r="Y87" s="159">
        <f>+Tableau6[[#This Row],[NET A PAYER]]-Tableau6[[#This Row],[MONTANT PAYE]]</f>
        <v>0</v>
      </c>
      <c r="Z87" s="60"/>
    </row>
    <row r="88" spans="1:26" ht="10.050000000000001" customHeight="1" x14ac:dyDescent="0.2">
      <c r="A88" t="s">
        <v>100</v>
      </c>
      <c r="B88" s="71">
        <v>45716</v>
      </c>
      <c r="C88" s="61">
        <v>45716</v>
      </c>
      <c r="D88" s="351">
        <v>309</v>
      </c>
      <c r="E88" s="6" t="s">
        <v>138</v>
      </c>
      <c r="F88" t="s">
        <v>111</v>
      </c>
      <c r="G88" s="6" t="s">
        <v>171</v>
      </c>
      <c r="H88" t="s">
        <v>116</v>
      </c>
      <c r="I88" s="179"/>
      <c r="J88" s="236">
        <v>180000</v>
      </c>
      <c r="K88" s="179">
        <f>+Tableau6[[#This Row],[MONTANT HT BIEN]]+Tableau6[[#This Row],[MONTANT HT SERVICE]]</f>
        <v>180000</v>
      </c>
      <c r="L88" s="153">
        <v>0</v>
      </c>
      <c r="M88" s="180">
        <f>+IFERROR(IF(Tableau6[[#This Row],[CODE TVA]]="TVAF",Tableau6[[#This Row],[MONTANT HT]]*0.18,0),0)</f>
        <v>32400</v>
      </c>
      <c r="N88" s="180">
        <f>Tableau6[[#This Row],[MONTANT HT]]+Tableau6[[#This Row],[TVA]]-Tableau6[[#This Row],[ACOMPTE SUR HT]]</f>
        <v>212400</v>
      </c>
      <c r="O88" s="180"/>
      <c r="P88" s="180">
        <f>+ROUND(Tableau6[[#This Row],[MONTANT TTC]]-Tableau6[[#This Row],[ACOMPTE SUR TTC]],0)</f>
        <v>212400</v>
      </c>
      <c r="Q88" s="11" t="s">
        <v>472</v>
      </c>
      <c r="R88" s="63">
        <f>IFERROR(INDEX(Tableau2[[ID BC UNIQUE]:[MONTANT HT VALIDE]],MATCH(Tableau6[[#This Row],[N° BC]],Tableau2[ID BC UNIQUE],0),6),0)</f>
        <v>180000</v>
      </c>
      <c r="S88" s="64">
        <f>IFERROR(INDEX(Tableau2[[DATE]:[DELAIS DE PAIEMENT FACTURES EN JOUR]],MATCH(Tableau6[[#This Row],[N° BC]],Tableau2[ID BC UNIQUE],0),5),0)</f>
        <v>30</v>
      </c>
      <c r="T88" s="7">
        <f>IF(ISBLANK(Tableau6[[#This Row],[DATE DE DEPOT]]),"",Tableau6[[#This Row],[DATE DE DEPOT]]+Tableau6[[#This Row],[DELAI]])</f>
        <v>45746</v>
      </c>
      <c r="U88" s="25">
        <f ca="1">+IF(AND(W88=0,Tableau6[[#This Row],[DATE LIMITE]]&lt;TODAY()),TODAY()-Tableau6[[#This Row],[DATE LIMITE]],0)</f>
        <v>0</v>
      </c>
      <c r="V88" s="6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88" s="65">
        <f>SUMIF(Tableau3[FACTURE],Tableau6[[#This Row],[NUM DE FACTURE]],Tableau3[MONTANT TTC])</f>
        <v>212400</v>
      </c>
      <c r="X88" s="61"/>
      <c r="Y88" s="159">
        <f>+Tableau6[[#This Row],[NET A PAYER]]-Tableau6[[#This Row],[MONTANT PAYE]]</f>
        <v>0</v>
      </c>
      <c r="Z88" s="60"/>
    </row>
    <row r="89" spans="1:26" ht="10.050000000000001" customHeight="1" x14ac:dyDescent="0.2">
      <c r="A89" t="s">
        <v>100</v>
      </c>
      <c r="B89" s="73">
        <v>45716</v>
      </c>
      <c r="C89" s="74">
        <v>45716</v>
      </c>
      <c r="D89" s="351">
        <v>310</v>
      </c>
      <c r="E89" s="6" t="s">
        <v>138</v>
      </c>
      <c r="F89" t="s">
        <v>111</v>
      </c>
      <c r="G89" s="6" t="s">
        <v>165</v>
      </c>
      <c r="H89" t="s">
        <v>116</v>
      </c>
      <c r="I89" s="181"/>
      <c r="J89" s="237">
        <v>3800000</v>
      </c>
      <c r="K89" s="181">
        <f>+Tableau6[[#This Row],[MONTANT HT BIEN]]+Tableau6[[#This Row],[MONTANT HT SERVICE]]</f>
        <v>3800000</v>
      </c>
      <c r="L89" s="153">
        <v>0</v>
      </c>
      <c r="M89" s="182">
        <f>+IFERROR(IF(Tableau6[[#This Row],[CODE TVA]]="TVAF",Tableau6[[#This Row],[MONTANT HT]]*0.18,0),0)</f>
        <v>684000</v>
      </c>
      <c r="N89" s="182">
        <f>Tableau6[[#This Row],[MONTANT HT]]+Tableau6[[#This Row],[TVA]]-Tableau6[[#This Row],[ACOMPTE SUR HT]]</f>
        <v>4484000</v>
      </c>
      <c r="O89" s="182">
        <v>177500</v>
      </c>
      <c r="P89" s="182">
        <f>+ROUND(Tableau6[[#This Row],[MONTANT TTC]]-Tableau6[[#This Row],[ACOMPTE SUR TTC]],0)</f>
        <v>4306500</v>
      </c>
      <c r="Q89" s="11" t="s">
        <v>473</v>
      </c>
      <c r="R89" s="75">
        <f>IFERROR(INDEX(Tableau2[[ID BC UNIQUE]:[MONTANT HT VALIDE]],MATCH(Tableau6[[#This Row],[N° BC]],Tableau2[ID BC UNIQUE],0),6),0)</f>
        <v>3800000</v>
      </c>
      <c r="S89" s="76">
        <f>IFERROR(INDEX(Tableau2[[DATE]:[DELAIS DE PAIEMENT FACTURES EN JOUR]],MATCH(Tableau6[[#This Row],[N° BC]],Tableau2[ID BC UNIQUE],0),5),0)</f>
        <v>30</v>
      </c>
      <c r="T89" s="7">
        <f>IF(ISBLANK(Tableau6[[#This Row],[DATE DE DEPOT]]),"",Tableau6[[#This Row],[DATE DE DEPOT]]+Tableau6[[#This Row],[DELAI]])</f>
        <v>45746</v>
      </c>
      <c r="U89" s="25">
        <f ca="1">+IF(AND(W89=0,Tableau6[[#This Row],[DATE LIMITE]]&lt;TODAY()),TODAY()-Tableau6[[#This Row],[DATE LIMITE]],0)</f>
        <v>0</v>
      </c>
      <c r="V89" s="77"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TROP PAYE</v>
      </c>
      <c r="W89" s="78">
        <f>SUMIF(Tableau3[FACTURE],Tableau6[[#This Row],[NUM DE FACTURE]],Tableau3[MONTANT TTC])</f>
        <v>4306500</v>
      </c>
      <c r="X89" s="74"/>
      <c r="Y89" s="160">
        <f>+Tableau6[[#This Row],[NET A PAYER]]-Tableau6[[#This Row],[MONTANT PAYE]]</f>
        <v>0</v>
      </c>
      <c r="Z89" s="72"/>
    </row>
    <row r="90" spans="1:26" ht="10.050000000000001" customHeight="1" x14ac:dyDescent="0.2">
      <c r="A90" t="s">
        <v>100</v>
      </c>
      <c r="B90" s="3">
        <v>45716</v>
      </c>
      <c r="C90" s="7">
        <v>45716</v>
      </c>
      <c r="D90" s="351">
        <v>312</v>
      </c>
      <c r="E90" s="6" t="s">
        <v>138</v>
      </c>
      <c r="F90" t="s">
        <v>111</v>
      </c>
      <c r="G90" s="6" t="s">
        <v>176</v>
      </c>
      <c r="H90" t="s">
        <v>116</v>
      </c>
      <c r="I90" s="155"/>
      <c r="J90" s="233">
        <v>3780000</v>
      </c>
      <c r="K90" s="155">
        <f>+Tableau6[[#This Row],[MONTANT HT BIEN]]+Tableau6[[#This Row],[MONTANT HT SERVICE]]</f>
        <v>3780000</v>
      </c>
      <c r="L90" s="153">
        <v>0</v>
      </c>
      <c r="M90" s="153">
        <f>+IFERROR(IF(Tableau6[[#This Row],[CODE TVA]]="TVAF",Tableau6[[#This Row],[MONTANT HT]]*0.18,0),0)</f>
        <v>680400</v>
      </c>
      <c r="N90" s="153">
        <f>Tableau6[[#This Row],[MONTANT HT]]+Tableau6[[#This Row],[TVA]]-Tableau6[[#This Row],[ACOMPTE SUR HT]]</f>
        <v>4460400</v>
      </c>
      <c r="O90" s="153"/>
      <c r="P90" s="153">
        <f>+ROUND(Tableau6[[#This Row],[MONTANT TTC]]-Tableau6[[#This Row],[ACOMPTE SUR TTC]],0)</f>
        <v>4460400</v>
      </c>
      <c r="Q90" s="11" t="s">
        <v>475</v>
      </c>
      <c r="R90" s="5">
        <f>IFERROR(INDEX(Tableau2[[ID BC UNIQUE]:[MONTANT HT VALIDE]],MATCH(Tableau6[[#This Row],[N° BC]],Tableau2[ID BC UNIQUE],0),6),0)</f>
        <v>3780000</v>
      </c>
      <c r="S90" s="25">
        <f>IFERROR(INDEX(Tableau2[[DATE]:[DELAIS DE PAIEMENT FACTURES EN JOUR]],MATCH(Tableau6[[#This Row],[N° BC]],Tableau2[ID BC UNIQUE],0),5),0)</f>
        <v>30</v>
      </c>
      <c r="T90" s="7">
        <f>IF(ISBLANK(Tableau6[[#This Row],[DATE DE DEPOT]]),"",Tableau6[[#This Row],[DATE DE DEPOT]]+Tableau6[[#This Row],[DELAI]])</f>
        <v>45746</v>
      </c>
      <c r="U90" s="25">
        <f ca="1">+IF(AND(W90=0,Tableau6[[#This Row],[DATE LIMITE]]&lt;TODAY()),TODAY()-Tableau6[[#This Row],[DATE LIMITE]],0)</f>
        <v>0</v>
      </c>
      <c r="V90"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90" s="23">
        <f>SUMIF(Tableau3[FACTURE],Tableau6[[#This Row],[NUM DE FACTURE]],Tableau3[MONTANT TTC])</f>
        <v>4460400</v>
      </c>
      <c r="X90" s="7"/>
      <c r="Y90" s="156">
        <f>+Tableau6[[#This Row],[NET A PAYER]]-Tableau6[[#This Row],[MONTANT PAYE]]</f>
        <v>0</v>
      </c>
      <c r="Z90"/>
    </row>
    <row r="91" spans="1:26" ht="10.050000000000001" customHeight="1" x14ac:dyDescent="0.2">
      <c r="A91" t="s">
        <v>100</v>
      </c>
      <c r="B91" s="3">
        <v>45716</v>
      </c>
      <c r="C91" s="7">
        <v>45716</v>
      </c>
      <c r="D91" s="351">
        <v>313</v>
      </c>
      <c r="E91" s="6" t="s">
        <v>138</v>
      </c>
      <c r="F91" t="s">
        <v>111</v>
      </c>
      <c r="G91" s="6" t="s">
        <v>176</v>
      </c>
      <c r="H91" t="s">
        <v>116</v>
      </c>
      <c r="I91" s="155"/>
      <c r="J91" s="233">
        <v>3500000</v>
      </c>
      <c r="K91" s="155">
        <f>+Tableau6[[#This Row],[MONTANT HT BIEN]]+Tableau6[[#This Row],[MONTANT HT SERVICE]]</f>
        <v>3500000</v>
      </c>
      <c r="L91" s="153">
        <v>0</v>
      </c>
      <c r="M91" s="153">
        <f>+IFERROR(IF(Tableau6[[#This Row],[CODE TVA]]="TVAF",Tableau6[[#This Row],[MONTANT HT]]*0.18,0),0)</f>
        <v>630000</v>
      </c>
      <c r="N91" s="153">
        <f>Tableau6[[#This Row],[MONTANT HT]]+Tableau6[[#This Row],[TVA]]-Tableau6[[#This Row],[ACOMPTE SUR HT]]</f>
        <v>4130000</v>
      </c>
      <c r="O91" s="153"/>
      <c r="P91" s="153">
        <f>+ROUND(Tableau6[[#This Row],[MONTANT TTC]]-Tableau6[[#This Row],[ACOMPTE SUR TTC]],0)</f>
        <v>4130000</v>
      </c>
      <c r="Q91" s="11" t="s">
        <v>474</v>
      </c>
      <c r="R91" s="5">
        <f>IFERROR(INDEX(Tableau2[[ID BC UNIQUE]:[MONTANT HT VALIDE]],MATCH(Tableau6[[#This Row],[N° BC]],Tableau2[ID BC UNIQUE],0),6),0)</f>
        <v>3500000</v>
      </c>
      <c r="S91" s="25">
        <f>IFERROR(INDEX(Tableau2[[DATE]:[DELAIS DE PAIEMENT FACTURES EN JOUR]],MATCH(Tableau6[[#This Row],[N° BC]],Tableau2[ID BC UNIQUE],0),5),0)</f>
        <v>30</v>
      </c>
      <c r="T91" s="7">
        <f>IF(ISBLANK(Tableau6[[#This Row],[DATE DE DEPOT]]),"",Tableau6[[#This Row],[DATE DE DEPOT]]+Tableau6[[#This Row],[DELAI]])</f>
        <v>45746</v>
      </c>
      <c r="U91" s="25">
        <f ca="1">+IF(AND(W91=0,Tableau6[[#This Row],[DATE LIMITE]]&lt;TODAY()),TODAY()-Tableau6[[#This Row],[DATE LIMITE]],0)</f>
        <v>0</v>
      </c>
      <c r="V91"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91" s="23">
        <f>SUMIF(Tableau3[FACTURE],Tableau6[[#This Row],[NUM DE FACTURE]],Tableau3[MONTANT TTC])</f>
        <v>4130000</v>
      </c>
      <c r="X91" s="7"/>
      <c r="Y91" s="156">
        <f>+Tableau6[[#This Row],[NET A PAYER]]-Tableau6[[#This Row],[MONTANT PAYE]]</f>
        <v>0</v>
      </c>
      <c r="Z91"/>
    </row>
    <row r="92" spans="1:26" ht="10.050000000000001" customHeight="1" x14ac:dyDescent="0.2">
      <c r="A92" t="s">
        <v>100</v>
      </c>
      <c r="B92" s="3">
        <v>45720</v>
      </c>
      <c r="C92" s="7">
        <v>45720</v>
      </c>
      <c r="D92" s="351">
        <v>314</v>
      </c>
      <c r="E92" s="6" t="s">
        <v>138</v>
      </c>
      <c r="F92" t="s">
        <v>111</v>
      </c>
      <c r="G92" s="6" t="s">
        <v>174</v>
      </c>
      <c r="H92" t="s">
        <v>116</v>
      </c>
      <c r="I92" s="155"/>
      <c r="J92" s="233">
        <v>5000000</v>
      </c>
      <c r="K92" s="155">
        <f>+Tableau6[[#This Row],[MONTANT HT BIEN]]+Tableau6[[#This Row],[MONTANT HT SERVICE]]</f>
        <v>5000000</v>
      </c>
      <c r="L92" s="153">
        <v>0</v>
      </c>
      <c r="M92" s="153">
        <f>+IFERROR(IF(Tableau6[[#This Row],[CODE TVA]]="TVAF",Tableau6[[#This Row],[MONTANT HT]]*0.18,0),0)</f>
        <v>900000</v>
      </c>
      <c r="N92" s="153">
        <f>Tableau6[[#This Row],[MONTANT HT]]+Tableau6[[#This Row],[TVA]]-Tableau6[[#This Row],[ACOMPTE SUR HT]]</f>
        <v>5900000</v>
      </c>
      <c r="O92" s="153"/>
      <c r="P92" s="153">
        <f>+ROUND(Tableau6[[#This Row],[MONTANT TTC]]-Tableau6[[#This Row],[ACOMPTE SUR TTC]],0)</f>
        <v>5900000</v>
      </c>
      <c r="Q92" s="11" t="s">
        <v>448</v>
      </c>
      <c r="R92" s="5">
        <f>IFERROR(INDEX(Tableau2[[ID BC UNIQUE]:[MONTANT HT VALIDE]],MATCH(Tableau6[[#This Row],[N° BC]],Tableau2[ID BC UNIQUE],0),6),0)</f>
        <v>5000000</v>
      </c>
      <c r="S92" s="25">
        <f>IFERROR(INDEX(Tableau2[[DATE]:[DELAIS DE PAIEMENT FACTURES EN JOUR]],MATCH(Tableau6[[#This Row],[N° BC]],Tableau2[ID BC UNIQUE],0),5),0)</f>
        <v>30</v>
      </c>
      <c r="T92" s="7">
        <f>IF(ISBLANK(Tableau6[[#This Row],[DATE DE DEPOT]]),"",Tableau6[[#This Row],[DATE DE DEPOT]]+Tableau6[[#This Row],[DELAI]])</f>
        <v>45750</v>
      </c>
      <c r="U92" s="25">
        <f ca="1">+IF(AND(W92=0,Tableau6[[#This Row],[DATE LIMITE]]&lt;TODAY()),TODAY()-Tableau6[[#This Row],[DATE LIMITE]],0)</f>
        <v>0</v>
      </c>
      <c r="V92"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92" s="23">
        <f>SUMIF(Tableau3[FACTURE],Tableau6[[#This Row],[NUM DE FACTURE]],Tableau3[MONTANT TTC])</f>
        <v>5900000</v>
      </c>
      <c r="X92" s="7"/>
      <c r="Y92" s="156">
        <f>+Tableau6[[#This Row],[NET A PAYER]]-Tableau6[[#This Row],[MONTANT PAYE]]</f>
        <v>0</v>
      </c>
      <c r="Z92"/>
    </row>
    <row r="93" spans="1:26" ht="10.050000000000001" customHeight="1" x14ac:dyDescent="0.2">
      <c r="A93" t="s">
        <v>100</v>
      </c>
      <c r="B93" s="3">
        <v>45720</v>
      </c>
      <c r="C93" s="7">
        <v>45720</v>
      </c>
      <c r="D93" s="351">
        <v>315</v>
      </c>
      <c r="E93" s="6" t="s">
        <v>138</v>
      </c>
      <c r="F93" t="s">
        <v>111</v>
      </c>
      <c r="G93" s="6" t="s">
        <v>170</v>
      </c>
      <c r="H93" t="s">
        <v>116</v>
      </c>
      <c r="I93" s="155"/>
      <c r="J93" s="233">
        <v>4680000</v>
      </c>
      <c r="K93" s="155">
        <f>+Tableau6[[#This Row],[MONTANT HT BIEN]]+Tableau6[[#This Row],[MONTANT HT SERVICE]]</f>
        <v>4680000</v>
      </c>
      <c r="L93" s="153">
        <v>0</v>
      </c>
      <c r="M93" s="153">
        <f>+IFERROR(IF(Tableau6[[#This Row],[CODE TVA]]="TVAF",Tableau6[[#This Row],[MONTANT HT]]*0.18,0),0)</f>
        <v>842400</v>
      </c>
      <c r="N93" s="153">
        <f>Tableau6[[#This Row],[MONTANT HT]]+Tableau6[[#This Row],[TVA]]-Tableau6[[#This Row],[ACOMPTE SUR HT]]</f>
        <v>5522400</v>
      </c>
      <c r="O93" s="153"/>
      <c r="P93" s="153">
        <f>+ROUND(Tableau6[[#This Row],[MONTANT TTC]]-Tableau6[[#This Row],[ACOMPTE SUR TTC]],0)</f>
        <v>5522400</v>
      </c>
      <c r="Q93" s="11" t="s">
        <v>447</v>
      </c>
      <c r="R93" s="5">
        <f>IFERROR(INDEX(Tableau2[[ID BC UNIQUE]:[MONTANT HT VALIDE]],MATCH(Tableau6[[#This Row],[N° BC]],Tableau2[ID BC UNIQUE],0),6),0)</f>
        <v>4680000</v>
      </c>
      <c r="S93" s="25">
        <f>IFERROR(INDEX(Tableau2[[DATE]:[DELAIS DE PAIEMENT FACTURES EN JOUR]],MATCH(Tableau6[[#This Row],[N° BC]],Tableau2[ID BC UNIQUE],0),5),0)</f>
        <v>30</v>
      </c>
      <c r="T93" s="7">
        <f>IF(ISBLANK(Tableau6[[#This Row],[DATE DE DEPOT]]),"",Tableau6[[#This Row],[DATE DE DEPOT]]+Tableau6[[#This Row],[DELAI]])</f>
        <v>45750</v>
      </c>
      <c r="U93" s="25">
        <f ca="1">+IF(AND(W93=0,Tableau6[[#This Row],[DATE LIMITE]]&lt;TODAY()),TODAY()-Tableau6[[#This Row],[DATE LIMITE]],0)</f>
        <v>0</v>
      </c>
      <c r="V93"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93" s="23">
        <f>SUMIF(Tableau3[FACTURE],Tableau6[[#This Row],[NUM DE FACTURE]],Tableau3[MONTANT TTC])</f>
        <v>5522400</v>
      </c>
      <c r="X93" s="7"/>
      <c r="Y93" s="156">
        <f>+Tableau6[[#This Row],[NET A PAYER]]-Tableau6[[#This Row],[MONTANT PAYE]]</f>
        <v>0</v>
      </c>
      <c r="Z93"/>
    </row>
    <row r="94" spans="1:26" ht="10.050000000000001" customHeight="1" x14ac:dyDescent="0.2">
      <c r="A94" t="s">
        <v>100</v>
      </c>
      <c r="B94" s="3">
        <v>45720</v>
      </c>
      <c r="C94" s="7">
        <v>45720</v>
      </c>
      <c r="D94" s="351">
        <v>316</v>
      </c>
      <c r="E94" s="6" t="s">
        <v>138</v>
      </c>
      <c r="F94" t="s">
        <v>111</v>
      </c>
      <c r="G94" s="6" t="s">
        <v>176</v>
      </c>
      <c r="H94" t="s">
        <v>116</v>
      </c>
      <c r="I94" s="155"/>
      <c r="J94" s="233">
        <v>4800000</v>
      </c>
      <c r="K94" s="155">
        <f>+Tableau6[[#This Row],[MONTANT HT BIEN]]+Tableau6[[#This Row],[MONTANT HT SERVICE]]</f>
        <v>4800000</v>
      </c>
      <c r="L94" s="153">
        <v>0</v>
      </c>
      <c r="M94" s="153">
        <f>+IFERROR(IF(Tableau6[[#This Row],[CODE TVA]]="TVAF",Tableau6[[#This Row],[MONTANT HT]]*0.18,0),0)</f>
        <v>864000</v>
      </c>
      <c r="N94" s="153">
        <f>Tableau6[[#This Row],[MONTANT HT]]+Tableau6[[#This Row],[TVA]]-Tableau6[[#This Row],[ACOMPTE SUR HT]]</f>
        <v>5664000</v>
      </c>
      <c r="O94" s="153"/>
      <c r="P94" s="153">
        <f>+ROUND(Tableau6[[#This Row],[MONTANT TTC]]-Tableau6[[#This Row],[ACOMPTE SUR TTC]],0)</f>
        <v>5664000</v>
      </c>
      <c r="Q94" s="11" t="s">
        <v>446</v>
      </c>
      <c r="R94" s="5">
        <f>IFERROR(INDEX(Tableau2[[ID BC UNIQUE]:[MONTANT HT VALIDE]],MATCH(Tableau6[[#This Row],[N° BC]],Tableau2[ID BC UNIQUE],0),6),0)</f>
        <v>4800000</v>
      </c>
      <c r="S94" s="25">
        <f>IFERROR(INDEX(Tableau2[[DATE]:[DELAIS DE PAIEMENT FACTURES EN JOUR]],MATCH(Tableau6[[#This Row],[N° BC]],Tableau2[ID BC UNIQUE],0),5),0)</f>
        <v>30</v>
      </c>
      <c r="T94" s="7">
        <f>IF(ISBLANK(Tableau6[[#This Row],[DATE DE DEPOT]]),"",Tableau6[[#This Row],[DATE DE DEPOT]]+Tableau6[[#This Row],[DELAI]])</f>
        <v>45750</v>
      </c>
      <c r="U94" s="25">
        <f ca="1">+IF(AND(W94=0,Tableau6[[#This Row],[DATE LIMITE]]&lt;TODAY()),TODAY()-Tableau6[[#This Row],[DATE LIMITE]],0)</f>
        <v>0</v>
      </c>
      <c r="V94"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94" s="23">
        <f>SUMIF(Tableau3[FACTURE],Tableau6[[#This Row],[NUM DE FACTURE]],Tableau3[MONTANT TTC])</f>
        <v>5664000</v>
      </c>
      <c r="X94" s="7"/>
      <c r="Y94" s="156">
        <f>+Tableau6[[#This Row],[NET A PAYER]]-Tableau6[[#This Row],[MONTANT PAYE]]</f>
        <v>0</v>
      </c>
      <c r="Z94"/>
    </row>
    <row r="95" spans="1:26" ht="10.050000000000001" customHeight="1" x14ac:dyDescent="0.2">
      <c r="A95" t="s">
        <v>100</v>
      </c>
      <c r="B95" s="3">
        <v>45720</v>
      </c>
      <c r="C95" s="7">
        <v>45720</v>
      </c>
      <c r="D95" s="351">
        <v>317</v>
      </c>
      <c r="E95" s="6" t="s">
        <v>138</v>
      </c>
      <c r="F95" t="s">
        <v>111</v>
      </c>
      <c r="G95" s="6" t="s">
        <v>212</v>
      </c>
      <c r="H95" t="s">
        <v>116</v>
      </c>
      <c r="I95" s="155"/>
      <c r="J95" s="233">
        <v>6000000</v>
      </c>
      <c r="K95" s="155">
        <f>+Tableau6[[#This Row],[MONTANT HT BIEN]]+Tableau6[[#This Row],[MONTANT HT SERVICE]]</f>
        <v>6000000</v>
      </c>
      <c r="L95" s="153">
        <v>0</v>
      </c>
      <c r="M95" s="153">
        <f>+IFERROR(IF(Tableau6[[#This Row],[CODE TVA]]="TVAF",Tableau6[[#This Row],[MONTANT HT]]*0.18,0),0)</f>
        <v>1080000</v>
      </c>
      <c r="N95" s="153">
        <f>Tableau6[[#This Row],[MONTANT HT]]+Tableau6[[#This Row],[TVA]]-Tableau6[[#This Row],[ACOMPTE SUR HT]]</f>
        <v>7080000</v>
      </c>
      <c r="O95" s="153"/>
      <c r="P95" s="153">
        <f>+ROUND(Tableau6[[#This Row],[MONTANT TTC]]-Tableau6[[#This Row],[ACOMPTE SUR TTC]],0)</f>
        <v>7080000</v>
      </c>
      <c r="Q95" s="11" t="s">
        <v>445</v>
      </c>
      <c r="R95" s="5">
        <f>IFERROR(INDEX(Tableau2[[ID BC UNIQUE]:[MONTANT HT VALIDE]],MATCH(Tableau6[[#This Row],[N° BC]],Tableau2[ID BC UNIQUE],0),6),0)</f>
        <v>6000000</v>
      </c>
      <c r="S95" s="25">
        <f>IFERROR(INDEX(Tableau2[[DATE]:[DELAIS DE PAIEMENT FACTURES EN JOUR]],MATCH(Tableau6[[#This Row],[N° BC]],Tableau2[ID BC UNIQUE],0),5),0)</f>
        <v>30</v>
      </c>
      <c r="T95" s="7">
        <f>IF(ISBLANK(Tableau6[[#This Row],[DATE DE DEPOT]]),"",Tableau6[[#This Row],[DATE DE DEPOT]]+Tableau6[[#This Row],[DELAI]])</f>
        <v>45750</v>
      </c>
      <c r="U95" s="25">
        <f ca="1">+IF(AND(W95=0,Tableau6[[#This Row],[DATE LIMITE]]&lt;TODAY()),TODAY()-Tableau6[[#This Row],[DATE LIMITE]],0)</f>
        <v>0</v>
      </c>
      <c r="V95"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95" s="23">
        <f>SUMIF(Tableau3[FACTURE],Tableau6[[#This Row],[NUM DE FACTURE]],Tableau3[MONTANT TTC])</f>
        <v>7080000</v>
      </c>
      <c r="X95" s="7"/>
      <c r="Y95" s="156">
        <f>+Tableau6[[#This Row],[NET A PAYER]]-Tableau6[[#This Row],[MONTANT PAYE]]</f>
        <v>0</v>
      </c>
      <c r="Z95"/>
    </row>
    <row r="96" spans="1:26" ht="10.050000000000001" customHeight="1" x14ac:dyDescent="0.2">
      <c r="A96" t="s">
        <v>100</v>
      </c>
      <c r="B96" s="3">
        <v>45720</v>
      </c>
      <c r="C96" s="7">
        <v>45720</v>
      </c>
      <c r="D96" s="351">
        <v>318</v>
      </c>
      <c r="E96" s="6" t="s">
        <v>138</v>
      </c>
      <c r="F96" t="s">
        <v>111</v>
      </c>
      <c r="G96" s="6" t="s">
        <v>212</v>
      </c>
      <c r="H96" t="s">
        <v>116</v>
      </c>
      <c r="I96" s="155"/>
      <c r="J96" s="233">
        <v>4320000</v>
      </c>
      <c r="K96" s="155">
        <f>+Tableau6[[#This Row],[MONTANT HT BIEN]]+Tableau6[[#This Row],[MONTANT HT SERVICE]]</f>
        <v>4320000</v>
      </c>
      <c r="L96" s="153">
        <v>0</v>
      </c>
      <c r="M96" s="153">
        <f>+IFERROR(IF(Tableau6[[#This Row],[CODE TVA]]="TVAF",Tableau6[[#This Row],[MONTANT HT]]*0.18,0),0)</f>
        <v>777600</v>
      </c>
      <c r="N96" s="153">
        <f>Tableau6[[#This Row],[MONTANT HT]]+Tableau6[[#This Row],[TVA]]-Tableau6[[#This Row],[ACOMPTE SUR HT]]</f>
        <v>5097600</v>
      </c>
      <c r="O96" s="153"/>
      <c r="P96" s="153">
        <f>+ROUND(Tableau6[[#This Row],[MONTANT TTC]]-Tableau6[[#This Row],[ACOMPTE SUR TTC]],0)</f>
        <v>5097600</v>
      </c>
      <c r="Q96" s="11" t="s">
        <v>444</v>
      </c>
      <c r="R96" s="5">
        <f>IFERROR(INDEX(Tableau2[[ID BC UNIQUE]:[MONTANT HT VALIDE]],MATCH(Tableau6[[#This Row],[N° BC]],Tableau2[ID BC UNIQUE],0),6),0)</f>
        <v>4320000</v>
      </c>
      <c r="S96" s="25">
        <f>IFERROR(INDEX(Tableau2[[DATE]:[DELAIS DE PAIEMENT FACTURES EN JOUR]],MATCH(Tableau6[[#This Row],[N° BC]],Tableau2[ID BC UNIQUE],0),5),0)</f>
        <v>30</v>
      </c>
      <c r="T96" s="7">
        <f>IF(ISBLANK(Tableau6[[#This Row],[DATE DE DEPOT]]),"",Tableau6[[#This Row],[DATE DE DEPOT]]+Tableau6[[#This Row],[DELAI]])</f>
        <v>45750</v>
      </c>
      <c r="U96" s="25">
        <f ca="1">+IF(AND(W96=0,Tableau6[[#This Row],[DATE LIMITE]]&lt;TODAY()),TODAY()-Tableau6[[#This Row],[DATE LIMITE]],0)</f>
        <v>0</v>
      </c>
      <c r="V96"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96" s="23">
        <f>SUMIF(Tableau3[FACTURE],Tableau6[[#This Row],[NUM DE FACTURE]],Tableau3[MONTANT TTC])</f>
        <v>5097600</v>
      </c>
      <c r="X96" s="7"/>
      <c r="Y96" s="156">
        <f>+Tableau6[[#This Row],[NET A PAYER]]-Tableau6[[#This Row],[MONTANT PAYE]]</f>
        <v>0</v>
      </c>
      <c r="Z96"/>
    </row>
    <row r="97" spans="1:26" x14ac:dyDescent="0.2">
      <c r="A97" t="s">
        <v>100</v>
      </c>
      <c r="B97" s="3">
        <v>45720</v>
      </c>
      <c r="C97" s="7">
        <v>45720</v>
      </c>
      <c r="D97" s="351">
        <v>319</v>
      </c>
      <c r="E97" s="6" t="s">
        <v>138</v>
      </c>
      <c r="F97" t="s">
        <v>111</v>
      </c>
      <c r="G97" s="6" t="s">
        <v>174</v>
      </c>
      <c r="H97" t="s">
        <v>116</v>
      </c>
      <c r="I97" s="155"/>
      <c r="J97" s="233">
        <v>5000000</v>
      </c>
      <c r="K97" s="155">
        <f>+Tableau6[[#This Row],[MONTANT HT BIEN]]+Tableau6[[#This Row],[MONTANT HT SERVICE]]</f>
        <v>5000000</v>
      </c>
      <c r="L97" s="153">
        <v>0</v>
      </c>
      <c r="M97" s="153">
        <f>+IFERROR(IF(Tableau6[[#This Row],[CODE TVA]]="TVAF",Tableau6[[#This Row],[MONTANT HT]]*0.18,0),0)</f>
        <v>900000</v>
      </c>
      <c r="N97" s="153">
        <f>Tableau6[[#This Row],[MONTANT HT]]+Tableau6[[#This Row],[TVA]]-Tableau6[[#This Row],[ACOMPTE SUR HT]]</f>
        <v>5900000</v>
      </c>
      <c r="O97" s="153"/>
      <c r="P97" s="153">
        <f>+ROUND(Tableau6[[#This Row],[MONTANT TTC]]-Tableau6[[#This Row],[ACOMPTE SUR TTC]],0)</f>
        <v>5900000</v>
      </c>
      <c r="Q97" s="11" t="s">
        <v>443</v>
      </c>
      <c r="R97" s="5">
        <f>IFERROR(INDEX(Tableau2[[ID BC UNIQUE]:[MONTANT HT VALIDE]],MATCH(Tableau6[[#This Row],[N° BC]],Tableau2[ID BC UNIQUE],0),6),0)</f>
        <v>5000000</v>
      </c>
      <c r="S97" s="25">
        <f>IFERROR(INDEX(Tableau2[[DATE]:[DELAIS DE PAIEMENT FACTURES EN JOUR]],MATCH(Tableau6[[#This Row],[N° BC]],Tableau2[ID BC UNIQUE],0),5),0)</f>
        <v>30</v>
      </c>
      <c r="T97" s="7">
        <f>IF(ISBLANK(Tableau6[[#This Row],[DATE DE DEPOT]]),"",Tableau6[[#This Row],[DATE DE DEPOT]]+Tableau6[[#This Row],[DELAI]])</f>
        <v>45750</v>
      </c>
      <c r="U97" s="25">
        <f ca="1">+IF(AND(W97=0,Tableau6[[#This Row],[DATE LIMITE]]&lt;TODAY()),TODAY()-Tableau6[[#This Row],[DATE LIMITE]],0)</f>
        <v>0</v>
      </c>
      <c r="V97"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97" s="23">
        <f>SUMIF(Tableau3[FACTURE],Tableau6[[#This Row],[NUM DE FACTURE]],Tableau3[MONTANT TTC])</f>
        <v>5900000</v>
      </c>
      <c r="X97" s="7"/>
      <c r="Y97" s="156">
        <f>+Tableau6[[#This Row],[NET A PAYER]]-Tableau6[[#This Row],[MONTANT PAYE]]</f>
        <v>0</v>
      </c>
      <c r="Z97"/>
    </row>
    <row r="98" spans="1:26" x14ac:dyDescent="0.2">
      <c r="A98" t="s">
        <v>100</v>
      </c>
      <c r="B98" s="3">
        <v>45720</v>
      </c>
      <c r="C98" s="7">
        <v>45720</v>
      </c>
      <c r="D98" s="351">
        <v>320</v>
      </c>
      <c r="E98" s="6" t="s">
        <v>138</v>
      </c>
      <c r="F98" t="s">
        <v>111</v>
      </c>
      <c r="G98" s="6" t="s">
        <v>212</v>
      </c>
      <c r="H98" t="s">
        <v>116</v>
      </c>
      <c r="I98" s="155"/>
      <c r="J98" s="233">
        <v>6392000</v>
      </c>
      <c r="K98" s="155">
        <f>+Tableau6[[#This Row],[MONTANT HT BIEN]]+Tableau6[[#This Row],[MONTANT HT SERVICE]]</f>
        <v>6392000</v>
      </c>
      <c r="L98" s="153">
        <v>0</v>
      </c>
      <c r="M98" s="153">
        <f>+IFERROR(IF(Tableau6[[#This Row],[CODE TVA]]="TVAF",Tableau6[[#This Row],[MONTANT HT]]*0.18,0),0)</f>
        <v>1150560</v>
      </c>
      <c r="N98" s="153">
        <f>Tableau6[[#This Row],[MONTANT HT]]+Tableau6[[#This Row],[TVA]]-Tableau6[[#This Row],[ACOMPTE SUR HT]]</f>
        <v>7542560</v>
      </c>
      <c r="O98" s="153"/>
      <c r="P98" s="153">
        <f>+ROUND(Tableau6[[#This Row],[MONTANT TTC]]-Tableau6[[#This Row],[ACOMPTE SUR TTC]],0)</f>
        <v>7542560</v>
      </c>
      <c r="Q98" s="11" t="s">
        <v>442</v>
      </c>
      <c r="R98" s="5">
        <f>IFERROR(INDEX(Tableau2[[ID BC UNIQUE]:[MONTANT HT VALIDE]],MATCH(Tableau6[[#This Row],[N° BC]],Tableau2[ID BC UNIQUE],0),6),0)</f>
        <v>6392000</v>
      </c>
      <c r="S98" s="25">
        <f>IFERROR(INDEX(Tableau2[[DATE]:[DELAIS DE PAIEMENT FACTURES EN JOUR]],MATCH(Tableau6[[#This Row],[N° BC]],Tableau2[ID BC UNIQUE],0),5),0)</f>
        <v>30</v>
      </c>
      <c r="T98" s="7">
        <f>IF(ISBLANK(Tableau6[[#This Row],[DATE DE DEPOT]]),"",Tableau6[[#This Row],[DATE DE DEPOT]]+Tableau6[[#This Row],[DELAI]])</f>
        <v>45750</v>
      </c>
      <c r="U98" s="25">
        <f ca="1">+IF(AND(W98=0,Tableau6[[#This Row],[DATE LIMITE]]&lt;TODAY()),TODAY()-Tableau6[[#This Row],[DATE LIMITE]],0)</f>
        <v>0</v>
      </c>
      <c r="V98"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98" s="23">
        <f>SUMIF(Tableau3[FACTURE],Tableau6[[#This Row],[NUM DE FACTURE]],Tableau3[MONTANT TTC])</f>
        <v>7542560</v>
      </c>
      <c r="X98" s="7"/>
      <c r="Y98" s="156">
        <f>+Tableau6[[#This Row],[NET A PAYER]]-Tableau6[[#This Row],[MONTANT PAYE]]</f>
        <v>0</v>
      </c>
      <c r="Z98"/>
    </row>
    <row r="99" spans="1:26" x14ac:dyDescent="0.2">
      <c r="A99" t="s">
        <v>100</v>
      </c>
      <c r="B99" s="83">
        <v>45720</v>
      </c>
      <c r="C99" s="84">
        <v>45720</v>
      </c>
      <c r="D99" s="351">
        <v>321</v>
      </c>
      <c r="E99" s="6" t="s">
        <v>138</v>
      </c>
      <c r="F99" t="s">
        <v>111</v>
      </c>
      <c r="G99" s="6" t="s">
        <v>199</v>
      </c>
      <c r="H99" t="s">
        <v>116</v>
      </c>
      <c r="I99" s="183"/>
      <c r="J99" s="238">
        <v>4290000</v>
      </c>
      <c r="K99" s="183">
        <f>+Tableau6[[#This Row],[MONTANT HT BIEN]]+Tableau6[[#This Row],[MONTANT HT SERVICE]]</f>
        <v>4290000</v>
      </c>
      <c r="L99" s="153">
        <v>0</v>
      </c>
      <c r="M99" s="184">
        <f>+IFERROR(IF(Tableau6[[#This Row],[CODE TVA]]="TVAF",Tableau6[[#This Row],[MONTANT HT]]*0.18,0),0)</f>
        <v>772200</v>
      </c>
      <c r="N99" s="184">
        <f>Tableau6[[#This Row],[MONTANT HT]]+Tableau6[[#This Row],[TVA]]-Tableau6[[#This Row],[ACOMPTE SUR HT]]</f>
        <v>5062200</v>
      </c>
      <c r="O99" s="184"/>
      <c r="P99" s="184">
        <f>+ROUND(Tableau6[[#This Row],[MONTANT TTC]]-Tableau6[[#This Row],[ACOMPTE SUR TTC]],0)</f>
        <v>5062200</v>
      </c>
      <c r="Q99" s="11" t="s">
        <v>441</v>
      </c>
      <c r="R99" s="85">
        <f>IFERROR(INDEX(Tableau2[[ID BC UNIQUE]:[MONTANT HT VALIDE]],MATCH(Tableau6[[#This Row],[N° BC]],Tableau2[ID BC UNIQUE],0),6),0)</f>
        <v>4290000</v>
      </c>
      <c r="S99" s="87">
        <f>IFERROR(INDEX(Tableau2[[DATE]:[DELAIS DE PAIEMENT FACTURES EN JOUR]],MATCH(Tableau6[[#This Row],[N° BC]],Tableau2[ID BC UNIQUE],0),5),0)</f>
        <v>30</v>
      </c>
      <c r="T99" s="84">
        <f>IF(ISBLANK(Tableau6[[#This Row],[DATE DE DEPOT]]),"",Tableau6[[#This Row],[DATE DE DEPOT]]+Tableau6[[#This Row],[DELAI]])</f>
        <v>45750</v>
      </c>
      <c r="U99" s="87">
        <f ca="1">+IF(AND(W99=0,Tableau6[[#This Row],[DATE LIMITE]]&lt;TODAY()),TODAY()-Tableau6[[#This Row],[DATE LIMITE]],0)</f>
        <v>0</v>
      </c>
      <c r="V99"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99" s="89">
        <f>SUMIF(Tableau3[FACTURE],Tableau6[[#This Row],[NUM DE FACTURE]],Tableau3[MONTANT TTC])</f>
        <v>5062200</v>
      </c>
      <c r="X99" s="84"/>
      <c r="Y99" s="161">
        <f>+Tableau6[[#This Row],[NET A PAYER]]-Tableau6[[#This Row],[MONTANT PAYE]]</f>
        <v>0</v>
      </c>
      <c r="Z99" s="82"/>
    </row>
    <row r="100" spans="1:26" x14ac:dyDescent="0.2">
      <c r="A100" t="s">
        <v>100</v>
      </c>
      <c r="B100" s="83">
        <v>45722</v>
      </c>
      <c r="C100" s="84">
        <v>45722</v>
      </c>
      <c r="D100" s="351">
        <v>322</v>
      </c>
      <c r="E100" s="6" t="s">
        <v>102</v>
      </c>
      <c r="F100" s="82" t="s">
        <v>111</v>
      </c>
      <c r="G100" s="6" t="s">
        <v>426</v>
      </c>
      <c r="H100" t="s">
        <v>116</v>
      </c>
      <c r="I100" s="183"/>
      <c r="J100" s="238">
        <v>640000</v>
      </c>
      <c r="K100" s="183">
        <f>+Tableau6[[#This Row],[MONTANT HT BIEN]]+Tableau6[[#This Row],[MONTANT HT SERVICE]]</f>
        <v>640000</v>
      </c>
      <c r="L100" s="153">
        <v>0</v>
      </c>
      <c r="M100" s="184">
        <f>+IFERROR(IF(Tableau6[[#This Row],[CODE TVA]]="TVAF",Tableau6[[#This Row],[MONTANT HT]]*0.18,0),0)</f>
        <v>115200</v>
      </c>
      <c r="N100" s="184">
        <f>Tableau6[[#This Row],[MONTANT HT]]+Tableau6[[#This Row],[TVA]]-Tableau6[[#This Row],[ACOMPTE SUR HT]]</f>
        <v>755200</v>
      </c>
      <c r="O100" s="184"/>
      <c r="P100" s="184">
        <f>+ROUND(Tableau6[[#This Row],[MONTANT TTC]]-Tableau6[[#This Row],[ACOMPTE SUR TTC]],0)</f>
        <v>755200</v>
      </c>
      <c r="Q100" s="11" t="s">
        <v>425</v>
      </c>
      <c r="R100" s="85">
        <f>IFERROR(INDEX(Tableau2[[ID BC UNIQUE]:[MONTANT HT VALIDE]],MATCH(Tableau6[[#This Row],[N° BC]],Tableau2[ID BC UNIQUE],0),6),0)</f>
        <v>8188088</v>
      </c>
      <c r="S100" s="87">
        <f>IFERROR(INDEX(Tableau2[[DATE]:[DELAIS DE PAIEMENT FACTURES EN JOUR]],MATCH(Tableau6[[#This Row],[N° BC]],Tableau2[ID BC UNIQUE],0),5),0)</f>
        <v>30</v>
      </c>
      <c r="T100" s="84">
        <f>IF(ISBLANK(Tableau6[[#This Row],[DATE DE DEPOT]]),"",Tableau6[[#This Row],[DATE DE DEPOT]]+Tableau6[[#This Row],[DELAI]])</f>
        <v>45752</v>
      </c>
      <c r="U100" s="87">
        <f ca="1">+IF(AND(W100=0,Tableau6[[#This Row],[DATE LIMITE]]&lt;TODAY()),TODAY()-Tableau6[[#This Row],[DATE LIMITE]],0)</f>
        <v>0</v>
      </c>
      <c r="V100"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00" s="89">
        <f>SUMIF(Tableau3[FACTURE],Tableau6[[#This Row],[NUM DE FACTURE]],Tableau3[MONTANT TTC])</f>
        <v>755200</v>
      </c>
      <c r="X100" s="84"/>
      <c r="Y100" s="161">
        <f>+Tableau6[[#This Row],[NET A PAYER]]-Tableau6[[#This Row],[MONTANT PAYE]]</f>
        <v>0</v>
      </c>
      <c r="Z100" s="82"/>
    </row>
    <row r="101" spans="1:26" ht="10.050000000000001" customHeight="1" x14ac:dyDescent="0.2">
      <c r="A101" t="s">
        <v>100</v>
      </c>
      <c r="B101" s="83">
        <v>45722</v>
      </c>
      <c r="C101" s="84">
        <v>45722</v>
      </c>
      <c r="D101" s="351">
        <v>323</v>
      </c>
      <c r="E101" s="6" t="s">
        <v>102</v>
      </c>
      <c r="F101" s="82" t="s">
        <v>111</v>
      </c>
      <c r="G101" s="6" t="s">
        <v>426</v>
      </c>
      <c r="H101" t="s">
        <v>116</v>
      </c>
      <c r="I101" s="183"/>
      <c r="J101" s="238">
        <f>384620-1</f>
        <v>384619</v>
      </c>
      <c r="K101" s="183">
        <f>+Tableau6[[#This Row],[MONTANT HT BIEN]]+Tableau6[[#This Row],[MONTANT HT SERVICE]]</f>
        <v>384619</v>
      </c>
      <c r="L101" s="153">
        <v>0</v>
      </c>
      <c r="M101" s="184">
        <f>+IFERROR(IF(Tableau6[[#This Row],[CODE TVA]]="TVAF",Tableau6[[#This Row],[MONTANT HT]]*0.18,0),0)</f>
        <v>69231.42</v>
      </c>
      <c r="N101" s="184">
        <f>Tableau6[[#This Row],[MONTANT HT]]+Tableau6[[#This Row],[TVA]]-Tableau6[[#This Row],[ACOMPTE SUR HT]]</f>
        <v>453850.42</v>
      </c>
      <c r="O101" s="184"/>
      <c r="P101" s="184">
        <f>+ROUND(Tableau6[[#This Row],[MONTANT TTC]]-Tableau6[[#This Row],[ACOMPTE SUR TTC]],0)</f>
        <v>453850</v>
      </c>
      <c r="Q101" s="86" t="s">
        <v>425</v>
      </c>
      <c r="R101" s="85">
        <f>IFERROR(INDEX(Tableau2[[ID BC UNIQUE]:[MONTANT HT VALIDE]],MATCH(Tableau6[[#This Row],[N° BC]],Tableau2[ID BC UNIQUE],0),6),0)</f>
        <v>8188088</v>
      </c>
      <c r="S101" s="87">
        <f>IFERROR(INDEX(Tableau2[[DATE]:[DELAIS DE PAIEMENT FACTURES EN JOUR]],MATCH(Tableau6[[#This Row],[N° BC]],Tableau2[ID BC UNIQUE],0),5),0)</f>
        <v>30</v>
      </c>
      <c r="T101" s="84">
        <f>IF(ISBLANK(Tableau6[[#This Row],[DATE DE DEPOT]]),"",Tableau6[[#This Row],[DATE DE DEPOT]]+Tableau6[[#This Row],[DELAI]])</f>
        <v>45752</v>
      </c>
      <c r="U101" s="87">
        <f ca="1">+IF(AND(W101=0,Tableau6[[#This Row],[DATE LIMITE]]&lt;TODAY()),TODAY()-Tableau6[[#This Row],[DATE LIMITE]],0)</f>
        <v>0</v>
      </c>
      <c r="V101"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TROP PAYE</v>
      </c>
      <c r="W101" s="89">
        <f>SUMIF(Tableau3[FACTURE],Tableau6[[#This Row],[NUM DE FACTURE]],Tableau3[MONTANT TTC])</f>
        <v>453851</v>
      </c>
      <c r="X101" s="84"/>
      <c r="Y101" s="161">
        <f>+Tableau6[[#This Row],[NET A PAYER]]-Tableau6[[#This Row],[MONTANT PAYE]]</f>
        <v>-1</v>
      </c>
      <c r="Z101" s="82"/>
    </row>
    <row r="102" spans="1:26" ht="10.050000000000001" customHeight="1" x14ac:dyDescent="0.2">
      <c r="A102" t="s">
        <v>100</v>
      </c>
      <c r="B102" s="83">
        <v>45722</v>
      </c>
      <c r="C102" s="84">
        <v>45722</v>
      </c>
      <c r="D102" s="351">
        <v>324</v>
      </c>
      <c r="E102" s="6" t="s">
        <v>102</v>
      </c>
      <c r="F102" s="82" t="s">
        <v>111</v>
      </c>
      <c r="G102" s="6" t="s">
        <v>426</v>
      </c>
      <c r="H102" t="s">
        <v>116</v>
      </c>
      <c r="I102" s="183"/>
      <c r="J102" s="238">
        <f>384620-1</f>
        <v>384619</v>
      </c>
      <c r="K102" s="183">
        <f>+Tableau6[[#This Row],[MONTANT HT BIEN]]+Tableau6[[#This Row],[MONTANT HT SERVICE]]</f>
        <v>384619</v>
      </c>
      <c r="L102" s="153">
        <v>0</v>
      </c>
      <c r="M102" s="184">
        <f>+IFERROR(IF(Tableau6[[#This Row],[CODE TVA]]="TVAF",Tableau6[[#This Row],[MONTANT HT]]*0.18,0),0)</f>
        <v>69231.42</v>
      </c>
      <c r="N102" s="184">
        <f>Tableau6[[#This Row],[MONTANT HT]]+Tableau6[[#This Row],[TVA]]-Tableau6[[#This Row],[ACOMPTE SUR HT]]</f>
        <v>453850.42</v>
      </c>
      <c r="O102" s="184"/>
      <c r="P102" s="184">
        <f>+ROUND(Tableau6[[#This Row],[MONTANT TTC]]-Tableau6[[#This Row],[ACOMPTE SUR TTC]],0)</f>
        <v>453850</v>
      </c>
      <c r="Q102" s="86" t="s">
        <v>425</v>
      </c>
      <c r="R102" s="85">
        <f>IFERROR(INDEX(Tableau2[[ID BC UNIQUE]:[MONTANT HT VALIDE]],MATCH(Tableau6[[#This Row],[N° BC]],Tableau2[ID BC UNIQUE],0),6),0)</f>
        <v>8188088</v>
      </c>
      <c r="S102" s="87">
        <f>IFERROR(INDEX(Tableau2[[DATE]:[DELAIS DE PAIEMENT FACTURES EN JOUR]],MATCH(Tableau6[[#This Row],[N° BC]],Tableau2[ID BC UNIQUE],0),5),0)</f>
        <v>30</v>
      </c>
      <c r="T102" s="84">
        <f>IF(ISBLANK(Tableau6[[#This Row],[DATE DE DEPOT]]),"",Tableau6[[#This Row],[DATE DE DEPOT]]+Tableau6[[#This Row],[DELAI]])</f>
        <v>45752</v>
      </c>
      <c r="U102" s="87">
        <f ca="1">+IF(AND(W102=0,Tableau6[[#This Row],[DATE LIMITE]]&lt;TODAY()),TODAY()-Tableau6[[#This Row],[DATE LIMITE]],0)</f>
        <v>0</v>
      </c>
      <c r="V102"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TROP PAYE</v>
      </c>
      <c r="W102" s="89">
        <f>SUMIF(Tableau3[FACTURE],Tableau6[[#This Row],[NUM DE FACTURE]],Tableau3[MONTANT TTC])</f>
        <v>453851</v>
      </c>
      <c r="X102" s="84"/>
      <c r="Y102" s="161">
        <f>+Tableau6[[#This Row],[NET A PAYER]]-Tableau6[[#This Row],[MONTANT PAYE]]</f>
        <v>-1</v>
      </c>
      <c r="Z102" s="82"/>
    </row>
    <row r="103" spans="1:26" ht="10.050000000000001" customHeight="1" x14ac:dyDescent="0.2">
      <c r="A103" t="s">
        <v>100</v>
      </c>
      <c r="B103" s="83">
        <v>45722</v>
      </c>
      <c r="C103" s="84">
        <v>45722</v>
      </c>
      <c r="D103" s="351">
        <v>325</v>
      </c>
      <c r="E103" s="6" t="s">
        <v>102</v>
      </c>
      <c r="F103" s="82" t="s">
        <v>111</v>
      </c>
      <c r="G103" s="6" t="s">
        <v>426</v>
      </c>
      <c r="H103" t="s">
        <v>116</v>
      </c>
      <c r="I103" s="183"/>
      <c r="J103" s="238">
        <v>2805000</v>
      </c>
      <c r="K103" s="183">
        <f>+Tableau6[[#This Row],[MONTANT HT BIEN]]+Tableau6[[#This Row],[MONTANT HT SERVICE]]</f>
        <v>2805000</v>
      </c>
      <c r="L103" s="153">
        <v>0</v>
      </c>
      <c r="M103" s="184">
        <f>+IFERROR(IF(Tableau6[[#This Row],[CODE TVA]]="TVAF",Tableau6[[#This Row],[MONTANT HT]]*0.18,0),0)</f>
        <v>504900</v>
      </c>
      <c r="N103" s="184">
        <f>Tableau6[[#This Row],[MONTANT HT]]+Tableau6[[#This Row],[TVA]]-Tableau6[[#This Row],[ACOMPTE SUR HT]]</f>
        <v>3309900</v>
      </c>
      <c r="O103" s="184"/>
      <c r="P103" s="184">
        <f>+ROUND(Tableau6[[#This Row],[MONTANT TTC]]-Tableau6[[#This Row],[ACOMPTE SUR TTC]],0)</f>
        <v>3309900</v>
      </c>
      <c r="Q103" s="86" t="s">
        <v>425</v>
      </c>
      <c r="R103" s="85">
        <f>IFERROR(INDEX(Tableau2[[ID BC UNIQUE]:[MONTANT HT VALIDE]],MATCH(Tableau6[[#This Row],[N° BC]],Tableau2[ID BC UNIQUE],0),6),0)</f>
        <v>8188088</v>
      </c>
      <c r="S103" s="87">
        <f>IFERROR(INDEX(Tableau2[[DATE]:[DELAIS DE PAIEMENT FACTURES EN JOUR]],MATCH(Tableau6[[#This Row],[N° BC]],Tableau2[ID BC UNIQUE],0),5),0)</f>
        <v>30</v>
      </c>
      <c r="T103" s="84">
        <f>IF(ISBLANK(Tableau6[[#This Row],[DATE DE DEPOT]]),"",Tableau6[[#This Row],[DATE DE DEPOT]]+Tableau6[[#This Row],[DELAI]])</f>
        <v>45752</v>
      </c>
      <c r="U103" s="87">
        <f ca="1">+IF(AND(W103=0,Tableau6[[#This Row],[DATE LIMITE]]&lt;TODAY()),TODAY()-Tableau6[[#This Row],[DATE LIMITE]],0)</f>
        <v>0</v>
      </c>
      <c r="V103"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03" s="89">
        <f>SUMIF(Tableau3[FACTURE],Tableau6[[#This Row],[NUM DE FACTURE]],Tableau3[MONTANT TTC])</f>
        <v>3309900</v>
      </c>
      <c r="X103" s="84"/>
      <c r="Y103" s="161">
        <f>+Tableau6[[#This Row],[NET A PAYER]]-Tableau6[[#This Row],[MONTANT PAYE]]</f>
        <v>0</v>
      </c>
      <c r="Z103" s="82"/>
    </row>
    <row r="104" spans="1:26" ht="10.050000000000001" customHeight="1" x14ac:dyDescent="0.2">
      <c r="A104" t="s">
        <v>100</v>
      </c>
      <c r="B104" s="83">
        <v>45722</v>
      </c>
      <c r="C104" s="84">
        <v>45722</v>
      </c>
      <c r="D104" s="351">
        <v>326</v>
      </c>
      <c r="E104" s="6" t="s">
        <v>102</v>
      </c>
      <c r="F104" s="82" t="s">
        <v>111</v>
      </c>
      <c r="G104" s="6" t="s">
        <v>426</v>
      </c>
      <c r="H104" t="s">
        <v>116</v>
      </c>
      <c r="I104" s="183"/>
      <c r="J104" s="238">
        <f>403848-1</f>
        <v>403847</v>
      </c>
      <c r="K104" s="183">
        <f>+Tableau6[[#This Row],[MONTANT HT BIEN]]+Tableau6[[#This Row],[MONTANT HT SERVICE]]</f>
        <v>403847</v>
      </c>
      <c r="L104" s="153">
        <v>0</v>
      </c>
      <c r="M104" s="184">
        <f>+IFERROR(IF(Tableau6[[#This Row],[CODE TVA]]="TVAF",Tableau6[[#This Row],[MONTANT HT]]*0.18,0),0)</f>
        <v>72692.459999999992</v>
      </c>
      <c r="N104" s="184">
        <f>Tableau6[[#This Row],[MONTANT HT]]+Tableau6[[#This Row],[TVA]]-Tableau6[[#This Row],[ACOMPTE SUR HT]]</f>
        <v>476539.45999999996</v>
      </c>
      <c r="O104" s="184"/>
      <c r="P104" s="184">
        <f>+ROUND(Tableau6[[#This Row],[MONTANT TTC]]-Tableau6[[#This Row],[ACOMPTE SUR TTC]],0)</f>
        <v>476539</v>
      </c>
      <c r="Q104" s="86" t="s">
        <v>425</v>
      </c>
      <c r="R104" s="85">
        <f>IFERROR(INDEX(Tableau2[[ID BC UNIQUE]:[MONTANT HT VALIDE]],MATCH(Tableau6[[#This Row],[N° BC]],Tableau2[ID BC UNIQUE],0),6),0)</f>
        <v>8188088</v>
      </c>
      <c r="S104" s="87">
        <f>IFERROR(INDEX(Tableau2[[DATE]:[DELAIS DE PAIEMENT FACTURES EN JOUR]],MATCH(Tableau6[[#This Row],[N° BC]],Tableau2[ID BC UNIQUE],0),5),0)</f>
        <v>30</v>
      </c>
      <c r="T104" s="84">
        <f>IF(ISBLANK(Tableau6[[#This Row],[DATE DE DEPOT]]),"",Tableau6[[#This Row],[DATE DE DEPOT]]+Tableau6[[#This Row],[DELAI]])</f>
        <v>45752</v>
      </c>
      <c r="U104" s="87">
        <f ca="1">+IF(AND(W104=0,Tableau6[[#This Row],[DATE LIMITE]]&lt;TODAY()),TODAY()-Tableau6[[#This Row],[DATE LIMITE]],0)</f>
        <v>0</v>
      </c>
      <c r="V104"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TROP PAYE</v>
      </c>
      <c r="W104" s="89">
        <f>SUMIF(Tableau3[FACTURE],Tableau6[[#This Row],[NUM DE FACTURE]],Tableau3[MONTANT TTC])</f>
        <v>476540</v>
      </c>
      <c r="X104" s="84"/>
      <c r="Y104" s="161">
        <f>+Tableau6[[#This Row],[NET A PAYER]]-Tableau6[[#This Row],[MONTANT PAYE]]</f>
        <v>-1</v>
      </c>
      <c r="Z104" s="82"/>
    </row>
    <row r="105" spans="1:26" ht="10.050000000000001" customHeight="1" x14ac:dyDescent="0.2">
      <c r="A105" t="s">
        <v>100</v>
      </c>
      <c r="B105" s="83">
        <v>45722</v>
      </c>
      <c r="C105" s="84">
        <v>45722</v>
      </c>
      <c r="D105" s="351">
        <v>327</v>
      </c>
      <c r="E105" s="6" t="s">
        <v>102</v>
      </c>
      <c r="F105" s="82" t="s">
        <v>111</v>
      </c>
      <c r="G105" s="6" t="s">
        <v>426</v>
      </c>
      <c r="H105" t="s">
        <v>116</v>
      </c>
      <c r="I105" s="183"/>
      <c r="J105" s="238">
        <v>3570000</v>
      </c>
      <c r="K105" s="183">
        <f>+Tableau6[[#This Row],[MONTANT HT BIEN]]+Tableau6[[#This Row],[MONTANT HT SERVICE]]</f>
        <v>3570000</v>
      </c>
      <c r="L105" s="153">
        <v>0</v>
      </c>
      <c r="M105" s="184">
        <f>+IFERROR(IF(Tableau6[[#This Row],[CODE TVA]]="TVAF",Tableau6[[#This Row],[MONTANT HT]]*0.18,0),0)</f>
        <v>642600</v>
      </c>
      <c r="N105" s="184">
        <f>Tableau6[[#This Row],[MONTANT HT]]+Tableau6[[#This Row],[TVA]]-Tableau6[[#This Row],[ACOMPTE SUR HT]]</f>
        <v>4212600</v>
      </c>
      <c r="O105" s="184"/>
      <c r="P105" s="184">
        <f>+ROUND(Tableau6[[#This Row],[MONTANT TTC]]-Tableau6[[#This Row],[ACOMPTE SUR TTC]],0)</f>
        <v>4212600</v>
      </c>
      <c r="Q105" s="86" t="s">
        <v>425</v>
      </c>
      <c r="R105" s="85">
        <f>IFERROR(INDEX(Tableau2[[ID BC UNIQUE]:[MONTANT HT VALIDE]],MATCH(Tableau6[[#This Row],[N° BC]],Tableau2[ID BC UNIQUE],0),6),0)</f>
        <v>8188088</v>
      </c>
      <c r="S105" s="87">
        <f>IFERROR(INDEX(Tableau2[[DATE]:[DELAIS DE PAIEMENT FACTURES EN JOUR]],MATCH(Tableau6[[#This Row],[N° BC]],Tableau2[ID BC UNIQUE],0),5),0)</f>
        <v>30</v>
      </c>
      <c r="T105" s="84">
        <f>IF(ISBLANK(Tableau6[[#This Row],[DATE DE DEPOT]]),"",Tableau6[[#This Row],[DATE DE DEPOT]]+Tableau6[[#This Row],[DELAI]])</f>
        <v>45752</v>
      </c>
      <c r="U105" s="87">
        <f ca="1">+IF(AND(W105=0,Tableau6[[#This Row],[DATE LIMITE]]&lt;TODAY()),TODAY()-Tableau6[[#This Row],[DATE LIMITE]],0)</f>
        <v>0</v>
      </c>
      <c r="V105"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05" s="89">
        <f>SUMIF(Tableau3[FACTURE],Tableau6[[#This Row],[NUM DE FACTURE]],Tableau3[MONTANT TTC])</f>
        <v>4212600</v>
      </c>
      <c r="X105" s="84"/>
      <c r="Y105" s="161">
        <f>+Tableau6[[#This Row],[NET A PAYER]]-Tableau6[[#This Row],[MONTANT PAYE]]</f>
        <v>0</v>
      </c>
      <c r="Z105" s="82"/>
    </row>
    <row r="106" spans="1:26" ht="10.050000000000001" customHeight="1" x14ac:dyDescent="0.2">
      <c r="A106" t="s">
        <v>100</v>
      </c>
      <c r="B106" s="83">
        <v>45723</v>
      </c>
      <c r="C106" s="84">
        <v>45723</v>
      </c>
      <c r="D106" s="351">
        <v>329</v>
      </c>
      <c r="E106" s="6" t="s">
        <v>138</v>
      </c>
      <c r="F106" s="82" t="s">
        <v>111</v>
      </c>
      <c r="G106" s="6" t="s">
        <v>212</v>
      </c>
      <c r="H106" t="s">
        <v>116</v>
      </c>
      <c r="I106" s="183"/>
      <c r="J106" s="238">
        <v>6000000</v>
      </c>
      <c r="K106" s="183">
        <f>+Tableau6[[#This Row],[MONTANT HT BIEN]]+Tableau6[[#This Row],[MONTANT HT SERVICE]]</f>
        <v>6000000</v>
      </c>
      <c r="L106" s="153">
        <v>0</v>
      </c>
      <c r="M106" s="184">
        <f>+IFERROR(IF(Tableau6[[#This Row],[CODE TVA]]="TVAF",Tableau6[[#This Row],[MONTANT HT]]*0.18,0),0)</f>
        <v>1080000</v>
      </c>
      <c r="N106" s="184">
        <f>Tableau6[[#This Row],[MONTANT HT]]+Tableau6[[#This Row],[TVA]]-Tableau6[[#This Row],[ACOMPTE SUR HT]]</f>
        <v>7080000</v>
      </c>
      <c r="O106" s="184"/>
      <c r="P106" s="184">
        <f>+ROUND(Tableau6[[#This Row],[MONTANT TTC]]-Tableau6[[#This Row],[ACOMPTE SUR TTC]],0)</f>
        <v>7080000</v>
      </c>
      <c r="Q106" s="11" t="s">
        <v>424</v>
      </c>
      <c r="R106" s="85">
        <f>IFERROR(INDEX(Tableau2[[ID BC UNIQUE]:[MONTANT HT VALIDE]],MATCH(Tableau6[[#This Row],[N° BC]],Tableau2[ID BC UNIQUE],0),6),0)</f>
        <v>6000000</v>
      </c>
      <c r="S106" s="87">
        <f>IFERROR(INDEX(Tableau2[[DATE]:[DELAIS DE PAIEMENT FACTURES EN JOUR]],MATCH(Tableau6[[#This Row],[N° BC]],Tableau2[ID BC UNIQUE],0),5),0)</f>
        <v>30</v>
      </c>
      <c r="T106" s="84">
        <f>IF(ISBLANK(Tableau6[[#This Row],[DATE DE DEPOT]]),"",Tableau6[[#This Row],[DATE DE DEPOT]]+Tableau6[[#This Row],[DELAI]])</f>
        <v>45753</v>
      </c>
      <c r="U106" s="87">
        <f ca="1">+IF(AND(W106=0,Tableau6[[#This Row],[DATE LIMITE]]&lt;TODAY()),TODAY()-Tableau6[[#This Row],[DATE LIMITE]],0)</f>
        <v>0</v>
      </c>
      <c r="V106"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06" s="89">
        <f>SUMIF(Tableau3[FACTURE],Tableau6[[#This Row],[NUM DE FACTURE]],Tableau3[MONTANT TTC])</f>
        <v>7080000</v>
      </c>
      <c r="X106" s="84"/>
      <c r="Y106" s="161">
        <f>+Tableau6[[#This Row],[NET A PAYER]]-Tableau6[[#This Row],[MONTANT PAYE]]</f>
        <v>0</v>
      </c>
      <c r="Z106" s="82"/>
    </row>
    <row r="107" spans="1:26" ht="10.050000000000001" customHeight="1" x14ac:dyDescent="0.2">
      <c r="A107" t="s">
        <v>100</v>
      </c>
      <c r="B107" s="83">
        <v>45723</v>
      </c>
      <c r="C107" s="84">
        <v>45723</v>
      </c>
      <c r="D107" s="351">
        <v>330</v>
      </c>
      <c r="E107" s="6" t="s">
        <v>138</v>
      </c>
      <c r="F107" s="82" t="s">
        <v>111</v>
      </c>
      <c r="G107" s="6" t="s">
        <v>199</v>
      </c>
      <c r="H107" t="s">
        <v>116</v>
      </c>
      <c r="I107" s="183"/>
      <c r="J107" s="238">
        <v>6600000</v>
      </c>
      <c r="K107" s="183">
        <f>+Tableau6[[#This Row],[MONTANT HT BIEN]]+Tableau6[[#This Row],[MONTANT HT SERVICE]]</f>
        <v>6600000</v>
      </c>
      <c r="L107" s="153">
        <v>0</v>
      </c>
      <c r="M107" s="184">
        <f>+IFERROR(IF(Tableau6[[#This Row],[CODE TVA]]="TVAF",Tableau6[[#This Row],[MONTANT HT]]*0.18,0),0)</f>
        <v>1188000</v>
      </c>
      <c r="N107" s="184">
        <f>Tableau6[[#This Row],[MONTANT HT]]+Tableau6[[#This Row],[TVA]]-Tableau6[[#This Row],[ACOMPTE SUR HT]]</f>
        <v>7788000</v>
      </c>
      <c r="O107" s="184"/>
      <c r="P107" s="184">
        <f>+ROUND(Tableau6[[#This Row],[MONTANT TTC]]-Tableau6[[#This Row],[ACOMPTE SUR TTC]],0)</f>
        <v>7788000</v>
      </c>
      <c r="Q107" s="11" t="s">
        <v>423</v>
      </c>
      <c r="R107" s="85">
        <f>IFERROR(INDEX(Tableau2[[ID BC UNIQUE]:[MONTANT HT VALIDE]],MATCH(Tableau6[[#This Row],[N° BC]],Tableau2[ID BC UNIQUE],0),6),0)</f>
        <v>6600000</v>
      </c>
      <c r="S107" s="87">
        <f>IFERROR(INDEX(Tableau2[[DATE]:[DELAIS DE PAIEMENT FACTURES EN JOUR]],MATCH(Tableau6[[#This Row],[N° BC]],Tableau2[ID BC UNIQUE],0),5),0)</f>
        <v>30</v>
      </c>
      <c r="T107" s="84">
        <f>IF(ISBLANK(Tableau6[[#This Row],[DATE DE DEPOT]]),"",Tableau6[[#This Row],[DATE DE DEPOT]]+Tableau6[[#This Row],[DELAI]])</f>
        <v>45753</v>
      </c>
      <c r="U107" s="87">
        <f ca="1">+IF(AND(W107=0,Tableau6[[#This Row],[DATE LIMITE]]&lt;TODAY()),TODAY()-Tableau6[[#This Row],[DATE LIMITE]],0)</f>
        <v>0</v>
      </c>
      <c r="V107"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07" s="89">
        <f>SUMIF(Tableau3[FACTURE],Tableau6[[#This Row],[NUM DE FACTURE]],Tableau3[MONTANT TTC])</f>
        <v>7788000</v>
      </c>
      <c r="X107" s="84"/>
      <c r="Y107" s="161">
        <f>+Tableau6[[#This Row],[NET A PAYER]]-Tableau6[[#This Row],[MONTANT PAYE]]</f>
        <v>0</v>
      </c>
      <c r="Z107" s="82"/>
    </row>
    <row r="108" spans="1:26" ht="10.050000000000001" customHeight="1" x14ac:dyDescent="0.2">
      <c r="A108" t="s">
        <v>100</v>
      </c>
      <c r="B108" s="83">
        <v>45723</v>
      </c>
      <c r="C108" s="84">
        <v>45723</v>
      </c>
      <c r="D108" s="351">
        <v>331</v>
      </c>
      <c r="E108" s="6" t="s">
        <v>138</v>
      </c>
      <c r="F108" s="82" t="s">
        <v>111</v>
      </c>
      <c r="G108" s="6" t="s">
        <v>176</v>
      </c>
      <c r="H108" t="s">
        <v>116</v>
      </c>
      <c r="I108" s="183"/>
      <c r="J108" s="238">
        <v>5000000</v>
      </c>
      <c r="K108" s="183">
        <f>+Tableau6[[#This Row],[MONTANT HT BIEN]]+Tableau6[[#This Row],[MONTANT HT SERVICE]]</f>
        <v>5000000</v>
      </c>
      <c r="L108" s="153">
        <v>0</v>
      </c>
      <c r="M108" s="184">
        <f>+IFERROR(IF(Tableau6[[#This Row],[CODE TVA]]="TVAF",Tableau6[[#This Row],[MONTANT HT]]*0.18,0),0)</f>
        <v>900000</v>
      </c>
      <c r="N108" s="184">
        <f>Tableau6[[#This Row],[MONTANT HT]]+Tableau6[[#This Row],[TVA]]-Tableau6[[#This Row],[ACOMPTE SUR HT]]</f>
        <v>5900000</v>
      </c>
      <c r="O108" s="184"/>
      <c r="P108" s="184">
        <f>+ROUND(Tableau6[[#This Row],[MONTANT TTC]]-Tableau6[[#This Row],[ACOMPTE SUR TTC]],0)</f>
        <v>5900000</v>
      </c>
      <c r="Q108" s="11" t="s">
        <v>422</v>
      </c>
      <c r="R108" s="85">
        <f>IFERROR(INDEX(Tableau2[[ID BC UNIQUE]:[MONTANT HT VALIDE]],MATCH(Tableau6[[#This Row],[N° BC]],Tableau2[ID BC UNIQUE],0),6),0)</f>
        <v>5000000</v>
      </c>
      <c r="S108" s="87">
        <f>IFERROR(INDEX(Tableau2[[DATE]:[DELAIS DE PAIEMENT FACTURES EN JOUR]],MATCH(Tableau6[[#This Row],[N° BC]],Tableau2[ID BC UNIQUE],0),5),0)</f>
        <v>30</v>
      </c>
      <c r="T108" s="84">
        <f>IF(ISBLANK(Tableau6[[#This Row],[DATE DE DEPOT]]),"",Tableau6[[#This Row],[DATE DE DEPOT]]+Tableau6[[#This Row],[DELAI]])</f>
        <v>45753</v>
      </c>
      <c r="U108" s="87">
        <f ca="1">+IF(AND(W108=0,Tableau6[[#This Row],[DATE LIMITE]]&lt;TODAY()),TODAY()-Tableau6[[#This Row],[DATE LIMITE]],0)</f>
        <v>0</v>
      </c>
      <c r="V108"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08" s="89">
        <f>SUMIF(Tableau3[FACTURE],Tableau6[[#This Row],[NUM DE FACTURE]],Tableau3[MONTANT TTC])</f>
        <v>5900000</v>
      </c>
      <c r="X108" s="84"/>
      <c r="Y108" s="161">
        <f>+Tableau6[[#This Row],[NET A PAYER]]-Tableau6[[#This Row],[MONTANT PAYE]]</f>
        <v>0</v>
      </c>
      <c r="Z108" s="82"/>
    </row>
    <row r="109" spans="1:26" ht="10.050000000000001" customHeight="1" x14ac:dyDescent="0.2">
      <c r="A109" t="s">
        <v>100</v>
      </c>
      <c r="B109" s="83">
        <v>45723</v>
      </c>
      <c r="C109" s="84">
        <v>45723</v>
      </c>
      <c r="D109" s="351">
        <v>332</v>
      </c>
      <c r="E109" s="6" t="s">
        <v>138</v>
      </c>
      <c r="F109" s="82" t="s">
        <v>111</v>
      </c>
      <c r="G109" s="6" t="s">
        <v>165</v>
      </c>
      <c r="H109" t="s">
        <v>116</v>
      </c>
      <c r="I109" s="183"/>
      <c r="J109" s="238">
        <v>8000000</v>
      </c>
      <c r="K109" s="183">
        <f>+Tableau6[[#This Row],[MONTANT HT BIEN]]+Tableau6[[#This Row],[MONTANT HT SERVICE]]</f>
        <v>8000000</v>
      </c>
      <c r="L109" s="153">
        <v>0</v>
      </c>
      <c r="M109" s="184">
        <f>+IFERROR(IF(Tableau6[[#This Row],[CODE TVA]]="TVAF",Tableau6[[#This Row],[MONTANT HT]]*0.18,0),0)</f>
        <v>1440000</v>
      </c>
      <c r="N109" s="184">
        <f>Tableau6[[#This Row],[MONTANT HT]]+Tableau6[[#This Row],[TVA]]-Tableau6[[#This Row],[ACOMPTE SUR HT]]</f>
        <v>9440000</v>
      </c>
      <c r="O109" s="184"/>
      <c r="P109" s="184">
        <f>+ROUND(Tableau6[[#This Row],[MONTANT TTC]]-Tableau6[[#This Row],[ACOMPTE SUR TTC]],0)</f>
        <v>9440000</v>
      </c>
      <c r="Q109" s="11" t="s">
        <v>421</v>
      </c>
      <c r="R109" s="85">
        <f>IFERROR(INDEX(Tableau2[[ID BC UNIQUE]:[MONTANT HT VALIDE]],MATCH(Tableau6[[#This Row],[N° BC]],Tableau2[ID BC UNIQUE],0),6),0)</f>
        <v>8000000</v>
      </c>
      <c r="S109" s="87">
        <f>IFERROR(INDEX(Tableau2[[DATE]:[DELAIS DE PAIEMENT FACTURES EN JOUR]],MATCH(Tableau6[[#This Row],[N° BC]],Tableau2[ID BC UNIQUE],0),5),0)</f>
        <v>30</v>
      </c>
      <c r="T109" s="84">
        <f>IF(ISBLANK(Tableau6[[#This Row],[DATE DE DEPOT]]),"",Tableau6[[#This Row],[DATE DE DEPOT]]+Tableau6[[#This Row],[DELAI]])</f>
        <v>45753</v>
      </c>
      <c r="U109" s="87">
        <f ca="1">+IF(AND(W109=0,Tableau6[[#This Row],[DATE LIMITE]]&lt;TODAY()),TODAY()-Tableau6[[#This Row],[DATE LIMITE]],0)</f>
        <v>0</v>
      </c>
      <c r="V109"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09" s="89">
        <f>SUMIF(Tableau3[FACTURE],Tableau6[[#This Row],[NUM DE FACTURE]],Tableau3[MONTANT TTC])</f>
        <v>9440000</v>
      </c>
      <c r="X109" s="84"/>
      <c r="Y109" s="161">
        <f>+Tableau6[[#This Row],[NET A PAYER]]-Tableau6[[#This Row],[MONTANT PAYE]]</f>
        <v>0</v>
      </c>
      <c r="Z109" s="82"/>
    </row>
    <row r="110" spans="1:26" ht="10.050000000000001" customHeight="1" x14ac:dyDescent="0.2">
      <c r="A110" t="s">
        <v>100</v>
      </c>
      <c r="B110" s="83">
        <v>45723</v>
      </c>
      <c r="C110" s="84">
        <v>45723</v>
      </c>
      <c r="D110" s="351">
        <v>333</v>
      </c>
      <c r="E110" s="6" t="s">
        <v>138</v>
      </c>
      <c r="F110" s="82" t="s">
        <v>111</v>
      </c>
      <c r="G110" s="6" t="s">
        <v>170</v>
      </c>
      <c r="H110" t="s">
        <v>116</v>
      </c>
      <c r="I110" s="183"/>
      <c r="J110" s="238">
        <v>4680000</v>
      </c>
      <c r="K110" s="183">
        <f>+Tableau6[[#This Row],[MONTANT HT BIEN]]+Tableau6[[#This Row],[MONTANT HT SERVICE]]</f>
        <v>4680000</v>
      </c>
      <c r="L110" s="153">
        <v>0</v>
      </c>
      <c r="M110" s="184">
        <f>+IFERROR(IF(Tableau6[[#This Row],[CODE TVA]]="TVAF",Tableau6[[#This Row],[MONTANT HT]]*0.18,0),0)</f>
        <v>842400</v>
      </c>
      <c r="N110" s="184">
        <f>Tableau6[[#This Row],[MONTANT HT]]+Tableau6[[#This Row],[TVA]]-Tableau6[[#This Row],[ACOMPTE SUR HT]]</f>
        <v>5522400</v>
      </c>
      <c r="O110" s="184"/>
      <c r="P110" s="184">
        <f>+ROUND(Tableau6[[#This Row],[MONTANT TTC]]-Tableau6[[#This Row],[ACOMPTE SUR TTC]],0)</f>
        <v>5522400</v>
      </c>
      <c r="Q110" s="11" t="s">
        <v>420</v>
      </c>
      <c r="R110" s="85">
        <f>IFERROR(INDEX(Tableau2[[ID BC UNIQUE]:[MONTANT HT VALIDE]],MATCH(Tableau6[[#This Row],[N° BC]],Tableau2[ID BC UNIQUE],0),6),0)</f>
        <v>4680000</v>
      </c>
      <c r="S110" s="87">
        <f>IFERROR(INDEX(Tableau2[[DATE]:[DELAIS DE PAIEMENT FACTURES EN JOUR]],MATCH(Tableau6[[#This Row],[N° BC]],Tableau2[ID BC UNIQUE],0),5),0)</f>
        <v>30</v>
      </c>
      <c r="T110" s="84">
        <f>IF(ISBLANK(Tableau6[[#This Row],[DATE DE DEPOT]]),"",Tableau6[[#This Row],[DATE DE DEPOT]]+Tableau6[[#This Row],[DELAI]])</f>
        <v>45753</v>
      </c>
      <c r="U110" s="87">
        <f ca="1">+IF(AND(W110=0,Tableau6[[#This Row],[DATE LIMITE]]&lt;TODAY()),TODAY()-Tableau6[[#This Row],[DATE LIMITE]],0)</f>
        <v>0</v>
      </c>
      <c r="V110"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10" s="89">
        <f>SUMIF(Tableau3[FACTURE],Tableau6[[#This Row],[NUM DE FACTURE]],Tableau3[MONTANT TTC])</f>
        <v>5522400</v>
      </c>
      <c r="X110" s="84"/>
      <c r="Y110" s="161">
        <f>+Tableau6[[#This Row],[NET A PAYER]]-Tableau6[[#This Row],[MONTANT PAYE]]</f>
        <v>0</v>
      </c>
      <c r="Z110" s="82"/>
    </row>
    <row r="111" spans="1:26" ht="10.050000000000001" customHeight="1" x14ac:dyDescent="0.2">
      <c r="A111" t="s">
        <v>100</v>
      </c>
      <c r="B111" s="83">
        <v>45723</v>
      </c>
      <c r="C111" s="84">
        <v>45723</v>
      </c>
      <c r="D111" s="351">
        <v>334</v>
      </c>
      <c r="E111" s="6" t="s">
        <v>138</v>
      </c>
      <c r="F111" s="82" t="s">
        <v>111</v>
      </c>
      <c r="G111" s="6" t="s">
        <v>199</v>
      </c>
      <c r="H111" t="s">
        <v>116</v>
      </c>
      <c r="I111" s="183"/>
      <c r="J111" s="238">
        <v>7680000</v>
      </c>
      <c r="K111" s="183">
        <f>+Tableau6[[#This Row],[MONTANT HT BIEN]]+Tableau6[[#This Row],[MONTANT HT SERVICE]]</f>
        <v>7680000</v>
      </c>
      <c r="L111" s="153">
        <v>0</v>
      </c>
      <c r="M111" s="184">
        <f>+IFERROR(IF(Tableau6[[#This Row],[CODE TVA]]="TVAF",Tableau6[[#This Row],[MONTANT HT]]*0.18,0),0)</f>
        <v>1382400</v>
      </c>
      <c r="N111" s="184">
        <f>Tableau6[[#This Row],[MONTANT HT]]+Tableau6[[#This Row],[TVA]]-Tableau6[[#This Row],[ACOMPTE SUR HT]]</f>
        <v>9062400</v>
      </c>
      <c r="O111" s="184"/>
      <c r="P111" s="184">
        <f>+ROUND(Tableau6[[#This Row],[MONTANT TTC]]-Tableau6[[#This Row],[ACOMPTE SUR TTC]],0)</f>
        <v>9062400</v>
      </c>
      <c r="Q111" s="11" t="s">
        <v>419</v>
      </c>
      <c r="R111" s="85">
        <f>IFERROR(INDEX(Tableau2[[ID BC UNIQUE]:[MONTANT HT VALIDE]],MATCH(Tableau6[[#This Row],[N° BC]],Tableau2[ID BC UNIQUE],0),6),0)</f>
        <v>7680000</v>
      </c>
      <c r="S111" s="87">
        <f>IFERROR(INDEX(Tableau2[[DATE]:[DELAIS DE PAIEMENT FACTURES EN JOUR]],MATCH(Tableau6[[#This Row],[N° BC]],Tableau2[ID BC UNIQUE],0),5),0)</f>
        <v>30</v>
      </c>
      <c r="T111" s="84">
        <f>IF(ISBLANK(Tableau6[[#This Row],[DATE DE DEPOT]]),"",Tableau6[[#This Row],[DATE DE DEPOT]]+Tableau6[[#This Row],[DELAI]])</f>
        <v>45753</v>
      </c>
      <c r="U111" s="87">
        <f ca="1">+IF(AND(W111=0,Tableau6[[#This Row],[DATE LIMITE]]&lt;TODAY()),TODAY()-Tableau6[[#This Row],[DATE LIMITE]],0)</f>
        <v>0</v>
      </c>
      <c r="V111"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11" s="89">
        <f>SUMIF(Tableau3[FACTURE],Tableau6[[#This Row],[NUM DE FACTURE]],Tableau3[MONTANT TTC])</f>
        <v>9062400</v>
      </c>
      <c r="X111" s="84"/>
      <c r="Y111" s="161">
        <f>+Tableau6[[#This Row],[NET A PAYER]]-Tableau6[[#This Row],[MONTANT PAYE]]</f>
        <v>0</v>
      </c>
      <c r="Z111" s="82"/>
    </row>
    <row r="112" spans="1:26" ht="10.050000000000001" customHeight="1" x14ac:dyDescent="0.2">
      <c r="A112" t="s">
        <v>100</v>
      </c>
      <c r="B112" s="83">
        <v>45723</v>
      </c>
      <c r="C112" s="84">
        <v>45723</v>
      </c>
      <c r="D112" s="351">
        <v>335</v>
      </c>
      <c r="E112" s="6" t="s">
        <v>138</v>
      </c>
      <c r="F112" s="82" t="s">
        <v>111</v>
      </c>
      <c r="G112" s="6" t="s">
        <v>199</v>
      </c>
      <c r="H112" t="s">
        <v>116</v>
      </c>
      <c r="I112" s="183"/>
      <c r="J112" s="238">
        <v>4400000</v>
      </c>
      <c r="K112" s="183">
        <f>+Tableau6[[#This Row],[MONTANT HT BIEN]]+Tableau6[[#This Row],[MONTANT HT SERVICE]]</f>
        <v>4400000</v>
      </c>
      <c r="L112" s="153">
        <v>0</v>
      </c>
      <c r="M112" s="184">
        <f>+IFERROR(IF(Tableau6[[#This Row],[CODE TVA]]="TVAF",Tableau6[[#This Row],[MONTANT HT]]*0.18,0),0)</f>
        <v>792000</v>
      </c>
      <c r="N112" s="184">
        <f>Tableau6[[#This Row],[MONTANT HT]]+Tableau6[[#This Row],[TVA]]-Tableau6[[#This Row],[ACOMPTE SUR HT]]</f>
        <v>5192000</v>
      </c>
      <c r="O112" s="184"/>
      <c r="P112" s="184">
        <f>+ROUND(Tableau6[[#This Row],[MONTANT TTC]]-Tableau6[[#This Row],[ACOMPTE SUR TTC]],0)</f>
        <v>5192000</v>
      </c>
      <c r="Q112" s="11" t="s">
        <v>418</v>
      </c>
      <c r="R112" s="85">
        <f>IFERROR(INDEX(Tableau2[[ID BC UNIQUE]:[MONTANT HT VALIDE]],MATCH(Tableau6[[#This Row],[N° BC]],Tableau2[ID BC UNIQUE],0),6),0)</f>
        <v>4400000</v>
      </c>
      <c r="S112" s="87">
        <f>IFERROR(INDEX(Tableau2[[DATE]:[DELAIS DE PAIEMENT FACTURES EN JOUR]],MATCH(Tableau6[[#This Row],[N° BC]],Tableau2[ID BC UNIQUE],0),5),0)</f>
        <v>30</v>
      </c>
      <c r="T112" s="84">
        <f>IF(ISBLANK(Tableau6[[#This Row],[DATE DE DEPOT]]),"",Tableau6[[#This Row],[DATE DE DEPOT]]+Tableau6[[#This Row],[DELAI]])</f>
        <v>45753</v>
      </c>
      <c r="U112" s="87">
        <f ca="1">+IF(AND(W112=0,Tableau6[[#This Row],[DATE LIMITE]]&lt;TODAY()),TODAY()-Tableau6[[#This Row],[DATE LIMITE]],0)</f>
        <v>0</v>
      </c>
      <c r="V112"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12" s="89">
        <f>SUMIF(Tableau3[FACTURE],Tableau6[[#This Row],[NUM DE FACTURE]],Tableau3[MONTANT TTC])</f>
        <v>5192000</v>
      </c>
      <c r="X112" s="84"/>
      <c r="Y112" s="161">
        <f>+Tableau6[[#This Row],[NET A PAYER]]-Tableau6[[#This Row],[MONTANT PAYE]]</f>
        <v>0</v>
      </c>
      <c r="Z112" s="82"/>
    </row>
    <row r="113" spans="1:26" ht="10.050000000000001" customHeight="1" x14ac:dyDescent="0.2">
      <c r="A113" t="s">
        <v>100</v>
      </c>
      <c r="B113" s="83">
        <v>45723</v>
      </c>
      <c r="C113" s="84">
        <v>45723</v>
      </c>
      <c r="D113" s="351">
        <v>336</v>
      </c>
      <c r="E113" s="6" t="s">
        <v>138</v>
      </c>
      <c r="F113" s="82" t="s">
        <v>111</v>
      </c>
      <c r="G113" s="6" t="s">
        <v>199</v>
      </c>
      <c r="H113" t="s">
        <v>116</v>
      </c>
      <c r="I113" s="183"/>
      <c r="J113" s="238">
        <v>7360000</v>
      </c>
      <c r="K113" s="183">
        <f>+Tableau6[[#This Row],[MONTANT HT BIEN]]+Tableau6[[#This Row],[MONTANT HT SERVICE]]</f>
        <v>7360000</v>
      </c>
      <c r="L113" s="153">
        <v>0</v>
      </c>
      <c r="M113" s="184">
        <f>+IFERROR(IF(Tableau6[[#This Row],[CODE TVA]]="TVAF",Tableau6[[#This Row],[MONTANT HT]]*0.18,0),0)</f>
        <v>1324800</v>
      </c>
      <c r="N113" s="184">
        <f>Tableau6[[#This Row],[MONTANT HT]]+Tableau6[[#This Row],[TVA]]-Tableau6[[#This Row],[ACOMPTE SUR HT]]</f>
        <v>8684800</v>
      </c>
      <c r="O113" s="184"/>
      <c r="P113" s="184">
        <f>+ROUND(Tableau6[[#This Row],[MONTANT TTC]]-Tableau6[[#This Row],[ACOMPTE SUR TTC]],0)</f>
        <v>8684800</v>
      </c>
      <c r="Q113" s="11" t="s">
        <v>417</v>
      </c>
      <c r="R113" s="85">
        <f>IFERROR(INDEX(Tableau2[[ID BC UNIQUE]:[MONTANT HT VALIDE]],MATCH(Tableau6[[#This Row],[N° BC]],Tableau2[ID BC UNIQUE],0),6),0)</f>
        <v>7360000</v>
      </c>
      <c r="S113" s="87">
        <f>IFERROR(INDEX(Tableau2[[DATE]:[DELAIS DE PAIEMENT FACTURES EN JOUR]],MATCH(Tableau6[[#This Row],[N° BC]],Tableau2[ID BC UNIQUE],0),5),0)</f>
        <v>30</v>
      </c>
      <c r="T113" s="84">
        <f>IF(ISBLANK(Tableau6[[#This Row],[DATE DE DEPOT]]),"",Tableau6[[#This Row],[DATE DE DEPOT]]+Tableau6[[#This Row],[DELAI]])</f>
        <v>45753</v>
      </c>
      <c r="U113" s="87">
        <f ca="1">+IF(AND(W113=0,Tableau6[[#This Row],[DATE LIMITE]]&lt;TODAY()),TODAY()-Tableau6[[#This Row],[DATE LIMITE]],0)</f>
        <v>0</v>
      </c>
      <c r="V113"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13" s="89">
        <f>SUMIF(Tableau3[FACTURE],Tableau6[[#This Row],[NUM DE FACTURE]],Tableau3[MONTANT TTC])</f>
        <v>8684800</v>
      </c>
      <c r="X113" s="84"/>
      <c r="Y113" s="161">
        <f>+Tableau6[[#This Row],[NET A PAYER]]-Tableau6[[#This Row],[MONTANT PAYE]]</f>
        <v>0</v>
      </c>
      <c r="Z113" s="82"/>
    </row>
    <row r="114" spans="1:26" ht="10.050000000000001" customHeight="1" x14ac:dyDescent="0.2">
      <c r="A114" t="s">
        <v>100</v>
      </c>
      <c r="B114" s="83">
        <v>45723</v>
      </c>
      <c r="C114" s="84">
        <v>45723</v>
      </c>
      <c r="D114" s="351">
        <v>337</v>
      </c>
      <c r="E114" s="6" t="s">
        <v>138</v>
      </c>
      <c r="F114" s="82" t="s">
        <v>111</v>
      </c>
      <c r="G114" s="6" t="s">
        <v>212</v>
      </c>
      <c r="H114" t="s">
        <v>116</v>
      </c>
      <c r="I114" s="183"/>
      <c r="J114" s="238">
        <v>6000000</v>
      </c>
      <c r="K114" s="183">
        <f>+Tableau6[[#This Row],[MONTANT HT BIEN]]+Tableau6[[#This Row],[MONTANT HT SERVICE]]</f>
        <v>6000000</v>
      </c>
      <c r="L114" s="153">
        <v>0</v>
      </c>
      <c r="M114" s="184">
        <f>+IFERROR(IF(Tableau6[[#This Row],[CODE TVA]]="TVAF",Tableau6[[#This Row],[MONTANT HT]]*0.18,0),0)</f>
        <v>1080000</v>
      </c>
      <c r="N114" s="184">
        <f>Tableau6[[#This Row],[MONTANT HT]]+Tableau6[[#This Row],[TVA]]-Tableau6[[#This Row],[ACOMPTE SUR HT]]</f>
        <v>7080000</v>
      </c>
      <c r="O114" s="184"/>
      <c r="P114" s="184">
        <f>+ROUND(Tableau6[[#This Row],[MONTANT TTC]]-Tableau6[[#This Row],[ACOMPTE SUR TTC]],0)</f>
        <v>7080000</v>
      </c>
      <c r="Q114" s="11" t="s">
        <v>416</v>
      </c>
      <c r="R114" s="85">
        <f>IFERROR(INDEX(Tableau2[[ID BC UNIQUE]:[MONTANT HT VALIDE]],MATCH(Tableau6[[#This Row],[N° BC]],Tableau2[ID BC UNIQUE],0),6),0)</f>
        <v>6000000</v>
      </c>
      <c r="S114" s="87">
        <f>IFERROR(INDEX(Tableau2[[DATE]:[DELAIS DE PAIEMENT FACTURES EN JOUR]],MATCH(Tableau6[[#This Row],[N° BC]],Tableau2[ID BC UNIQUE],0),5),0)</f>
        <v>30</v>
      </c>
      <c r="T114" s="84">
        <f>IF(ISBLANK(Tableau6[[#This Row],[DATE DE DEPOT]]),"",Tableau6[[#This Row],[DATE DE DEPOT]]+Tableau6[[#This Row],[DELAI]])</f>
        <v>45753</v>
      </c>
      <c r="U114" s="87">
        <f ca="1">+IF(AND(W114=0,Tableau6[[#This Row],[DATE LIMITE]]&lt;TODAY()),TODAY()-Tableau6[[#This Row],[DATE LIMITE]],0)</f>
        <v>0</v>
      </c>
      <c r="V114"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14" s="89">
        <f>SUMIF(Tableau3[FACTURE],Tableau6[[#This Row],[NUM DE FACTURE]],Tableau3[MONTANT TTC])</f>
        <v>7080000</v>
      </c>
      <c r="X114" s="84"/>
      <c r="Y114" s="161">
        <f>+Tableau6[[#This Row],[NET A PAYER]]-Tableau6[[#This Row],[MONTANT PAYE]]</f>
        <v>0</v>
      </c>
      <c r="Z114" s="82"/>
    </row>
    <row r="115" spans="1:26" ht="10.050000000000001" customHeight="1" x14ac:dyDescent="0.2">
      <c r="A115" t="s">
        <v>100</v>
      </c>
      <c r="B115" s="83">
        <v>45728</v>
      </c>
      <c r="C115" s="84">
        <v>45728</v>
      </c>
      <c r="D115" s="472">
        <v>338</v>
      </c>
      <c r="E115" s="6" t="s">
        <v>138</v>
      </c>
      <c r="F115" s="82" t="s">
        <v>112</v>
      </c>
      <c r="G115" s="6"/>
      <c r="H115" t="s">
        <v>116</v>
      </c>
      <c r="I115" s="183"/>
      <c r="J115" s="238">
        <v>-320000</v>
      </c>
      <c r="K115" s="183">
        <f>+Tableau6[[#This Row],[MONTANT HT BIEN]]+Tableau6[[#This Row],[MONTANT HT SERVICE]]</f>
        <v>-320000</v>
      </c>
      <c r="L115" s="153">
        <v>0</v>
      </c>
      <c r="M115" s="184">
        <f>+IFERROR(IF(Tableau6[[#This Row],[CODE TVA]]="TVAF",Tableau6[[#This Row],[MONTANT HT]]*0.18,0),0)</f>
        <v>-57600</v>
      </c>
      <c r="N115" s="184">
        <f>Tableau6[[#This Row],[MONTANT HT]]+Tableau6[[#This Row],[TVA]]-Tableau6[[#This Row],[ACOMPTE SUR HT]]</f>
        <v>-377600</v>
      </c>
      <c r="O115" s="184"/>
      <c r="P115" s="184">
        <f>+ROUND(Tableau6[[#This Row],[MONTANT TTC]]-Tableau6[[#This Row],[ACOMPTE SUR TTC]],0)</f>
        <v>-377600</v>
      </c>
      <c r="Q115" s="11" t="s">
        <v>415</v>
      </c>
      <c r="R115" s="85">
        <f>IFERROR(INDEX(Tableau2[[ID BC UNIQUE]:[MONTANT HT VALIDE]],MATCH(Tableau6[[#This Row],[N° BC]],Tableau2[ID BC UNIQUE],0),6),0)</f>
        <v>1534000</v>
      </c>
      <c r="S115" s="87">
        <f>IFERROR(INDEX(Tableau2[[DATE]:[DELAIS DE PAIEMENT FACTURES EN JOUR]],MATCH(Tableau6[[#This Row],[N° BC]],Tableau2[ID BC UNIQUE],0),5),0)</f>
        <v>30</v>
      </c>
      <c r="T115" s="84">
        <f>IF(ISBLANK(Tableau6[[#This Row],[DATE DE DEPOT]]),"",Tableau6[[#This Row],[DATE DE DEPOT]]+Tableau6[[#This Row],[DELAI]])</f>
        <v>45758</v>
      </c>
      <c r="U115" s="87">
        <f ca="1">+IF(AND(W115=0,Tableau6[[#This Row],[DATE LIMITE]]&lt;TODAY()),TODAY()-Tableau6[[#This Row],[DATE LIMITE]],0)</f>
        <v>358</v>
      </c>
      <c r="V115"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AVOIR PARTIEL</v>
      </c>
      <c r="W115" s="89">
        <f>SUMIF(Tableau3[FACTURE],Tableau6[[#This Row],[NUM DE FACTURE]],Tableau3[MONTANT TTC])</f>
        <v>0</v>
      </c>
      <c r="X115" s="84"/>
      <c r="Y115" s="161">
        <f>+Tableau6[[#This Row],[NET A PAYER]]-Tableau6[[#This Row],[MONTANT PAYE]]</f>
        <v>-377600</v>
      </c>
      <c r="Z115" s="82"/>
    </row>
    <row r="116" spans="1:26" ht="10.050000000000001" customHeight="1" x14ac:dyDescent="0.2">
      <c r="A116" t="s">
        <v>100</v>
      </c>
      <c r="B116" s="83">
        <v>45728</v>
      </c>
      <c r="C116" s="84">
        <v>45728</v>
      </c>
      <c r="D116" s="351">
        <v>340</v>
      </c>
      <c r="E116" s="6" t="s">
        <v>138</v>
      </c>
      <c r="F116" s="82" t="s">
        <v>111</v>
      </c>
      <c r="G116" s="6" t="s">
        <v>333</v>
      </c>
      <c r="H116" t="s">
        <v>116</v>
      </c>
      <c r="I116" s="183"/>
      <c r="J116" s="238">
        <v>250000</v>
      </c>
      <c r="K116" s="183">
        <f>+Tableau6[[#This Row],[MONTANT HT BIEN]]+Tableau6[[#This Row],[MONTANT HT SERVICE]]</f>
        <v>250000</v>
      </c>
      <c r="L116" s="153">
        <v>0</v>
      </c>
      <c r="M116" s="184">
        <f>+IFERROR(IF(Tableau6[[#This Row],[CODE TVA]]="TVAF",Tableau6[[#This Row],[MONTANT HT]]*0.18,0),0)</f>
        <v>45000</v>
      </c>
      <c r="N116" s="184">
        <f>Tableau6[[#This Row],[MONTANT HT]]+Tableau6[[#This Row],[TVA]]-Tableau6[[#This Row],[ACOMPTE SUR HT]]</f>
        <v>295000</v>
      </c>
      <c r="O116" s="184"/>
      <c r="P116" s="184">
        <f>+ROUND(Tableau6[[#This Row],[MONTANT TTC]]-Tableau6[[#This Row],[ACOMPTE SUR TTC]],0)</f>
        <v>295000</v>
      </c>
      <c r="Q116" s="86" t="s">
        <v>414</v>
      </c>
      <c r="R116" s="85">
        <f>IFERROR(INDEX(Tableau2[[ID BC UNIQUE]:[MONTANT HT VALIDE]],MATCH(Tableau6[[#This Row],[N° BC]],Tableau2[ID BC UNIQUE],0),6),0)</f>
        <v>250000</v>
      </c>
      <c r="S116" s="87">
        <f>IFERROR(INDEX(Tableau2[[DATE]:[DELAIS DE PAIEMENT FACTURES EN JOUR]],MATCH(Tableau6[[#This Row],[N° BC]],Tableau2[ID BC UNIQUE],0),5),0)</f>
        <v>30</v>
      </c>
      <c r="T116" s="84">
        <f>IF(ISBLANK(Tableau6[[#This Row],[DATE DE DEPOT]]),"",Tableau6[[#This Row],[DATE DE DEPOT]]+Tableau6[[#This Row],[DELAI]])</f>
        <v>45758</v>
      </c>
      <c r="U116" s="87">
        <f ca="1">+IF(AND(W116=0,Tableau6[[#This Row],[DATE LIMITE]]&lt;TODAY()),TODAY()-Tableau6[[#This Row],[DATE LIMITE]],0)</f>
        <v>0</v>
      </c>
      <c r="V116"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16" s="89">
        <f>SUMIF(Tableau3[FACTURE],Tableau6[[#This Row],[NUM DE FACTURE]],Tableau3[MONTANT TTC])</f>
        <v>295000</v>
      </c>
      <c r="X116" s="84"/>
      <c r="Y116" s="161">
        <f>+Tableau6[[#This Row],[NET A PAYER]]-Tableau6[[#This Row],[MONTANT PAYE]]</f>
        <v>0</v>
      </c>
      <c r="Z116" s="82"/>
    </row>
    <row r="117" spans="1:26" ht="10.050000000000001" customHeight="1" x14ac:dyDescent="0.2">
      <c r="A117" t="s">
        <v>100</v>
      </c>
      <c r="B117" s="83">
        <v>45729</v>
      </c>
      <c r="C117" s="84">
        <v>45730</v>
      </c>
      <c r="D117" s="351">
        <v>344</v>
      </c>
      <c r="E117" s="6" t="s">
        <v>138</v>
      </c>
      <c r="F117" s="82" t="s">
        <v>110</v>
      </c>
      <c r="G117" s="6" t="s">
        <v>184</v>
      </c>
      <c r="H117" t="s">
        <v>116</v>
      </c>
      <c r="I117" s="183"/>
      <c r="J117" s="238">
        <v>17025000</v>
      </c>
      <c r="K117" s="183">
        <f>+Tableau6[[#This Row],[MONTANT HT BIEN]]+Tableau6[[#This Row],[MONTANT HT SERVICE]]</f>
        <v>17025000</v>
      </c>
      <c r="L117" s="153">
        <v>0</v>
      </c>
      <c r="M117" s="184">
        <f>+IFERROR(IF(Tableau6[[#This Row],[CODE TVA]]="TVAF",Tableau6[[#This Row],[MONTANT HT]]*0.18,0),0)</f>
        <v>3064500</v>
      </c>
      <c r="N117" s="184">
        <f>Tableau6[[#This Row],[MONTANT HT]]+Tableau6[[#This Row],[TVA]]-Tableau6[[#This Row],[ACOMPTE SUR HT]]</f>
        <v>20089500</v>
      </c>
      <c r="O117" s="184"/>
      <c r="P117" s="184">
        <f>+ROUND(Tableau6[[#This Row],[MONTANT TTC]]-Tableau6[[#This Row],[ACOMPTE SUR TTC]],0)</f>
        <v>20089500</v>
      </c>
      <c r="Q117" s="86" t="s">
        <v>411</v>
      </c>
      <c r="R117" s="85">
        <f>IFERROR(INDEX(Tableau2[[ID BC UNIQUE]:[MONTANT HT VALIDE]],MATCH(Tableau6[[#This Row],[N° BC]],Tableau2[ID BC UNIQUE],0),6),0)</f>
        <v>17025000</v>
      </c>
      <c r="S117" s="87">
        <f>IFERROR(INDEX(Tableau2[[DATE]:[DELAIS DE PAIEMENT FACTURES EN JOUR]],MATCH(Tableau6[[#This Row],[N° BC]],Tableau2[ID BC UNIQUE],0),5),0)</f>
        <v>30</v>
      </c>
      <c r="T117" s="84">
        <f>IF(ISBLANK(Tableau6[[#This Row],[DATE DE DEPOT]]),"",Tableau6[[#This Row],[DATE DE DEPOT]]+Tableau6[[#This Row],[DELAI]])</f>
        <v>45760</v>
      </c>
      <c r="U117" s="87">
        <f ca="1">+IF(AND(W117=0,Tableau6[[#This Row],[DATE LIMITE]]&lt;TODAY()),TODAY()-Tableau6[[#This Row],[DATE LIMITE]],0)</f>
        <v>0</v>
      </c>
      <c r="V117"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17" s="89">
        <f>SUMIF(Tableau3[FACTURE],Tableau6[[#This Row],[NUM DE FACTURE]],Tableau3[MONTANT TTC])</f>
        <v>20089500</v>
      </c>
      <c r="X117" s="84"/>
      <c r="Y117" s="161">
        <f>+Tableau6[[#This Row],[NET A PAYER]]-Tableau6[[#This Row],[MONTANT PAYE]]</f>
        <v>0</v>
      </c>
      <c r="Z117" s="82"/>
    </row>
    <row r="118" spans="1:26" ht="10.050000000000001" customHeight="1" x14ac:dyDescent="0.2">
      <c r="A118" t="s">
        <v>100</v>
      </c>
      <c r="B118" s="83">
        <v>45729</v>
      </c>
      <c r="C118" s="84">
        <v>45729</v>
      </c>
      <c r="D118" s="351">
        <v>346</v>
      </c>
      <c r="E118" s="6" t="s">
        <v>138</v>
      </c>
      <c r="F118" s="82" t="s">
        <v>111</v>
      </c>
      <c r="G118" s="6" t="s">
        <v>332</v>
      </c>
      <c r="H118" t="s">
        <v>116</v>
      </c>
      <c r="I118" s="183"/>
      <c r="J118" s="238">
        <v>250000</v>
      </c>
      <c r="K118" s="183">
        <f>+Tableau6[[#This Row],[MONTANT HT BIEN]]+Tableau6[[#This Row],[MONTANT HT SERVICE]]</f>
        <v>250000</v>
      </c>
      <c r="L118" s="153">
        <v>0</v>
      </c>
      <c r="M118" s="184">
        <f>+IFERROR(IF(Tableau6[[#This Row],[CODE TVA]]="TVAF",Tableau6[[#This Row],[MONTANT HT]]*0.18,0),0)</f>
        <v>45000</v>
      </c>
      <c r="N118" s="184">
        <f>Tableau6[[#This Row],[MONTANT HT]]+Tableau6[[#This Row],[TVA]]-Tableau6[[#This Row],[ACOMPTE SUR HT]]</f>
        <v>295000</v>
      </c>
      <c r="O118" s="184"/>
      <c r="P118" s="184">
        <f>+ROUND(Tableau6[[#This Row],[MONTANT TTC]]-Tableau6[[#This Row],[ACOMPTE SUR TTC]],0)</f>
        <v>295000</v>
      </c>
      <c r="Q118" s="11" t="s">
        <v>410</v>
      </c>
      <c r="R118" s="85">
        <f>IFERROR(INDEX(Tableau2[[ID BC UNIQUE]:[MONTANT HT VALIDE]],MATCH(Tableau6[[#This Row],[N° BC]],Tableau2[ID BC UNIQUE],0),6),0)</f>
        <v>250000</v>
      </c>
      <c r="S118" s="87">
        <f>IFERROR(INDEX(Tableau2[[DATE]:[DELAIS DE PAIEMENT FACTURES EN JOUR]],MATCH(Tableau6[[#This Row],[N° BC]],Tableau2[ID BC UNIQUE],0),5),0)</f>
        <v>30</v>
      </c>
      <c r="T118" s="84">
        <f>IF(ISBLANK(Tableau6[[#This Row],[DATE DE DEPOT]]),"",Tableau6[[#This Row],[DATE DE DEPOT]]+Tableau6[[#This Row],[DELAI]])</f>
        <v>45759</v>
      </c>
      <c r="U118" s="87">
        <f ca="1">+IF(AND(W118=0,Tableau6[[#This Row],[DATE LIMITE]]&lt;TODAY()),TODAY()-Tableau6[[#This Row],[DATE LIMITE]],0)</f>
        <v>0</v>
      </c>
      <c r="V118"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18" s="89">
        <f>SUMIF(Tableau3[FACTURE],Tableau6[[#This Row],[NUM DE FACTURE]],Tableau3[MONTANT TTC])</f>
        <v>295000</v>
      </c>
      <c r="X118" s="84"/>
      <c r="Y118" s="161">
        <f>+Tableau6[[#This Row],[NET A PAYER]]-Tableau6[[#This Row],[MONTANT PAYE]]</f>
        <v>0</v>
      </c>
      <c r="Z118" s="82"/>
    </row>
    <row r="119" spans="1:26" ht="10.050000000000001" customHeight="1" x14ac:dyDescent="0.2">
      <c r="A119" t="s">
        <v>100</v>
      </c>
      <c r="B119" s="83">
        <v>45730</v>
      </c>
      <c r="C119" s="84">
        <v>45730</v>
      </c>
      <c r="D119" s="351">
        <v>341</v>
      </c>
      <c r="E119" s="6" t="s">
        <v>138</v>
      </c>
      <c r="F119" s="82" t="s">
        <v>111</v>
      </c>
      <c r="G119" s="6" t="s">
        <v>199</v>
      </c>
      <c r="H119" t="s">
        <v>116</v>
      </c>
      <c r="I119" s="183"/>
      <c r="J119" s="238">
        <v>660000</v>
      </c>
      <c r="K119" s="183">
        <f>+Tableau6[[#This Row],[MONTANT HT BIEN]]+Tableau6[[#This Row],[MONTANT HT SERVICE]]</f>
        <v>660000</v>
      </c>
      <c r="L119" s="153">
        <v>0</v>
      </c>
      <c r="M119" s="184">
        <f>+IFERROR(IF(Tableau6[[#This Row],[CODE TVA]]="TVAF",Tableau6[[#This Row],[MONTANT HT]]*0.18,0),0)</f>
        <v>118800</v>
      </c>
      <c r="N119" s="184">
        <f>Tableau6[[#This Row],[MONTANT HT]]+Tableau6[[#This Row],[TVA]]-Tableau6[[#This Row],[ACOMPTE SUR HT]]</f>
        <v>778800</v>
      </c>
      <c r="O119" s="184"/>
      <c r="P119" s="184">
        <f>+ROUND(Tableau6[[#This Row],[MONTANT TTC]]-Tableau6[[#This Row],[ACOMPTE SUR TTC]],0)</f>
        <v>778800</v>
      </c>
      <c r="Q119" s="11" t="s">
        <v>412</v>
      </c>
      <c r="R119" s="85">
        <f>IFERROR(INDEX(Tableau2[[ID BC UNIQUE]:[MONTANT HT VALIDE]],MATCH(Tableau6[[#This Row],[N° BC]],Tableau2[ID BC UNIQUE],0),6),0)</f>
        <v>660000</v>
      </c>
      <c r="S119" s="87">
        <f>IFERROR(INDEX(Tableau2[[DATE]:[DELAIS DE PAIEMENT FACTURES EN JOUR]],MATCH(Tableau6[[#This Row],[N° BC]],Tableau2[ID BC UNIQUE],0),5),0)</f>
        <v>30</v>
      </c>
      <c r="T119" s="84">
        <f>IF(ISBLANK(Tableau6[[#This Row],[DATE DE DEPOT]]),"",Tableau6[[#This Row],[DATE DE DEPOT]]+Tableau6[[#This Row],[DELAI]])</f>
        <v>45760</v>
      </c>
      <c r="U119" s="87">
        <f ca="1">+IF(AND(W119=0,Tableau6[[#This Row],[DATE LIMITE]]&lt;TODAY()),TODAY()-Tableau6[[#This Row],[DATE LIMITE]],0)</f>
        <v>0</v>
      </c>
      <c r="V119"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19" s="89">
        <f>SUMIF(Tableau3[FACTURE],Tableau6[[#This Row],[NUM DE FACTURE]],Tableau3[MONTANT TTC])</f>
        <v>778800</v>
      </c>
      <c r="X119" s="84"/>
      <c r="Y119" s="161">
        <f>+Tableau6[[#This Row],[NET A PAYER]]-Tableau6[[#This Row],[MONTANT PAYE]]</f>
        <v>0</v>
      </c>
      <c r="Z119" s="82"/>
    </row>
    <row r="120" spans="1:26" ht="10.050000000000001" customHeight="1" x14ac:dyDescent="0.2">
      <c r="A120" t="s">
        <v>100</v>
      </c>
      <c r="B120" s="83">
        <v>45730</v>
      </c>
      <c r="C120" s="84">
        <v>45730</v>
      </c>
      <c r="D120" s="351">
        <v>342</v>
      </c>
      <c r="E120" s="6" t="s">
        <v>138</v>
      </c>
      <c r="F120" s="82" t="s">
        <v>111</v>
      </c>
      <c r="G120" s="6" t="s">
        <v>176</v>
      </c>
      <c r="H120" t="s">
        <v>116</v>
      </c>
      <c r="I120" s="183"/>
      <c r="J120" s="238">
        <v>2160000</v>
      </c>
      <c r="K120" s="183">
        <f>+Tableau6[[#This Row],[MONTANT HT BIEN]]+Tableau6[[#This Row],[MONTANT HT SERVICE]]</f>
        <v>2160000</v>
      </c>
      <c r="L120" s="153">
        <v>0</v>
      </c>
      <c r="M120" s="184">
        <f>+IFERROR(IF(Tableau6[[#This Row],[CODE TVA]]="TVAF",Tableau6[[#This Row],[MONTANT HT]]*0.18,0),0)</f>
        <v>388800</v>
      </c>
      <c r="N120" s="184">
        <f>Tableau6[[#This Row],[MONTANT HT]]+Tableau6[[#This Row],[TVA]]-Tableau6[[#This Row],[ACOMPTE SUR HT]]</f>
        <v>2548800</v>
      </c>
      <c r="O120" s="184"/>
      <c r="P120" s="184">
        <f>+ROUND(Tableau6[[#This Row],[MONTANT TTC]]-Tableau6[[#This Row],[ACOMPTE SUR TTC]],0)</f>
        <v>2548800</v>
      </c>
      <c r="Q120" s="11" t="s">
        <v>413</v>
      </c>
      <c r="R120" s="85">
        <f>IFERROR(INDEX(Tableau2[[ID BC UNIQUE]:[MONTANT HT VALIDE]],MATCH(Tableau6[[#This Row],[N° BC]],Tableau2[ID BC UNIQUE],0),6),0)</f>
        <v>2160000</v>
      </c>
      <c r="S120" s="87">
        <f>IFERROR(INDEX(Tableau2[[DATE]:[DELAIS DE PAIEMENT FACTURES EN JOUR]],MATCH(Tableau6[[#This Row],[N° BC]],Tableau2[ID BC UNIQUE],0),5),0)</f>
        <v>30</v>
      </c>
      <c r="T120" s="84">
        <f>IF(ISBLANK(Tableau6[[#This Row],[DATE DE DEPOT]]),"",Tableau6[[#This Row],[DATE DE DEPOT]]+Tableau6[[#This Row],[DELAI]])</f>
        <v>45760</v>
      </c>
      <c r="U120" s="87">
        <f ca="1">+IF(AND(W120=0,Tableau6[[#This Row],[DATE LIMITE]]&lt;TODAY()),TODAY()-Tableau6[[#This Row],[DATE LIMITE]],0)</f>
        <v>0</v>
      </c>
      <c r="V120"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20" s="89">
        <f>SUMIF(Tableau3[FACTURE],Tableau6[[#This Row],[NUM DE FACTURE]],Tableau3[MONTANT TTC])</f>
        <v>2548800</v>
      </c>
      <c r="X120" s="84"/>
      <c r="Y120" s="161">
        <f>+Tableau6[[#This Row],[NET A PAYER]]-Tableau6[[#This Row],[MONTANT PAYE]]</f>
        <v>0</v>
      </c>
      <c r="Z120" s="82"/>
    </row>
    <row r="121" spans="1:26" ht="10.050000000000001" customHeight="1" x14ac:dyDescent="0.2">
      <c r="A121" t="s">
        <v>100</v>
      </c>
      <c r="B121" s="83">
        <v>45736</v>
      </c>
      <c r="C121" s="84">
        <v>45736</v>
      </c>
      <c r="D121" s="351">
        <v>348</v>
      </c>
      <c r="E121" s="6" t="s">
        <v>138</v>
      </c>
      <c r="F121" s="82" t="s">
        <v>111</v>
      </c>
      <c r="G121" s="6" t="s">
        <v>169</v>
      </c>
      <c r="H121" t="s">
        <v>116</v>
      </c>
      <c r="I121" s="183"/>
      <c r="J121" s="238">
        <v>1050000</v>
      </c>
      <c r="K121" s="183">
        <f>+Tableau6[[#This Row],[MONTANT HT BIEN]]+Tableau6[[#This Row],[MONTANT HT SERVICE]]</f>
        <v>1050000</v>
      </c>
      <c r="L121" s="153">
        <v>0</v>
      </c>
      <c r="M121" s="184">
        <f>+IFERROR(IF(Tableau6[[#This Row],[CODE TVA]]="TVAF",Tableau6[[#This Row],[MONTANT HT]]*0.18,0),0)</f>
        <v>189000</v>
      </c>
      <c r="N121" s="184">
        <f>Tableau6[[#This Row],[MONTANT HT]]+Tableau6[[#This Row],[TVA]]-Tableau6[[#This Row],[ACOMPTE SUR HT]]</f>
        <v>1239000</v>
      </c>
      <c r="O121" s="184"/>
      <c r="P121" s="184">
        <f>+ROUND(Tableau6[[#This Row],[MONTANT TTC]]-Tableau6[[#This Row],[ACOMPTE SUR TTC]],0)</f>
        <v>1239000</v>
      </c>
      <c r="Q121" s="11" t="s">
        <v>409</v>
      </c>
      <c r="R121" s="85">
        <f>IFERROR(INDEX(Tableau2[[ID BC UNIQUE]:[MONTANT HT VALIDE]],MATCH(Tableau6[[#This Row],[N° BC]],Tableau2[ID BC UNIQUE],0),6),0)</f>
        <v>1050000</v>
      </c>
      <c r="S121" s="87">
        <f>IFERROR(INDEX(Tableau2[[DATE]:[DELAIS DE PAIEMENT FACTURES EN JOUR]],MATCH(Tableau6[[#This Row],[N° BC]],Tableau2[ID BC UNIQUE],0),5),0)</f>
        <v>30</v>
      </c>
      <c r="T121" s="84">
        <f>IF(ISBLANK(Tableau6[[#This Row],[DATE DE DEPOT]]),"",Tableau6[[#This Row],[DATE DE DEPOT]]+Tableau6[[#This Row],[DELAI]])</f>
        <v>45766</v>
      </c>
      <c r="U121" s="87">
        <f ca="1">+IF(AND(W121=0,Tableau6[[#This Row],[DATE LIMITE]]&lt;TODAY()),TODAY()-Tableau6[[#This Row],[DATE LIMITE]],0)</f>
        <v>0</v>
      </c>
      <c r="V121"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21" s="89">
        <f>SUMIF(Tableau3[FACTURE],Tableau6[[#This Row],[NUM DE FACTURE]],Tableau3[MONTANT TTC])</f>
        <v>1239000</v>
      </c>
      <c r="X121" s="84"/>
      <c r="Y121" s="161">
        <f>+Tableau6[[#This Row],[NET A PAYER]]-Tableau6[[#This Row],[MONTANT PAYE]]</f>
        <v>0</v>
      </c>
      <c r="Z121" s="82"/>
    </row>
    <row r="122" spans="1:26" ht="10.050000000000001" customHeight="1" x14ac:dyDescent="0.2">
      <c r="A122" t="s">
        <v>100</v>
      </c>
      <c r="B122" s="83">
        <v>45736</v>
      </c>
      <c r="C122" s="84">
        <v>45736</v>
      </c>
      <c r="D122" s="351">
        <v>349</v>
      </c>
      <c r="E122" s="6" t="s">
        <v>138</v>
      </c>
      <c r="F122" s="82" t="s">
        <v>111</v>
      </c>
      <c r="G122" s="6" t="s">
        <v>161</v>
      </c>
      <c r="H122" t="s">
        <v>116</v>
      </c>
      <c r="I122" s="183"/>
      <c r="J122" s="238">
        <v>990000</v>
      </c>
      <c r="K122" s="183">
        <f>+Tableau6[[#This Row],[MONTANT HT BIEN]]+Tableau6[[#This Row],[MONTANT HT SERVICE]]</f>
        <v>990000</v>
      </c>
      <c r="L122" s="153">
        <v>0</v>
      </c>
      <c r="M122" s="184">
        <f>+IFERROR(IF(Tableau6[[#This Row],[CODE TVA]]="TVAF",Tableau6[[#This Row],[MONTANT HT]]*0.18,0),0)</f>
        <v>178200</v>
      </c>
      <c r="N122" s="184">
        <f>Tableau6[[#This Row],[MONTANT HT]]+Tableau6[[#This Row],[TVA]]-Tableau6[[#This Row],[ACOMPTE SUR HT]]</f>
        <v>1168200</v>
      </c>
      <c r="O122" s="184"/>
      <c r="P122" s="184">
        <f>+ROUND(Tableau6[[#This Row],[MONTANT TTC]]-Tableau6[[#This Row],[ACOMPTE SUR TTC]],0)</f>
        <v>1168200</v>
      </c>
      <c r="Q122" s="11" t="s">
        <v>408</v>
      </c>
      <c r="R122" s="85">
        <f>IFERROR(INDEX(Tableau2[[ID BC UNIQUE]:[MONTANT HT VALIDE]],MATCH(Tableau6[[#This Row],[N° BC]],Tableau2[ID BC UNIQUE],0),6),0)</f>
        <v>990000</v>
      </c>
      <c r="S122" s="87">
        <f>IFERROR(INDEX(Tableau2[[DATE]:[DELAIS DE PAIEMENT FACTURES EN JOUR]],MATCH(Tableau6[[#This Row],[N° BC]],Tableau2[ID BC UNIQUE],0),5),0)</f>
        <v>30</v>
      </c>
      <c r="T122" s="84">
        <f>IF(ISBLANK(Tableau6[[#This Row],[DATE DE DEPOT]]),"",Tableau6[[#This Row],[DATE DE DEPOT]]+Tableau6[[#This Row],[DELAI]])</f>
        <v>45766</v>
      </c>
      <c r="U122" s="87">
        <f ca="1">+IF(AND(W122=0,Tableau6[[#This Row],[DATE LIMITE]]&lt;TODAY()),TODAY()-Tableau6[[#This Row],[DATE LIMITE]],0)</f>
        <v>0</v>
      </c>
      <c r="V122"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22" s="89">
        <f>SUMIF(Tableau3[FACTURE],Tableau6[[#This Row],[NUM DE FACTURE]],Tableau3[MONTANT TTC])</f>
        <v>1168200</v>
      </c>
      <c r="X122" s="84"/>
      <c r="Y122" s="161">
        <f>+Tableau6[[#This Row],[NET A PAYER]]-Tableau6[[#This Row],[MONTANT PAYE]]</f>
        <v>0</v>
      </c>
      <c r="Z122" s="82"/>
    </row>
    <row r="123" spans="1:26" ht="10.050000000000001" customHeight="1" x14ac:dyDescent="0.2">
      <c r="A123" t="s">
        <v>100</v>
      </c>
      <c r="B123" s="83">
        <v>45741</v>
      </c>
      <c r="C123" s="84">
        <v>45744</v>
      </c>
      <c r="D123" s="351">
        <v>352</v>
      </c>
      <c r="E123" s="6" t="s">
        <v>102</v>
      </c>
      <c r="F123" s="82" t="s">
        <v>111</v>
      </c>
      <c r="G123" t="e">
        <f>+INDEX(#REF!,MATCH(#REF!,Tableau6[N° BC],0),9)</f>
        <v>#REF!</v>
      </c>
      <c r="H123" t="s">
        <v>116</v>
      </c>
      <c r="I123" s="183">
        <v>21000000</v>
      </c>
      <c r="J123" s="238"/>
      <c r="K123" s="183">
        <f>+Tableau6[[#This Row],[MONTANT HT BIEN]]+Tableau6[[#This Row],[MONTANT HT SERVICE]]</f>
        <v>21000000</v>
      </c>
      <c r="L123" s="153">
        <v>0</v>
      </c>
      <c r="M123" s="184">
        <f>+IFERROR(IF(Tableau6[[#This Row],[CODE TVA]]="TVAF",Tableau6[[#This Row],[MONTANT HT]]*0.18,0),0)</f>
        <v>3780000</v>
      </c>
      <c r="N123" s="184">
        <f>Tableau6[[#This Row],[MONTANT HT]]+Tableau6[[#This Row],[TVA]]-Tableau6[[#This Row],[ACOMPTE SUR HT]]</f>
        <v>24780000</v>
      </c>
      <c r="O123" s="184"/>
      <c r="P123" s="184">
        <f>+ROUND(Tableau6[[#This Row],[MONTANT TTC]]-Tableau6[[#This Row],[ACOMPTE SUR TTC]],0)</f>
        <v>24780000</v>
      </c>
      <c r="Q123" s="11" t="s">
        <v>407</v>
      </c>
      <c r="R123" s="85">
        <f>IFERROR(INDEX(Tableau2[[ID BC UNIQUE]:[MONTANT HT VALIDE]],MATCH(Tableau6[[#This Row],[N° BC]],Tableau2[ID BC UNIQUE],0),6),0)</f>
        <v>21000000</v>
      </c>
      <c r="S123" s="87">
        <f>IFERROR(INDEX(Tableau2[[DATE]:[DELAIS DE PAIEMENT FACTURES EN JOUR]],MATCH(Tableau6[[#This Row],[N° BC]],Tableau2[ID BC UNIQUE],0),5),0)</f>
        <v>30</v>
      </c>
      <c r="T123" s="84">
        <f>IF(ISBLANK(Tableau6[[#This Row],[DATE DE DEPOT]]),"",Tableau6[[#This Row],[DATE DE DEPOT]]+Tableau6[[#This Row],[DELAI]])</f>
        <v>45774</v>
      </c>
      <c r="U123" s="87">
        <f ca="1">+IF(AND(W123=0,Tableau6[[#This Row],[DATE LIMITE]]&lt;TODAY()),TODAY()-Tableau6[[#This Row],[DATE LIMITE]],0)</f>
        <v>0</v>
      </c>
      <c r="V123"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23" s="89">
        <f>SUMIF(Tableau3[FACTURE],Tableau6[[#This Row],[NUM DE FACTURE]],Tableau3[MONTANT TTC])</f>
        <v>24780000</v>
      </c>
      <c r="X123" s="84"/>
      <c r="Y123" s="161">
        <f>+Tableau6[[#This Row],[NET A PAYER]]-Tableau6[[#This Row],[MONTANT PAYE]]</f>
        <v>0</v>
      </c>
      <c r="Z123" s="82"/>
    </row>
    <row r="124" spans="1:26" ht="10.050000000000001" customHeight="1" x14ac:dyDescent="0.2">
      <c r="A124" t="s">
        <v>100</v>
      </c>
      <c r="B124" s="83">
        <v>45742</v>
      </c>
      <c r="C124" s="84">
        <v>45742</v>
      </c>
      <c r="D124" s="351">
        <v>353</v>
      </c>
      <c r="E124" s="6" t="s">
        <v>103</v>
      </c>
      <c r="F124" s="82" t="s">
        <v>111</v>
      </c>
      <c r="G124" s="359"/>
      <c r="H124" t="s">
        <v>116</v>
      </c>
      <c r="I124" s="183"/>
      <c r="J124" s="238">
        <v>1710000</v>
      </c>
      <c r="K124" s="183">
        <f>+Tableau6[[#This Row],[MONTANT HT BIEN]]+Tableau6[[#This Row],[MONTANT HT SERVICE]]</f>
        <v>1710000</v>
      </c>
      <c r="L124" s="153">
        <v>0</v>
      </c>
      <c r="M124" s="184">
        <f>+IFERROR(IF(Tableau6[[#This Row],[CODE TVA]]="TVAF",Tableau6[[#This Row],[MONTANT HT]]*0.18,0),0)</f>
        <v>307800</v>
      </c>
      <c r="N124" s="184">
        <f>Tableau6[[#This Row],[MONTANT HT]]+Tableau6[[#This Row],[TVA]]-Tableau6[[#This Row],[ACOMPTE SUR HT]]</f>
        <v>2017800</v>
      </c>
      <c r="O124" s="184"/>
      <c r="P124" s="184">
        <f>+ROUND(Tableau6[[#This Row],[MONTANT TTC]]-Tableau6[[#This Row],[ACOMPTE SUR TTC]],0)</f>
        <v>2017800</v>
      </c>
      <c r="Q124" s="86"/>
      <c r="R124" s="85">
        <f>IFERROR(INDEX(Tableau2[[ID BC UNIQUE]:[MONTANT HT VALIDE]],MATCH(Tableau6[[#This Row],[N° BC]],Tableau2[ID BC UNIQUE],0),6),0)</f>
        <v>0</v>
      </c>
      <c r="S124" s="87">
        <f>IFERROR(INDEX(Tableau2[[DATE]:[DELAIS DE PAIEMENT FACTURES EN JOUR]],MATCH(Tableau6[[#This Row],[N° BC]],Tableau2[ID BC UNIQUE],0),5),0)</f>
        <v>0</v>
      </c>
      <c r="T124" s="84">
        <f>IF(ISBLANK(Tableau6[[#This Row],[DATE DE DEPOT]]),"",Tableau6[[#This Row],[DATE DE DEPOT]]+Tableau6[[#This Row],[DELAI]])</f>
        <v>45742</v>
      </c>
      <c r="U124" s="87">
        <f ca="1">+IF(AND(W124=0,Tableau6[[#This Row],[DATE LIMITE]]&lt;TODAY()),TODAY()-Tableau6[[#This Row],[DATE LIMITE]],0)</f>
        <v>0</v>
      </c>
      <c r="V124"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24" s="89">
        <f>SUMIF(Tableau3[FACTURE],Tableau6[[#This Row],[NUM DE FACTURE]],Tableau3[MONTANT TTC])</f>
        <v>2017800</v>
      </c>
      <c r="X124" s="84"/>
      <c r="Y124" s="161">
        <f>+Tableau6[[#This Row],[NET A PAYER]]-Tableau6[[#This Row],[MONTANT PAYE]]</f>
        <v>0</v>
      </c>
      <c r="Z124" s="82"/>
    </row>
    <row r="125" spans="1:26" ht="10.050000000000001" customHeight="1" x14ac:dyDescent="0.2">
      <c r="A125" t="s">
        <v>100</v>
      </c>
      <c r="B125" s="83">
        <v>45748</v>
      </c>
      <c r="C125" s="84">
        <v>45754</v>
      </c>
      <c r="D125" s="351">
        <v>354</v>
      </c>
      <c r="E125" s="6" t="s">
        <v>138</v>
      </c>
      <c r="F125" s="82" t="s">
        <v>111</v>
      </c>
      <c r="G125" s="153" t="s">
        <v>170</v>
      </c>
      <c r="H125" t="s">
        <v>116</v>
      </c>
      <c r="I125" s="183"/>
      <c r="J125" s="238">
        <v>4500000</v>
      </c>
      <c r="K125" s="183">
        <f>+Tableau6[[#This Row],[MONTANT HT BIEN]]+Tableau6[[#This Row],[MONTANT HT SERVICE]]</f>
        <v>4500000</v>
      </c>
      <c r="L125" s="153">
        <v>0</v>
      </c>
      <c r="M125" s="184">
        <f>+IFERROR(IF(Tableau6[[#This Row],[CODE TVA]]="TVAF",Tableau6[[#This Row],[MONTANT HT]]*0.18,0),0)</f>
        <v>810000</v>
      </c>
      <c r="N125" s="184">
        <f>Tableau6[[#This Row],[MONTANT HT]]+Tableau6[[#This Row],[TVA]]-Tableau6[[#This Row],[ACOMPTE SUR HT]]</f>
        <v>5310000</v>
      </c>
      <c r="O125" s="184"/>
      <c r="P125" s="184">
        <f>+ROUND(Tableau6[[#This Row],[MONTANT TTC]]-Tableau6[[#This Row],[ACOMPTE SUR TTC]],0)</f>
        <v>5310000</v>
      </c>
      <c r="Q125" s="11" t="s">
        <v>522</v>
      </c>
      <c r="R125" s="85">
        <f>IFERROR(INDEX(Tableau2[[ID BC UNIQUE]:[MONTANT HT VALIDE]],MATCH(Tableau6[[#This Row],[N° BC]],Tableau2[ID BC UNIQUE],0),6),0)</f>
        <v>4500000</v>
      </c>
      <c r="S125" s="87">
        <f>IFERROR(INDEX(Tableau2[[DATE]:[DELAIS DE PAIEMENT FACTURES EN JOUR]],MATCH(Tableau6[[#This Row],[N° BC]],Tableau2[ID BC UNIQUE],0),5),0)</f>
        <v>30</v>
      </c>
      <c r="T125" s="84">
        <f>IF(ISBLANK(Tableau6[[#This Row],[DATE DE DEPOT]]),"",Tableau6[[#This Row],[DATE DE DEPOT]]+Tableau6[[#This Row],[DELAI]])</f>
        <v>45784</v>
      </c>
      <c r="U125" s="87">
        <f ca="1">+IF(AND(W125=0,Tableau6[[#This Row],[DATE LIMITE]]&lt;TODAY()),TODAY()-Tableau6[[#This Row],[DATE LIMITE]],0)</f>
        <v>0</v>
      </c>
      <c r="V125"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25" s="89">
        <f>SUMIF(Tableau3[FACTURE],Tableau6[[#This Row],[NUM DE FACTURE]],Tableau3[MONTANT TTC])</f>
        <v>5310000</v>
      </c>
      <c r="X125" s="84"/>
      <c r="Y125" s="161">
        <f>+Tableau6[[#This Row],[NET A PAYER]]-Tableau6[[#This Row],[MONTANT PAYE]]</f>
        <v>0</v>
      </c>
      <c r="Z125" s="82"/>
    </row>
    <row r="126" spans="1:26" ht="10.050000000000001" customHeight="1" x14ac:dyDescent="0.2">
      <c r="A126" t="s">
        <v>100</v>
      </c>
      <c r="B126" s="3">
        <v>45750</v>
      </c>
      <c r="C126" s="7">
        <v>45750</v>
      </c>
      <c r="D126" s="352">
        <v>372</v>
      </c>
      <c r="E126" s="6" t="s">
        <v>102</v>
      </c>
      <c r="F126" t="s">
        <v>111</v>
      </c>
      <c r="G126" s="6" t="s">
        <v>426</v>
      </c>
      <c r="H126" t="s">
        <v>116</v>
      </c>
      <c r="I126" s="155"/>
      <c r="J126" s="233">
        <v>16770000</v>
      </c>
      <c r="K126" s="155">
        <f>+Tableau6[[#This Row],[MONTANT HT BIEN]]+Tableau6[[#This Row],[MONTANT HT SERVICE]]</f>
        <v>16770000</v>
      </c>
      <c r="L126" s="153">
        <v>0</v>
      </c>
      <c r="M126" s="153">
        <f>+IFERROR(IF(Tableau6[[#This Row],[CODE TVA]]="TVAF",Tableau6[[#This Row],[MONTANT HT]]*0.18,0),0)</f>
        <v>3018600</v>
      </c>
      <c r="N126" s="153">
        <f>Tableau6[[#This Row],[MONTANT HT]]+Tableau6[[#This Row],[TVA]]-Tableau6[[#This Row],[ACOMPTE SUR HT]]</f>
        <v>19788600</v>
      </c>
      <c r="O126" s="153"/>
      <c r="P126" s="153">
        <f>+ROUND(Tableau6[[#This Row],[MONTANT TTC]]-Tableau6[[#This Row],[ACOMPTE SUR TTC]],0)</f>
        <v>19788600</v>
      </c>
      <c r="Q126" s="11" t="s">
        <v>536</v>
      </c>
      <c r="R126" s="5">
        <f>IFERROR(INDEX(Tableau2[[ID BC UNIQUE]:[MONTANT HT VALIDE]],MATCH(Tableau6[[#This Row],[N° BC]],Tableau2[ID BC UNIQUE],0),6),0)</f>
        <v>16770000</v>
      </c>
      <c r="S126" s="25">
        <f>IFERROR(INDEX(Tableau2[[DATE]:[DELAIS DE PAIEMENT FACTURES EN JOUR]],MATCH(Tableau6[[#This Row],[N° BC]],Tableau2[ID BC UNIQUE],0),5),0)</f>
        <v>30</v>
      </c>
      <c r="T126" s="7">
        <f>IF(ISBLANK(Tableau6[[#This Row],[DATE DE DEPOT]]),"",Tableau6[[#This Row],[DATE DE DEPOT]]+Tableau6[[#This Row],[DELAI]])</f>
        <v>45780</v>
      </c>
      <c r="U126" s="25">
        <f ca="1">+IF(AND(W126=0,Tableau6[[#This Row],[DATE LIMITE]]&lt;TODAY()),TODAY()-Tableau6[[#This Row],[DATE LIMITE]],0)</f>
        <v>0</v>
      </c>
      <c r="V126"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26" s="23">
        <f>SUMIF(Tableau3[FACTURE],Tableau6[[#This Row],[NUM DE FACTURE]],Tableau3[MONTANT TTC])</f>
        <v>19788600</v>
      </c>
      <c r="X126" s="7"/>
      <c r="Y126" s="156">
        <f>+Tableau6[[#This Row],[NET A PAYER]]-Tableau6[[#This Row],[MONTANT PAYE]]</f>
        <v>0</v>
      </c>
      <c r="Z126"/>
    </row>
    <row r="127" spans="1:26" ht="10.050000000000001" customHeight="1" x14ac:dyDescent="0.2">
      <c r="A127" t="s">
        <v>100</v>
      </c>
      <c r="B127" s="83">
        <v>45754</v>
      </c>
      <c r="C127" s="84">
        <v>45754</v>
      </c>
      <c r="D127" s="351">
        <v>356</v>
      </c>
      <c r="E127" s="6" t="s">
        <v>138</v>
      </c>
      <c r="F127" s="82" t="s">
        <v>111</v>
      </c>
      <c r="G127" s="6" t="s">
        <v>334</v>
      </c>
      <c r="H127" t="s">
        <v>305</v>
      </c>
      <c r="I127" s="183"/>
      <c r="J127" s="238">
        <v>375000</v>
      </c>
      <c r="K127" s="183">
        <f>+Tableau6[[#This Row],[MONTANT HT BIEN]]+Tableau6[[#This Row],[MONTANT HT SERVICE]]</f>
        <v>375000</v>
      </c>
      <c r="L127" s="153">
        <v>0</v>
      </c>
      <c r="M127" s="184">
        <f>+IFERROR(IF(Tableau6[[#This Row],[CODE TVA]]="TVAF",Tableau6[[#This Row],[MONTANT HT]]*0.18,0),0)</f>
        <v>0</v>
      </c>
      <c r="N127" s="184">
        <f>Tableau6[[#This Row],[MONTANT HT]]+Tableau6[[#This Row],[TVA]]-Tableau6[[#This Row],[ACOMPTE SUR HT]]</f>
        <v>375000</v>
      </c>
      <c r="O127" s="184"/>
      <c r="P127" s="184">
        <f>+ROUND(Tableau6[[#This Row],[MONTANT TTC]]-Tableau6[[#This Row],[ACOMPTE SUR TTC]],0)</f>
        <v>375000</v>
      </c>
      <c r="Q127" s="11" t="s">
        <v>523</v>
      </c>
      <c r="R127" s="85">
        <f>IFERROR(INDEX(Tableau2[[ID BC UNIQUE]:[MONTANT HT VALIDE]],MATCH(Tableau6[[#This Row],[N° BC]],Tableau2[ID BC UNIQUE],0),6),0)</f>
        <v>375000</v>
      </c>
      <c r="S127" s="87">
        <f>IFERROR(INDEX(Tableau2[[DATE]:[DELAIS DE PAIEMENT FACTURES EN JOUR]],MATCH(Tableau6[[#This Row],[N° BC]],Tableau2[ID BC UNIQUE],0),5),0)</f>
        <v>30</v>
      </c>
      <c r="T127" s="84">
        <f>IF(ISBLANK(Tableau6[[#This Row],[DATE DE DEPOT]]),"",Tableau6[[#This Row],[DATE DE DEPOT]]+Tableau6[[#This Row],[DELAI]])</f>
        <v>45784</v>
      </c>
      <c r="U127" s="87">
        <f ca="1">+IF(AND(W127=0,Tableau6[[#This Row],[DATE LIMITE]]&lt;TODAY()),TODAY()-Tableau6[[#This Row],[DATE LIMITE]],0)</f>
        <v>0</v>
      </c>
      <c r="V127"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27" s="89">
        <f>SUMIF(Tableau3[FACTURE],Tableau6[[#This Row],[NUM DE FACTURE]],Tableau3[MONTANT TTC])</f>
        <v>375000</v>
      </c>
      <c r="X127" s="84"/>
      <c r="Y127" s="161">
        <f>+Tableau6[[#This Row],[NET A PAYER]]-Tableau6[[#This Row],[MONTANT PAYE]]</f>
        <v>0</v>
      </c>
      <c r="Z127" s="82"/>
    </row>
    <row r="128" spans="1:26" x14ac:dyDescent="0.2">
      <c r="A128" t="s">
        <v>100</v>
      </c>
      <c r="B128" s="83">
        <v>45754</v>
      </c>
      <c r="C128" s="84">
        <v>45754</v>
      </c>
      <c r="D128" s="351">
        <v>357</v>
      </c>
      <c r="E128" s="6" t="s">
        <v>138</v>
      </c>
      <c r="F128" s="82" t="s">
        <v>111</v>
      </c>
      <c r="G128" s="6" t="s">
        <v>199</v>
      </c>
      <c r="H128" t="s">
        <v>116</v>
      </c>
      <c r="I128" s="183"/>
      <c r="J128" s="238">
        <v>5000000</v>
      </c>
      <c r="K128" s="183">
        <f>+Tableau6[[#This Row],[MONTANT HT BIEN]]+Tableau6[[#This Row],[MONTANT HT SERVICE]]</f>
        <v>5000000</v>
      </c>
      <c r="L128" s="153">
        <v>0</v>
      </c>
      <c r="M128" s="184">
        <f>+IFERROR(IF(Tableau6[[#This Row],[CODE TVA]]="TVAF",Tableau6[[#This Row],[MONTANT HT]]*0.18,0),0)</f>
        <v>900000</v>
      </c>
      <c r="N128" s="184">
        <f>Tableau6[[#This Row],[MONTANT HT]]+Tableau6[[#This Row],[TVA]]-Tableau6[[#This Row],[ACOMPTE SUR HT]]</f>
        <v>5900000</v>
      </c>
      <c r="O128" s="184"/>
      <c r="P128" s="184">
        <f>+ROUND(Tableau6[[#This Row],[MONTANT TTC]]-Tableau6[[#This Row],[ACOMPTE SUR TTC]],0)</f>
        <v>5900000</v>
      </c>
      <c r="Q128" s="11" t="s">
        <v>524</v>
      </c>
      <c r="R128" s="85">
        <f>IFERROR(INDEX(Tableau2[[ID BC UNIQUE]:[MONTANT HT VALIDE]],MATCH(Tableau6[[#This Row],[N° BC]],Tableau2[ID BC UNIQUE],0),6),0)</f>
        <v>5000000</v>
      </c>
      <c r="S128" s="87">
        <f>IFERROR(INDEX(Tableau2[[DATE]:[DELAIS DE PAIEMENT FACTURES EN JOUR]],MATCH(Tableau6[[#This Row],[N° BC]],Tableau2[ID BC UNIQUE],0),5),0)</f>
        <v>30</v>
      </c>
      <c r="T128" s="84">
        <f>IF(ISBLANK(Tableau6[[#This Row],[DATE DE DEPOT]]),"",Tableau6[[#This Row],[DATE DE DEPOT]]+Tableau6[[#This Row],[DELAI]])</f>
        <v>45784</v>
      </c>
      <c r="U128" s="87">
        <f ca="1">+IF(AND(W128=0,Tableau6[[#This Row],[DATE LIMITE]]&lt;TODAY()),TODAY()-Tableau6[[#This Row],[DATE LIMITE]],0)</f>
        <v>0</v>
      </c>
      <c r="V128"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28" s="89">
        <f>SUMIF(Tableau3[FACTURE],Tableau6[[#This Row],[NUM DE FACTURE]],Tableau3[MONTANT TTC])</f>
        <v>5900000</v>
      </c>
      <c r="X128" s="84"/>
      <c r="Y128" s="161">
        <f>+Tableau6[[#This Row],[NET A PAYER]]-Tableau6[[#This Row],[MONTANT PAYE]]</f>
        <v>0</v>
      </c>
      <c r="Z128" s="82"/>
    </row>
    <row r="129" spans="1:26" x14ac:dyDescent="0.2">
      <c r="A129" t="s">
        <v>100</v>
      </c>
      <c r="B129" s="83">
        <v>45754</v>
      </c>
      <c r="C129" s="84">
        <v>45754</v>
      </c>
      <c r="D129" s="351">
        <v>359</v>
      </c>
      <c r="E129" s="6" t="s">
        <v>138</v>
      </c>
      <c r="F129" s="82" t="s">
        <v>111</v>
      </c>
      <c r="G129" s="6" t="s">
        <v>199</v>
      </c>
      <c r="H129" t="s">
        <v>116</v>
      </c>
      <c r="I129" s="183"/>
      <c r="J129" s="238">
        <v>8250000</v>
      </c>
      <c r="K129" s="183">
        <f>+Tableau6[[#This Row],[MONTANT HT BIEN]]+Tableau6[[#This Row],[MONTANT HT SERVICE]]</f>
        <v>8250000</v>
      </c>
      <c r="L129" s="153">
        <v>0</v>
      </c>
      <c r="M129" s="184">
        <f>+IFERROR(IF(Tableau6[[#This Row],[CODE TVA]]="TVAF",Tableau6[[#This Row],[MONTANT HT]]*0.18,0),0)</f>
        <v>1485000</v>
      </c>
      <c r="N129" s="184">
        <f>Tableau6[[#This Row],[MONTANT HT]]+Tableau6[[#This Row],[TVA]]-Tableau6[[#This Row],[ACOMPTE SUR HT]]</f>
        <v>9735000</v>
      </c>
      <c r="O129" s="184"/>
      <c r="P129" s="184">
        <f>+ROUND(Tableau6[[#This Row],[MONTANT TTC]]-Tableau6[[#This Row],[ACOMPTE SUR TTC]],0)</f>
        <v>9735000</v>
      </c>
      <c r="Q129" s="11" t="s">
        <v>525</v>
      </c>
      <c r="R129" s="85">
        <f>IFERROR(INDEX(Tableau2[[ID BC UNIQUE]:[MONTANT HT VALIDE]],MATCH(Tableau6[[#This Row],[N° BC]],Tableau2[ID BC UNIQUE],0),6),0)</f>
        <v>8250000</v>
      </c>
      <c r="S129" s="87">
        <f>IFERROR(INDEX(Tableau2[[DATE]:[DELAIS DE PAIEMENT FACTURES EN JOUR]],MATCH(Tableau6[[#This Row],[N° BC]],Tableau2[ID BC UNIQUE],0),5),0)</f>
        <v>30</v>
      </c>
      <c r="T129" s="84">
        <f>IF(ISBLANK(Tableau6[[#This Row],[DATE DE DEPOT]]),"",Tableau6[[#This Row],[DATE DE DEPOT]]+Tableau6[[#This Row],[DELAI]])</f>
        <v>45784</v>
      </c>
      <c r="U129" s="87">
        <f ca="1">+IF(AND(W129=0,Tableau6[[#This Row],[DATE LIMITE]]&lt;TODAY()),TODAY()-Tableau6[[#This Row],[DATE LIMITE]],0)</f>
        <v>0</v>
      </c>
      <c r="V129"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29" s="89">
        <f>SUMIF(Tableau3[FACTURE],Tableau6[[#This Row],[NUM DE FACTURE]],Tableau3[MONTANT TTC])</f>
        <v>9735000</v>
      </c>
      <c r="X129" s="84"/>
      <c r="Y129" s="161">
        <f>+Tableau6[[#This Row],[NET A PAYER]]-Tableau6[[#This Row],[MONTANT PAYE]]</f>
        <v>0</v>
      </c>
      <c r="Z129" s="82"/>
    </row>
    <row r="130" spans="1:26" x14ac:dyDescent="0.2">
      <c r="A130" t="s">
        <v>100</v>
      </c>
      <c r="B130" s="83">
        <v>45754</v>
      </c>
      <c r="C130" s="84">
        <v>45754</v>
      </c>
      <c r="D130" s="351">
        <v>360</v>
      </c>
      <c r="E130" s="6" t="s">
        <v>138</v>
      </c>
      <c r="F130" s="82" t="s">
        <v>111</v>
      </c>
      <c r="G130" s="6" t="s">
        <v>207</v>
      </c>
      <c r="H130" t="s">
        <v>116</v>
      </c>
      <c r="I130" s="183"/>
      <c r="J130" s="238">
        <v>5120000</v>
      </c>
      <c r="K130" s="183">
        <f>+Tableau6[[#This Row],[MONTANT HT BIEN]]+Tableau6[[#This Row],[MONTANT HT SERVICE]]</f>
        <v>5120000</v>
      </c>
      <c r="L130" s="153">
        <v>0</v>
      </c>
      <c r="M130" s="184">
        <f>+IFERROR(IF(Tableau6[[#This Row],[CODE TVA]]="TVAF",Tableau6[[#This Row],[MONTANT HT]]*0.18,0),0)</f>
        <v>921600</v>
      </c>
      <c r="N130" s="184">
        <f>Tableau6[[#This Row],[MONTANT HT]]+Tableau6[[#This Row],[TVA]]-Tableau6[[#This Row],[ACOMPTE SUR HT]]</f>
        <v>6041600</v>
      </c>
      <c r="O130" s="184"/>
      <c r="P130" s="184">
        <f>+ROUND(Tableau6[[#This Row],[MONTANT TTC]]-Tableau6[[#This Row],[ACOMPTE SUR TTC]],0)</f>
        <v>6041600</v>
      </c>
      <c r="Q130" s="11" t="s">
        <v>526</v>
      </c>
      <c r="R130" s="85">
        <f>IFERROR(INDEX(Tableau2[[ID BC UNIQUE]:[MONTANT HT VALIDE]],MATCH(Tableau6[[#This Row],[N° BC]],Tableau2[ID BC UNIQUE],0),6),0)</f>
        <v>5120000</v>
      </c>
      <c r="S130" s="87">
        <f>IFERROR(INDEX(Tableau2[[DATE]:[DELAIS DE PAIEMENT FACTURES EN JOUR]],MATCH(Tableau6[[#This Row],[N° BC]],Tableau2[ID BC UNIQUE],0),5),0)</f>
        <v>30</v>
      </c>
      <c r="T130" s="84">
        <f>IF(ISBLANK(Tableau6[[#This Row],[DATE DE DEPOT]]),"",Tableau6[[#This Row],[DATE DE DEPOT]]+Tableau6[[#This Row],[DELAI]])</f>
        <v>45784</v>
      </c>
      <c r="U130" s="87">
        <f ca="1">+IF(AND(W130=0,Tableau6[[#This Row],[DATE LIMITE]]&lt;TODAY()),TODAY()-Tableau6[[#This Row],[DATE LIMITE]],0)</f>
        <v>0</v>
      </c>
      <c r="V130"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30" s="89">
        <f>SUMIF(Tableau3[FACTURE],Tableau6[[#This Row],[NUM DE FACTURE]],Tableau3[MONTANT TTC])</f>
        <v>6041600</v>
      </c>
      <c r="X130" s="84"/>
      <c r="Y130" s="161">
        <f>+Tableau6[[#This Row],[NET A PAYER]]-Tableau6[[#This Row],[MONTANT PAYE]]</f>
        <v>0</v>
      </c>
      <c r="Z130" s="82"/>
    </row>
    <row r="131" spans="1:26" x14ac:dyDescent="0.2">
      <c r="A131" t="s">
        <v>100</v>
      </c>
      <c r="B131" s="83">
        <v>45754</v>
      </c>
      <c r="C131" s="84">
        <v>45754</v>
      </c>
      <c r="D131" s="351">
        <v>361</v>
      </c>
      <c r="E131" s="6" t="s">
        <v>138</v>
      </c>
      <c r="F131" s="82" t="s">
        <v>111</v>
      </c>
      <c r="G131" s="6" t="s">
        <v>200</v>
      </c>
      <c r="H131" t="s">
        <v>116</v>
      </c>
      <c r="I131" s="183"/>
      <c r="J131" s="238">
        <v>4622500</v>
      </c>
      <c r="K131" s="183">
        <f>+Tableau6[[#This Row],[MONTANT HT BIEN]]+Tableau6[[#This Row],[MONTANT HT SERVICE]]</f>
        <v>4622500</v>
      </c>
      <c r="L131" s="153">
        <v>0</v>
      </c>
      <c r="M131" s="184">
        <f>+IFERROR(IF(Tableau6[[#This Row],[CODE TVA]]="TVAF",Tableau6[[#This Row],[MONTANT HT]]*0.18,0),0)</f>
        <v>832050</v>
      </c>
      <c r="N131" s="184">
        <f>Tableau6[[#This Row],[MONTANT HT]]+Tableau6[[#This Row],[TVA]]-Tableau6[[#This Row],[ACOMPTE SUR HT]]</f>
        <v>5454550</v>
      </c>
      <c r="O131" s="184"/>
      <c r="P131" s="184">
        <f>+ROUND(Tableau6[[#This Row],[MONTANT TTC]]-Tableau6[[#This Row],[ACOMPTE SUR TTC]],0)</f>
        <v>5454550</v>
      </c>
      <c r="Q131" s="11" t="s">
        <v>527</v>
      </c>
      <c r="R131" s="85">
        <f>IFERROR(INDEX(Tableau2[[ID BC UNIQUE]:[MONTANT HT VALIDE]],MATCH(Tableau6[[#This Row],[N° BC]],Tableau2[ID BC UNIQUE],0),6),0)</f>
        <v>4622500</v>
      </c>
      <c r="S131" s="87">
        <f>IFERROR(INDEX(Tableau2[[DATE]:[DELAIS DE PAIEMENT FACTURES EN JOUR]],MATCH(Tableau6[[#This Row],[N° BC]],Tableau2[ID BC UNIQUE],0),5),0)</f>
        <v>30</v>
      </c>
      <c r="T131" s="84">
        <f>IF(ISBLANK(Tableau6[[#This Row],[DATE DE DEPOT]]),"",Tableau6[[#This Row],[DATE DE DEPOT]]+Tableau6[[#This Row],[DELAI]])</f>
        <v>45784</v>
      </c>
      <c r="U131" s="87">
        <f ca="1">+IF(AND(W131=0,Tableau6[[#This Row],[DATE LIMITE]]&lt;TODAY()),TODAY()-Tableau6[[#This Row],[DATE LIMITE]],0)</f>
        <v>0</v>
      </c>
      <c r="V131"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31" s="89">
        <f>SUMIF(Tableau3[FACTURE],Tableau6[[#This Row],[NUM DE FACTURE]],Tableau3[MONTANT TTC])</f>
        <v>5454550</v>
      </c>
      <c r="X131" s="84"/>
      <c r="Y131" s="161">
        <f>+Tableau6[[#This Row],[NET A PAYER]]-Tableau6[[#This Row],[MONTANT PAYE]]</f>
        <v>0</v>
      </c>
      <c r="Z131" s="82"/>
    </row>
    <row r="132" spans="1:26" x14ac:dyDescent="0.2">
      <c r="A132" t="s">
        <v>100</v>
      </c>
      <c r="B132" s="83">
        <v>45754</v>
      </c>
      <c r="C132" s="84">
        <v>45754</v>
      </c>
      <c r="D132" s="351">
        <v>362</v>
      </c>
      <c r="E132" s="6" t="s">
        <v>138</v>
      </c>
      <c r="F132" s="82" t="s">
        <v>111</v>
      </c>
      <c r="G132" s="6" t="s">
        <v>199</v>
      </c>
      <c r="H132" t="s">
        <v>116</v>
      </c>
      <c r="I132" s="183"/>
      <c r="J132" s="238">
        <v>6800000</v>
      </c>
      <c r="K132" s="183">
        <f>+Tableau6[[#This Row],[MONTANT HT BIEN]]+Tableau6[[#This Row],[MONTANT HT SERVICE]]</f>
        <v>6800000</v>
      </c>
      <c r="L132" s="153">
        <v>0</v>
      </c>
      <c r="M132" s="184">
        <f>+IFERROR(IF(Tableau6[[#This Row],[CODE TVA]]="TVAF",Tableau6[[#This Row],[MONTANT HT]]*0.18,0),0)</f>
        <v>1224000</v>
      </c>
      <c r="N132" s="184">
        <f>Tableau6[[#This Row],[MONTANT HT]]+Tableau6[[#This Row],[TVA]]-Tableau6[[#This Row],[ACOMPTE SUR HT]]</f>
        <v>8024000</v>
      </c>
      <c r="O132" s="184"/>
      <c r="P132" s="184">
        <f>+ROUND(Tableau6[[#This Row],[MONTANT TTC]]-Tableau6[[#This Row],[ACOMPTE SUR TTC]],0)</f>
        <v>8024000</v>
      </c>
      <c r="Q132" s="11" t="s">
        <v>528</v>
      </c>
      <c r="R132" s="85">
        <f>IFERROR(INDEX(Tableau2[[ID BC UNIQUE]:[MONTANT HT VALIDE]],MATCH(Tableau6[[#This Row],[N° BC]],Tableau2[ID BC UNIQUE],0),6),0)</f>
        <v>6800000</v>
      </c>
      <c r="S132" s="87">
        <f>IFERROR(INDEX(Tableau2[[DATE]:[DELAIS DE PAIEMENT FACTURES EN JOUR]],MATCH(Tableau6[[#This Row],[N° BC]],Tableau2[ID BC UNIQUE],0),5),0)</f>
        <v>30</v>
      </c>
      <c r="T132" s="84">
        <f>IF(ISBLANK(Tableau6[[#This Row],[DATE DE DEPOT]]),"",Tableau6[[#This Row],[DATE DE DEPOT]]+Tableau6[[#This Row],[DELAI]])</f>
        <v>45784</v>
      </c>
      <c r="U132" s="87">
        <f ca="1">+IF(AND(W132=0,Tableau6[[#This Row],[DATE LIMITE]]&lt;TODAY()),TODAY()-Tableau6[[#This Row],[DATE LIMITE]],0)</f>
        <v>0</v>
      </c>
      <c r="V132"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32" s="89">
        <f>SUMIF(Tableau3[FACTURE],Tableau6[[#This Row],[NUM DE FACTURE]],Tableau3[MONTANT TTC])</f>
        <v>8024000</v>
      </c>
      <c r="X132" s="84"/>
      <c r="Y132" s="161">
        <f>+Tableau6[[#This Row],[NET A PAYER]]-Tableau6[[#This Row],[MONTANT PAYE]]</f>
        <v>0</v>
      </c>
      <c r="Z132" s="82"/>
    </row>
    <row r="133" spans="1:26" x14ac:dyDescent="0.2">
      <c r="A133" t="s">
        <v>100</v>
      </c>
      <c r="B133" s="83">
        <v>45754</v>
      </c>
      <c r="C133" s="84">
        <v>45754</v>
      </c>
      <c r="D133" s="351">
        <v>363</v>
      </c>
      <c r="E133" s="6" t="s">
        <v>138</v>
      </c>
      <c r="F133" s="82" t="s">
        <v>111</v>
      </c>
      <c r="G133" s="6" t="s">
        <v>209</v>
      </c>
      <c r="H133" t="s">
        <v>116</v>
      </c>
      <c r="I133" s="183"/>
      <c r="J133" s="238">
        <v>844000</v>
      </c>
      <c r="K133" s="183">
        <f>+Tableau6[[#This Row],[MONTANT HT BIEN]]+Tableau6[[#This Row],[MONTANT HT SERVICE]]</f>
        <v>844000</v>
      </c>
      <c r="L133" s="153">
        <v>0</v>
      </c>
      <c r="M133" s="184">
        <f>+IFERROR(IF(Tableau6[[#This Row],[CODE TVA]]="TVAF",Tableau6[[#This Row],[MONTANT HT]]*0.18,0),0)</f>
        <v>151920</v>
      </c>
      <c r="N133" s="184">
        <f>Tableau6[[#This Row],[MONTANT HT]]+Tableau6[[#This Row],[TVA]]-Tableau6[[#This Row],[ACOMPTE SUR HT]]</f>
        <v>995920</v>
      </c>
      <c r="O133" s="184"/>
      <c r="P133" s="184">
        <f>+ROUND(Tableau6[[#This Row],[MONTANT TTC]]-Tableau6[[#This Row],[ACOMPTE SUR TTC]],0)</f>
        <v>995920</v>
      </c>
      <c r="Q133" s="11" t="s">
        <v>529</v>
      </c>
      <c r="R133" s="85">
        <f>IFERROR(INDEX(Tableau2[[ID BC UNIQUE]:[MONTANT HT VALIDE]],MATCH(Tableau6[[#This Row],[N° BC]],Tableau2[ID BC UNIQUE],0),6),0)</f>
        <v>844000</v>
      </c>
      <c r="S133" s="87">
        <f>IFERROR(INDEX(Tableau2[[DATE]:[DELAIS DE PAIEMENT FACTURES EN JOUR]],MATCH(Tableau6[[#This Row],[N° BC]],Tableau2[ID BC UNIQUE],0),5),0)</f>
        <v>30</v>
      </c>
      <c r="T133" s="84">
        <f>IF(ISBLANK(Tableau6[[#This Row],[DATE DE DEPOT]]),"",Tableau6[[#This Row],[DATE DE DEPOT]]+Tableau6[[#This Row],[DELAI]])</f>
        <v>45784</v>
      </c>
      <c r="U133" s="87">
        <f ca="1">+IF(AND(W133=0,Tableau6[[#This Row],[DATE LIMITE]]&lt;TODAY()),TODAY()-Tableau6[[#This Row],[DATE LIMITE]],0)</f>
        <v>332</v>
      </c>
      <c r="V133" s="8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ECHUE NON REGLEE</v>
      </c>
      <c r="W133" s="89">
        <f>SUMIF(Tableau3[FACTURE],Tableau6[[#This Row],[NUM DE FACTURE]],Tableau3[MONTANT TTC])</f>
        <v>0</v>
      </c>
      <c r="X133" s="84"/>
      <c r="Y133" s="161">
        <f>+Tableau6[[#This Row],[NET A PAYER]]-Tableau6[[#This Row],[MONTANT PAYE]]</f>
        <v>995920</v>
      </c>
      <c r="Z133" s="82"/>
    </row>
    <row r="134" spans="1:26" x14ac:dyDescent="0.2">
      <c r="A134" t="s">
        <v>100</v>
      </c>
      <c r="B134" s="3">
        <v>45756</v>
      </c>
      <c r="C134" s="7">
        <v>45756</v>
      </c>
      <c r="D134" s="351">
        <v>365</v>
      </c>
      <c r="E134" s="6" t="s">
        <v>138</v>
      </c>
      <c r="F134" t="s">
        <v>111</v>
      </c>
      <c r="G134" s="6" t="s">
        <v>165</v>
      </c>
      <c r="H134" t="s">
        <v>116</v>
      </c>
      <c r="I134" s="155"/>
      <c r="J134" s="233">
        <v>1350000</v>
      </c>
      <c r="K134" s="155">
        <f>+Tableau6[[#This Row],[MONTANT HT BIEN]]+Tableau6[[#This Row],[MONTANT HT SERVICE]]</f>
        <v>1350000</v>
      </c>
      <c r="L134" s="153">
        <v>0</v>
      </c>
      <c r="M134" s="153">
        <f>+IFERROR(IF(Tableau6[[#This Row],[CODE TVA]]="TVAF",Tableau6[[#This Row],[MONTANT HT]]*0.18,0),0)</f>
        <v>243000</v>
      </c>
      <c r="N134" s="153">
        <f>Tableau6[[#This Row],[MONTANT HT]]+Tableau6[[#This Row],[TVA]]-Tableau6[[#This Row],[ACOMPTE SUR HT]]</f>
        <v>1593000</v>
      </c>
      <c r="O134" s="153"/>
      <c r="P134" s="153">
        <f>+ROUND(Tableau6[[#This Row],[MONTANT TTC]]-Tableau6[[#This Row],[ACOMPTE SUR TTC]],0)</f>
        <v>1593000</v>
      </c>
      <c r="Q134" s="11" t="s">
        <v>530</v>
      </c>
      <c r="R134" s="5">
        <f>IFERROR(INDEX(Tableau2[[ID BC UNIQUE]:[MONTANT HT VALIDE]],MATCH(Tableau6[[#This Row],[N° BC]],Tableau2[ID BC UNIQUE],0),6),0)</f>
        <v>1350000</v>
      </c>
      <c r="S134" s="25">
        <f>IFERROR(INDEX(Tableau2[[DATE]:[DELAIS DE PAIEMENT FACTURES EN JOUR]],MATCH(Tableau6[[#This Row],[N° BC]],Tableau2[ID BC UNIQUE],0),5),0)</f>
        <v>30</v>
      </c>
      <c r="T134" s="7">
        <f>IF(ISBLANK(Tableau6[[#This Row],[DATE DE DEPOT]]),"",Tableau6[[#This Row],[DATE DE DEPOT]]+Tableau6[[#This Row],[DELAI]])</f>
        <v>45786</v>
      </c>
      <c r="U134" s="25">
        <f ca="1">+IF(AND(W134=0,Tableau6[[#This Row],[DATE LIMITE]]&lt;TODAY()),TODAY()-Tableau6[[#This Row],[DATE LIMITE]],0)</f>
        <v>0</v>
      </c>
      <c r="V134"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34" s="23">
        <f>SUMIF(Tableau3[FACTURE],Tableau6[[#This Row],[NUM DE FACTURE]],Tableau3[MONTANT TTC])</f>
        <v>1593000</v>
      </c>
      <c r="X134" s="7"/>
      <c r="Y134" s="156">
        <f>+Tableau6[[#This Row],[NET A PAYER]]-Tableau6[[#This Row],[MONTANT PAYE]]</f>
        <v>0</v>
      </c>
      <c r="Z134"/>
    </row>
    <row r="135" spans="1:26" x14ac:dyDescent="0.2">
      <c r="A135" t="s">
        <v>100</v>
      </c>
      <c r="B135" s="3">
        <v>45756</v>
      </c>
      <c r="C135" s="7">
        <v>45756</v>
      </c>
      <c r="D135" s="351">
        <v>366</v>
      </c>
      <c r="E135" s="6" t="s">
        <v>138</v>
      </c>
      <c r="F135" t="s">
        <v>111</v>
      </c>
      <c r="G135" s="6" t="s">
        <v>203</v>
      </c>
      <c r="H135" t="s">
        <v>116</v>
      </c>
      <c r="I135" s="155"/>
      <c r="J135" s="233">
        <v>4500000</v>
      </c>
      <c r="K135" s="155">
        <f>+Tableau6[[#This Row],[MONTANT HT BIEN]]+Tableau6[[#This Row],[MONTANT HT SERVICE]]</f>
        <v>4500000</v>
      </c>
      <c r="L135" s="153">
        <v>0</v>
      </c>
      <c r="M135" s="153">
        <f>+IFERROR(IF(Tableau6[[#This Row],[CODE TVA]]="TVAF",Tableau6[[#This Row],[MONTANT HT]]*0.18,0),0)</f>
        <v>810000</v>
      </c>
      <c r="N135" s="153">
        <f>Tableau6[[#This Row],[MONTANT HT]]+Tableau6[[#This Row],[TVA]]-Tableau6[[#This Row],[ACOMPTE SUR HT]]</f>
        <v>5310000</v>
      </c>
      <c r="O135" s="153"/>
      <c r="P135" s="153">
        <f>+ROUND(Tableau6[[#This Row],[MONTANT TTC]]-Tableau6[[#This Row],[ACOMPTE SUR TTC]],0)</f>
        <v>5310000</v>
      </c>
      <c r="Q135" s="11" t="s">
        <v>531</v>
      </c>
      <c r="R135" s="5">
        <f>IFERROR(INDEX(Tableau2[[ID BC UNIQUE]:[MONTANT HT VALIDE]],MATCH(Tableau6[[#This Row],[N° BC]],Tableau2[ID BC UNIQUE],0),6),0)</f>
        <v>4500000</v>
      </c>
      <c r="S135" s="25">
        <f>IFERROR(INDEX(Tableau2[[DATE]:[DELAIS DE PAIEMENT FACTURES EN JOUR]],MATCH(Tableau6[[#This Row],[N° BC]],Tableau2[ID BC UNIQUE],0),5),0)</f>
        <v>30</v>
      </c>
      <c r="T135" s="7">
        <f>IF(ISBLANK(Tableau6[[#This Row],[DATE DE DEPOT]]),"",Tableau6[[#This Row],[DATE DE DEPOT]]+Tableau6[[#This Row],[DELAI]])</f>
        <v>45786</v>
      </c>
      <c r="U135" s="25">
        <f ca="1">+IF(AND(W135=0,Tableau6[[#This Row],[DATE LIMITE]]&lt;TODAY()),TODAY()-Tableau6[[#This Row],[DATE LIMITE]],0)</f>
        <v>0</v>
      </c>
      <c r="V135"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35" s="23">
        <f>SUMIF(Tableau3[FACTURE],Tableau6[[#This Row],[NUM DE FACTURE]],Tableau3[MONTANT TTC])</f>
        <v>5310000</v>
      </c>
      <c r="X135" s="7"/>
      <c r="Y135" s="156">
        <f>+Tableau6[[#This Row],[NET A PAYER]]-Tableau6[[#This Row],[MONTANT PAYE]]</f>
        <v>0</v>
      </c>
      <c r="Z135"/>
    </row>
    <row r="136" spans="1:26" x14ac:dyDescent="0.2">
      <c r="A136" t="s">
        <v>100</v>
      </c>
      <c r="B136" s="3">
        <v>45756</v>
      </c>
      <c r="C136" s="7">
        <v>45757</v>
      </c>
      <c r="D136" s="351">
        <v>367</v>
      </c>
      <c r="E136" s="6" t="s">
        <v>138</v>
      </c>
      <c r="F136" t="s">
        <v>111</v>
      </c>
      <c r="G136" s="6" t="s">
        <v>200</v>
      </c>
      <c r="H136" t="s">
        <v>116</v>
      </c>
      <c r="I136" s="155"/>
      <c r="J136" s="233">
        <v>4320000</v>
      </c>
      <c r="K136" s="155">
        <f>+Tableau6[[#This Row],[MONTANT HT BIEN]]+Tableau6[[#This Row],[MONTANT HT SERVICE]]</f>
        <v>4320000</v>
      </c>
      <c r="L136" s="153">
        <v>0</v>
      </c>
      <c r="M136" s="153">
        <f>+IFERROR(IF(Tableau6[[#This Row],[CODE TVA]]="TVAF",Tableau6[[#This Row],[MONTANT HT]]*0.18,0),0)</f>
        <v>777600</v>
      </c>
      <c r="N136" s="153">
        <f>Tableau6[[#This Row],[MONTANT HT]]+Tableau6[[#This Row],[TVA]]-Tableau6[[#This Row],[ACOMPTE SUR HT]]</f>
        <v>5097600</v>
      </c>
      <c r="O136" s="153"/>
      <c r="P136" s="153">
        <f>+ROUND(Tableau6[[#This Row],[MONTANT TTC]]-Tableau6[[#This Row],[ACOMPTE SUR TTC]],0)</f>
        <v>5097600</v>
      </c>
      <c r="Q136" s="11" t="s">
        <v>532</v>
      </c>
      <c r="R136" s="5">
        <f>IFERROR(INDEX(Tableau2[[ID BC UNIQUE]:[MONTANT HT VALIDE]],MATCH(Tableau6[[#This Row],[N° BC]],Tableau2[ID BC UNIQUE],0),6),0)</f>
        <v>4320000</v>
      </c>
      <c r="S136" s="25">
        <f>IFERROR(INDEX(Tableau2[[DATE]:[DELAIS DE PAIEMENT FACTURES EN JOUR]],MATCH(Tableau6[[#This Row],[N° BC]],Tableau2[ID BC UNIQUE],0),5),0)</f>
        <v>30</v>
      </c>
      <c r="T136" s="7">
        <f>IF(ISBLANK(Tableau6[[#This Row],[DATE DE DEPOT]]),"",Tableau6[[#This Row],[DATE DE DEPOT]]+Tableau6[[#This Row],[DELAI]])</f>
        <v>45787</v>
      </c>
      <c r="U136" s="25">
        <f ca="1">+IF(AND(W136=0,Tableau6[[#This Row],[DATE LIMITE]]&lt;TODAY()),TODAY()-Tableau6[[#This Row],[DATE LIMITE]],0)</f>
        <v>0</v>
      </c>
      <c r="V136"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36" s="23">
        <f>SUMIF(Tableau3[FACTURE],Tableau6[[#This Row],[NUM DE FACTURE]],Tableau3[MONTANT TTC])</f>
        <v>5097600</v>
      </c>
      <c r="X136" s="7"/>
      <c r="Y136" s="156">
        <f>+Tableau6[[#This Row],[NET A PAYER]]-Tableau6[[#This Row],[MONTANT PAYE]]</f>
        <v>0</v>
      </c>
      <c r="Z136"/>
    </row>
    <row r="137" spans="1:26" x14ac:dyDescent="0.2">
      <c r="A137" t="s">
        <v>100</v>
      </c>
      <c r="B137" s="3">
        <v>45756</v>
      </c>
      <c r="C137" s="7">
        <v>45756</v>
      </c>
      <c r="D137" s="351">
        <v>368</v>
      </c>
      <c r="E137" s="6" t="s">
        <v>138</v>
      </c>
      <c r="F137" t="s">
        <v>111</v>
      </c>
      <c r="G137" s="6" t="s">
        <v>165</v>
      </c>
      <c r="H137" t="s">
        <v>116</v>
      </c>
      <c r="I137" s="155"/>
      <c r="J137" s="233">
        <v>5000000</v>
      </c>
      <c r="K137" s="155">
        <f>+Tableau6[[#This Row],[MONTANT HT BIEN]]+Tableau6[[#This Row],[MONTANT HT SERVICE]]</f>
        <v>5000000</v>
      </c>
      <c r="L137" s="153">
        <v>0</v>
      </c>
      <c r="M137" s="153">
        <f>+IFERROR(IF(Tableau6[[#This Row],[CODE TVA]]="TVAF",Tableau6[[#This Row],[MONTANT HT]]*0.18,0),0)</f>
        <v>900000</v>
      </c>
      <c r="N137" s="153">
        <f>Tableau6[[#This Row],[MONTANT HT]]+Tableau6[[#This Row],[TVA]]-Tableau6[[#This Row],[ACOMPTE SUR HT]]</f>
        <v>5900000</v>
      </c>
      <c r="O137" s="153"/>
      <c r="P137" s="153">
        <f>+ROUND(Tableau6[[#This Row],[MONTANT TTC]]-Tableau6[[#This Row],[ACOMPTE SUR TTC]],0)</f>
        <v>5900000</v>
      </c>
      <c r="Q137" s="11" t="s">
        <v>533</v>
      </c>
      <c r="R137" s="5">
        <f>IFERROR(INDEX(Tableau2[[ID BC UNIQUE]:[MONTANT HT VALIDE]],MATCH(Tableau6[[#This Row],[N° BC]],Tableau2[ID BC UNIQUE],0),6),0)</f>
        <v>5000000</v>
      </c>
      <c r="S137" s="25">
        <f>IFERROR(INDEX(Tableau2[[DATE]:[DELAIS DE PAIEMENT FACTURES EN JOUR]],MATCH(Tableau6[[#This Row],[N° BC]],Tableau2[ID BC UNIQUE],0),5),0)</f>
        <v>30</v>
      </c>
      <c r="T137" s="7">
        <f>IF(ISBLANK(Tableau6[[#This Row],[DATE DE DEPOT]]),"",Tableau6[[#This Row],[DATE DE DEPOT]]+Tableau6[[#This Row],[DELAI]])</f>
        <v>45786</v>
      </c>
      <c r="U137" s="25">
        <f ca="1">+IF(AND(W137=0,Tableau6[[#This Row],[DATE LIMITE]]&lt;TODAY()),TODAY()-Tableau6[[#This Row],[DATE LIMITE]],0)</f>
        <v>0</v>
      </c>
      <c r="V137"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37" s="23">
        <f>SUMIF(Tableau3[FACTURE],Tableau6[[#This Row],[NUM DE FACTURE]],Tableau3[MONTANT TTC])</f>
        <v>5900000</v>
      </c>
      <c r="X137" s="7"/>
      <c r="Y137" s="156">
        <f>+Tableau6[[#This Row],[NET A PAYER]]-Tableau6[[#This Row],[MONTANT PAYE]]</f>
        <v>0</v>
      </c>
      <c r="Z137"/>
    </row>
    <row r="138" spans="1:26" x14ac:dyDescent="0.2">
      <c r="A138" t="s">
        <v>100</v>
      </c>
      <c r="B138" s="3">
        <v>45756</v>
      </c>
      <c r="C138" s="7">
        <v>45756</v>
      </c>
      <c r="D138" s="351">
        <v>369</v>
      </c>
      <c r="E138" s="6" t="s">
        <v>138</v>
      </c>
      <c r="F138" t="s">
        <v>111</v>
      </c>
      <c r="G138" s="6" t="s">
        <v>167</v>
      </c>
      <c r="H138" t="s">
        <v>116</v>
      </c>
      <c r="I138" s="155"/>
      <c r="J138" s="233">
        <v>4420000</v>
      </c>
      <c r="K138" s="155">
        <f>+Tableau6[[#This Row],[MONTANT HT BIEN]]+Tableau6[[#This Row],[MONTANT HT SERVICE]]</f>
        <v>4420000</v>
      </c>
      <c r="L138" s="153">
        <v>0</v>
      </c>
      <c r="M138" s="153">
        <f>+IFERROR(IF(Tableau6[[#This Row],[CODE TVA]]="TVAF",Tableau6[[#This Row],[MONTANT HT]]*0.18,0),0)</f>
        <v>795600</v>
      </c>
      <c r="N138" s="153">
        <f>Tableau6[[#This Row],[MONTANT HT]]+Tableau6[[#This Row],[TVA]]-Tableau6[[#This Row],[ACOMPTE SUR HT]]</f>
        <v>5215600</v>
      </c>
      <c r="O138" s="153"/>
      <c r="P138" s="153">
        <f>+ROUND(Tableau6[[#This Row],[MONTANT TTC]]-Tableau6[[#This Row],[ACOMPTE SUR TTC]],0)</f>
        <v>5215600</v>
      </c>
      <c r="Q138" s="11" t="s">
        <v>534</v>
      </c>
      <c r="R138" s="5">
        <f>IFERROR(INDEX(Tableau2[[ID BC UNIQUE]:[MONTANT HT VALIDE]],MATCH(Tableau6[[#This Row],[N° BC]],Tableau2[ID BC UNIQUE],0),6),0)</f>
        <v>4420000</v>
      </c>
      <c r="S138" s="25">
        <f>IFERROR(INDEX(Tableau2[[DATE]:[DELAIS DE PAIEMENT FACTURES EN JOUR]],MATCH(Tableau6[[#This Row],[N° BC]],Tableau2[ID BC UNIQUE],0),5),0)</f>
        <v>30</v>
      </c>
      <c r="T138" s="7">
        <f>IF(ISBLANK(Tableau6[[#This Row],[DATE DE DEPOT]]),"",Tableau6[[#This Row],[DATE DE DEPOT]]+Tableau6[[#This Row],[DELAI]])</f>
        <v>45786</v>
      </c>
      <c r="U138" s="25">
        <f ca="1">+IF(AND(W138=0,Tableau6[[#This Row],[DATE LIMITE]]&lt;TODAY()),TODAY()-Tableau6[[#This Row],[DATE LIMITE]],0)</f>
        <v>0</v>
      </c>
      <c r="V138"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38" s="23">
        <f>SUMIF(Tableau3[FACTURE],Tableau6[[#This Row],[NUM DE FACTURE]],Tableau3[MONTANT TTC])</f>
        <v>5215600</v>
      </c>
      <c r="X138" s="7"/>
      <c r="Y138" s="156">
        <f>+Tableau6[[#This Row],[NET A PAYER]]-Tableau6[[#This Row],[MONTANT PAYE]]</f>
        <v>0</v>
      </c>
      <c r="Z138"/>
    </row>
    <row r="139" spans="1:26" x14ac:dyDescent="0.2">
      <c r="A139" t="s">
        <v>100</v>
      </c>
      <c r="B139" s="3">
        <v>45756</v>
      </c>
      <c r="C139" s="7">
        <v>45756</v>
      </c>
      <c r="D139" s="351">
        <v>370</v>
      </c>
      <c r="E139" s="6" t="s">
        <v>138</v>
      </c>
      <c r="F139" t="s">
        <v>111</v>
      </c>
      <c r="G139" s="6" t="s">
        <v>165</v>
      </c>
      <c r="H139" t="s">
        <v>116</v>
      </c>
      <c r="I139" s="155"/>
      <c r="J139" s="233">
        <v>4800000</v>
      </c>
      <c r="K139" s="155">
        <f>+Tableau6[[#This Row],[MONTANT HT BIEN]]+Tableau6[[#This Row],[MONTANT HT SERVICE]]</f>
        <v>4800000</v>
      </c>
      <c r="L139" s="153">
        <v>0</v>
      </c>
      <c r="M139" s="153">
        <f>+IFERROR(IF(Tableau6[[#This Row],[CODE TVA]]="TVAF",Tableau6[[#This Row],[MONTANT HT]]*0.18,0),0)</f>
        <v>864000</v>
      </c>
      <c r="N139" s="153">
        <f>Tableau6[[#This Row],[MONTANT HT]]+Tableau6[[#This Row],[TVA]]-Tableau6[[#This Row],[ACOMPTE SUR HT]]</f>
        <v>5664000</v>
      </c>
      <c r="O139" s="153"/>
      <c r="P139" s="153">
        <f>+ROUND(Tableau6[[#This Row],[MONTANT TTC]]-Tableau6[[#This Row],[ACOMPTE SUR TTC]],0)</f>
        <v>5664000</v>
      </c>
      <c r="Q139" s="11" t="s">
        <v>535</v>
      </c>
      <c r="R139" s="5">
        <f>IFERROR(INDEX(Tableau2[[ID BC UNIQUE]:[MONTANT HT VALIDE]],MATCH(Tableau6[[#This Row],[N° BC]],Tableau2[ID BC UNIQUE],0),6),0)</f>
        <v>4800000</v>
      </c>
      <c r="S139" s="25">
        <f>IFERROR(INDEX(Tableau2[[DATE]:[DELAIS DE PAIEMENT FACTURES EN JOUR]],MATCH(Tableau6[[#This Row],[N° BC]],Tableau2[ID BC UNIQUE],0),5),0)</f>
        <v>30</v>
      </c>
      <c r="T139" s="7">
        <f>IF(ISBLANK(Tableau6[[#This Row],[DATE DE DEPOT]]),"",Tableau6[[#This Row],[DATE DE DEPOT]]+Tableau6[[#This Row],[DELAI]])</f>
        <v>45786</v>
      </c>
      <c r="U139" s="25">
        <f ca="1">+IF(AND(W139=0,Tableau6[[#This Row],[DATE LIMITE]]&lt;TODAY()),TODAY()-Tableau6[[#This Row],[DATE LIMITE]],0)</f>
        <v>0</v>
      </c>
      <c r="V139"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39" s="23">
        <f>SUMIF(Tableau3[FACTURE],Tableau6[[#This Row],[NUM DE FACTURE]],Tableau3[MONTANT TTC])</f>
        <v>5664000</v>
      </c>
      <c r="X139" s="7"/>
      <c r="Y139" s="156">
        <f>+Tableau6[[#This Row],[NET A PAYER]]-Tableau6[[#This Row],[MONTANT PAYE]]</f>
        <v>0</v>
      </c>
      <c r="Z139"/>
    </row>
    <row r="140" spans="1:26" x14ac:dyDescent="0.2">
      <c r="A140" t="s">
        <v>100</v>
      </c>
      <c r="B140" s="3">
        <v>45769</v>
      </c>
      <c r="C140" s="7">
        <v>45769</v>
      </c>
      <c r="D140" s="351">
        <v>374</v>
      </c>
      <c r="E140" s="6" t="s">
        <v>138</v>
      </c>
      <c r="F140" t="s">
        <v>111</v>
      </c>
      <c r="G140" s="6" t="s">
        <v>199</v>
      </c>
      <c r="H140" t="s">
        <v>116</v>
      </c>
      <c r="I140" s="155"/>
      <c r="J140" s="233">
        <v>2970000</v>
      </c>
      <c r="K140" s="155">
        <f>+Tableau6[[#This Row],[MONTANT HT BIEN]]+Tableau6[[#This Row],[MONTANT HT SERVICE]]</f>
        <v>2970000</v>
      </c>
      <c r="L140" s="153">
        <v>0</v>
      </c>
      <c r="M140" s="153">
        <f>+IFERROR(IF(Tableau6[[#This Row],[CODE TVA]]="TVAF",Tableau6[[#This Row],[MONTANT HT]]*0.18,0),0)</f>
        <v>534600</v>
      </c>
      <c r="N140" s="153">
        <f>Tableau6[[#This Row],[MONTANT HT]]+Tableau6[[#This Row],[TVA]]-Tableau6[[#This Row],[ACOMPTE SUR HT]]</f>
        <v>3504600</v>
      </c>
      <c r="O140" s="153"/>
      <c r="P140" s="153">
        <f>+ROUND(Tableau6[[#This Row],[MONTANT TTC]]-Tableau6[[#This Row],[ACOMPTE SUR TTC]],0)</f>
        <v>3504600</v>
      </c>
      <c r="Q140" s="11" t="s">
        <v>537</v>
      </c>
      <c r="R140" s="5">
        <f>IFERROR(INDEX(Tableau2[[ID BC UNIQUE]:[MONTANT HT VALIDE]],MATCH(Tableau6[[#This Row],[N° BC]],Tableau2[ID BC UNIQUE],0),6),0)</f>
        <v>2970000</v>
      </c>
      <c r="S140" s="25">
        <f>IFERROR(INDEX(Tableau2[[DATE]:[DELAIS DE PAIEMENT FACTURES EN JOUR]],MATCH(Tableau6[[#This Row],[N° BC]],Tableau2[ID BC UNIQUE],0),5),0)</f>
        <v>30</v>
      </c>
      <c r="T140" s="7">
        <f>IF(ISBLANK(Tableau6[[#This Row],[DATE DE DEPOT]]),"",Tableau6[[#This Row],[DATE DE DEPOT]]+Tableau6[[#This Row],[DELAI]])</f>
        <v>45799</v>
      </c>
      <c r="U140" s="25">
        <f ca="1">+IF(AND(W140=0,Tableau6[[#This Row],[DATE LIMITE]]&lt;TODAY()),TODAY()-Tableau6[[#This Row],[DATE LIMITE]],0)</f>
        <v>0</v>
      </c>
      <c r="V140"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40" s="23">
        <f>SUMIF(Tableau3[FACTURE],Tableau6[[#This Row],[NUM DE FACTURE]],Tableau3[MONTANT TTC])</f>
        <v>3504600</v>
      </c>
      <c r="X140" s="7"/>
      <c r="Y140" s="156">
        <f>+Tableau6[[#This Row],[NET A PAYER]]-Tableau6[[#This Row],[MONTANT PAYE]]</f>
        <v>0</v>
      </c>
      <c r="Z140"/>
    </row>
    <row r="141" spans="1:26" x14ac:dyDescent="0.2">
      <c r="A141" t="s">
        <v>100</v>
      </c>
      <c r="B141" s="3">
        <v>45771</v>
      </c>
      <c r="C141" s="7">
        <v>45771</v>
      </c>
      <c r="D141" s="351">
        <v>375</v>
      </c>
      <c r="E141" s="6" t="s">
        <v>138</v>
      </c>
      <c r="F141" t="s">
        <v>111</v>
      </c>
      <c r="G141" s="6" t="s">
        <v>199</v>
      </c>
      <c r="H141" t="s">
        <v>116</v>
      </c>
      <c r="I141" s="155"/>
      <c r="J141" s="233">
        <v>1350000</v>
      </c>
      <c r="K141" s="155">
        <f>+Tableau6[[#This Row],[MONTANT HT BIEN]]+Tableau6[[#This Row],[MONTANT HT SERVICE]]</f>
        <v>1350000</v>
      </c>
      <c r="L141" s="153">
        <v>0</v>
      </c>
      <c r="M141" s="153">
        <f>+IFERROR(IF(Tableau6[[#This Row],[CODE TVA]]="TVAF",Tableau6[[#This Row],[MONTANT HT]]*0.18,0),0)</f>
        <v>243000</v>
      </c>
      <c r="N141" s="153">
        <f>Tableau6[[#This Row],[MONTANT HT]]+Tableau6[[#This Row],[TVA]]-Tableau6[[#This Row],[ACOMPTE SUR HT]]</f>
        <v>1593000</v>
      </c>
      <c r="O141" s="153"/>
      <c r="P141" s="153">
        <f>+ROUND(Tableau6[[#This Row],[MONTANT TTC]]-Tableau6[[#This Row],[ACOMPTE SUR TTC]],0)</f>
        <v>1593000</v>
      </c>
      <c r="Q141" s="11" t="s">
        <v>538</v>
      </c>
      <c r="R141" s="5">
        <f>IFERROR(INDEX(Tableau2[[ID BC UNIQUE]:[MONTANT HT VALIDE]],MATCH(Tableau6[[#This Row],[N° BC]],Tableau2[ID BC UNIQUE],0),6),0)</f>
        <v>1350000</v>
      </c>
      <c r="S141" s="25">
        <f>IFERROR(INDEX(Tableau2[[DATE]:[DELAIS DE PAIEMENT FACTURES EN JOUR]],MATCH(Tableau6[[#This Row],[N° BC]],Tableau2[ID BC UNIQUE],0),5),0)</f>
        <v>30</v>
      </c>
      <c r="T141" s="7">
        <f>IF(ISBLANK(Tableau6[[#This Row],[DATE DE DEPOT]]),"",Tableau6[[#This Row],[DATE DE DEPOT]]+Tableau6[[#This Row],[DELAI]])</f>
        <v>45801</v>
      </c>
      <c r="U141" s="25">
        <f ca="1">+IF(AND(W141=0,Tableau6[[#This Row],[DATE LIMITE]]&lt;TODAY()),TODAY()-Tableau6[[#This Row],[DATE LIMITE]],0)</f>
        <v>0</v>
      </c>
      <c r="V141"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41" s="23">
        <f>SUMIF(Tableau3[FACTURE],Tableau6[[#This Row],[NUM DE FACTURE]],Tableau3[MONTANT TTC])</f>
        <v>1593000</v>
      </c>
      <c r="X141" s="7"/>
      <c r="Y141" s="156">
        <f>+Tableau6[[#This Row],[NET A PAYER]]-Tableau6[[#This Row],[MONTANT PAYE]]</f>
        <v>0</v>
      </c>
      <c r="Z141"/>
    </row>
    <row r="142" spans="1:26" x14ac:dyDescent="0.2">
      <c r="A142" t="s">
        <v>100</v>
      </c>
      <c r="B142" s="3">
        <v>45772</v>
      </c>
      <c r="C142" s="7">
        <v>45772</v>
      </c>
      <c r="D142" s="351">
        <v>376</v>
      </c>
      <c r="E142" s="6" t="s">
        <v>103</v>
      </c>
      <c r="F142" t="s">
        <v>111</v>
      </c>
      <c r="G142" s="6"/>
      <c r="H142" t="s">
        <v>116</v>
      </c>
      <c r="I142" s="155"/>
      <c r="J142" s="233">
        <v>980000</v>
      </c>
      <c r="K142" s="155">
        <f>+Tableau6[[#This Row],[MONTANT HT BIEN]]+Tableau6[[#This Row],[MONTANT HT SERVICE]]</f>
        <v>980000</v>
      </c>
      <c r="L142" s="153">
        <v>0</v>
      </c>
      <c r="M142" s="153">
        <f>+IFERROR(IF(Tableau6[[#This Row],[CODE TVA]]="TVAF",Tableau6[[#This Row],[MONTANT HT]]*0.18,0),0)</f>
        <v>176400</v>
      </c>
      <c r="N142" s="153">
        <f>Tableau6[[#This Row],[MONTANT HT]]+Tableau6[[#This Row],[TVA]]-Tableau6[[#This Row],[ACOMPTE SUR HT]]</f>
        <v>1156400</v>
      </c>
      <c r="O142" s="153"/>
      <c r="P142" s="153">
        <f>+ROUND(Tableau6[[#This Row],[MONTANT TTC]]-Tableau6[[#This Row],[ACOMPTE SUR TTC]],0)</f>
        <v>1156400</v>
      </c>
      <c r="Q142" s="11"/>
      <c r="R142" s="5">
        <f>IFERROR(INDEX(Tableau2[[ID BC UNIQUE]:[MONTANT HT VALIDE]],MATCH(Tableau6[[#This Row],[N° BC]],Tableau2[ID BC UNIQUE],0),6),0)</f>
        <v>0</v>
      </c>
      <c r="S142" s="25">
        <f>IFERROR(INDEX(Tableau2[[DATE]:[DELAIS DE PAIEMENT FACTURES EN JOUR]],MATCH(Tableau6[[#This Row],[N° BC]],Tableau2[ID BC UNIQUE],0),5),0)</f>
        <v>0</v>
      </c>
      <c r="T142" s="7">
        <f>IF(ISBLANK(Tableau6[[#This Row],[DATE DE DEPOT]]),"",Tableau6[[#This Row],[DATE DE DEPOT]]+Tableau6[[#This Row],[DELAI]])</f>
        <v>45772</v>
      </c>
      <c r="U142" s="25">
        <f ca="1">+IF(AND(W142=0,Tableau6[[#This Row],[DATE LIMITE]]&lt;TODAY()),TODAY()-Tableau6[[#This Row],[DATE LIMITE]],0)</f>
        <v>0</v>
      </c>
      <c r="V142"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42" s="23">
        <f>SUMIF(Tableau3[FACTURE],Tableau6[[#This Row],[NUM DE FACTURE]],Tableau3[MONTANT TTC])</f>
        <v>1156400</v>
      </c>
      <c r="X142" s="7"/>
      <c r="Y142" s="156">
        <f>+Tableau6[[#This Row],[NET A PAYER]]-Tableau6[[#This Row],[MONTANT PAYE]]</f>
        <v>0</v>
      </c>
      <c r="Z142"/>
    </row>
    <row r="143" spans="1:26" x14ac:dyDescent="0.2">
      <c r="A143" t="s">
        <v>100</v>
      </c>
      <c r="B143" s="93">
        <v>45772</v>
      </c>
      <c r="C143" s="94">
        <v>45772</v>
      </c>
      <c r="D143" s="351">
        <v>379</v>
      </c>
      <c r="E143" s="6" t="s">
        <v>138</v>
      </c>
      <c r="F143" s="92" t="s">
        <v>110</v>
      </c>
      <c r="G143" s="6" t="s">
        <v>203</v>
      </c>
      <c r="H143" t="s">
        <v>116</v>
      </c>
      <c r="I143" s="186">
        <v>2395900</v>
      </c>
      <c r="J143" s="240"/>
      <c r="K143" s="186">
        <f>+Tableau6[[#This Row],[MONTANT HT BIEN]]+Tableau6[[#This Row],[MONTANT HT SERVICE]]</f>
        <v>2395900</v>
      </c>
      <c r="L143" s="153">
        <v>0</v>
      </c>
      <c r="M143" s="171">
        <f>+IFERROR(IF(Tableau6[[#This Row],[CODE TVA]]="TVAF",Tableau6[[#This Row],[MONTANT HT]]*0.18,0),0)</f>
        <v>431262</v>
      </c>
      <c r="N143" s="171">
        <f>Tableau6[[#This Row],[MONTANT HT]]+Tableau6[[#This Row],[TVA]]-Tableau6[[#This Row],[ACOMPTE SUR HT]]</f>
        <v>2827162</v>
      </c>
      <c r="O143" s="171"/>
      <c r="P143" s="171">
        <f>+ROUND(Tableau6[[#This Row],[MONTANT TTC]]-Tableau6[[#This Row],[ACOMPTE SUR TTC]],0)</f>
        <v>2827162</v>
      </c>
      <c r="Q143" s="11" t="s">
        <v>539</v>
      </c>
      <c r="R143" s="95">
        <f>IFERROR(INDEX(Tableau2[[ID BC UNIQUE]:[MONTANT HT VALIDE]],MATCH(Tableau6[[#This Row],[N° BC]],Tableau2[ID BC UNIQUE],0),6),0)</f>
        <v>2395900</v>
      </c>
      <c r="S143" s="96">
        <f>IFERROR(INDEX(Tableau2[[DATE]:[DELAIS DE PAIEMENT FACTURES EN JOUR]],MATCH(Tableau6[[#This Row],[N° BC]],Tableau2[ID BC UNIQUE],0),5),0)</f>
        <v>30</v>
      </c>
      <c r="T143" s="94">
        <f>IF(ISBLANK(Tableau6[[#This Row],[DATE DE DEPOT]]),"",Tableau6[[#This Row],[DATE DE DEPOT]]+Tableau6[[#This Row],[DELAI]])</f>
        <v>45802</v>
      </c>
      <c r="U143" s="96">
        <f ca="1">+IF(AND(W143=0,Tableau6[[#This Row],[DATE LIMITE]]&lt;TODAY()),TODAY()-Tableau6[[#This Row],[DATE LIMITE]],0)</f>
        <v>314</v>
      </c>
      <c r="V143" s="97"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ECHUE NON REGLEE</v>
      </c>
      <c r="W143" s="98">
        <f>SUMIF(Tableau3[FACTURE],Tableau6[[#This Row],[NUM DE FACTURE]],Tableau3[MONTANT TTC])</f>
        <v>0</v>
      </c>
      <c r="X143" s="94"/>
      <c r="Y143" s="163">
        <f>+Tableau6[[#This Row],[NET A PAYER]]-Tableau6[[#This Row],[MONTANT PAYE]]</f>
        <v>2827162</v>
      </c>
      <c r="Z143" s="92"/>
    </row>
    <row r="144" spans="1:26" x14ac:dyDescent="0.2">
      <c r="A144" t="s">
        <v>100</v>
      </c>
      <c r="B144" s="110">
        <v>45772</v>
      </c>
      <c r="C144" s="111">
        <v>45772</v>
      </c>
      <c r="D144" s="351">
        <v>393</v>
      </c>
      <c r="E144" s="6" t="s">
        <v>138</v>
      </c>
      <c r="F144" s="109" t="s">
        <v>111</v>
      </c>
      <c r="G144" s="6" t="s">
        <v>199</v>
      </c>
      <c r="H144" t="s">
        <v>116</v>
      </c>
      <c r="I144" s="185"/>
      <c r="J144" s="239">
        <v>5200000</v>
      </c>
      <c r="K144" s="185">
        <f>+Tableau6[[#This Row],[MONTANT HT BIEN]]+Tableau6[[#This Row],[MONTANT HT SERVICE]]</f>
        <v>5200000</v>
      </c>
      <c r="L144" s="153">
        <v>0</v>
      </c>
      <c r="M144" s="170">
        <f>+IFERROR(IF(Tableau6[[#This Row],[CODE TVA]]="TVAF",Tableau6[[#This Row],[MONTANT HT]]*0.18,0),0)</f>
        <v>936000</v>
      </c>
      <c r="N144" s="170">
        <f>Tableau6[[#This Row],[MONTANT HT]]+Tableau6[[#This Row],[TVA]]-Tableau6[[#This Row],[ACOMPTE SUR HT]]</f>
        <v>6136000</v>
      </c>
      <c r="O144" s="170"/>
      <c r="P144" s="170">
        <f>+ROUND(Tableau6[[#This Row],[MONTANT TTC]]-Tableau6[[#This Row],[ACOMPTE SUR TTC]],0)</f>
        <v>6136000</v>
      </c>
      <c r="Q144" s="33" t="s">
        <v>550</v>
      </c>
      <c r="R144" s="113">
        <f>IFERROR(INDEX(Tableau2[[ID BC UNIQUE]:[MONTANT HT VALIDE]],MATCH(Tableau6[[#This Row],[N° BC]],Tableau2[ID BC UNIQUE],0),6),0)</f>
        <v>5200000</v>
      </c>
      <c r="S144" s="114">
        <f>IFERROR(INDEX(Tableau2[[DATE]:[DELAIS DE PAIEMENT FACTURES EN JOUR]],MATCH(Tableau6[[#This Row],[N° BC]],Tableau2[ID BC UNIQUE],0),5),0)</f>
        <v>30</v>
      </c>
      <c r="T144" s="111">
        <f>IF(ISBLANK(Tableau6[[#This Row],[DATE DE DEPOT]]),"",Tableau6[[#This Row],[DATE DE DEPOT]]+Tableau6[[#This Row],[DELAI]])</f>
        <v>45802</v>
      </c>
      <c r="U144" s="114">
        <f ca="1">+IF(AND(W144=0,Tableau6[[#This Row],[DATE LIMITE]]&lt;TODAY()),TODAY()-Tableau6[[#This Row],[DATE LIMITE]],0)</f>
        <v>314</v>
      </c>
      <c r="V144" s="11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ECHUE NON REGLEE</v>
      </c>
      <c r="W144" s="112">
        <f>SUMIF(Tableau3[FACTURE],Tableau6[[#This Row],[NUM DE FACTURE]],Tableau3[MONTANT TTC])</f>
        <v>0</v>
      </c>
      <c r="X144" s="111"/>
      <c r="Y144" s="162">
        <f>+Tableau6[[#This Row],[NET A PAYER]]-Tableau6[[#This Row],[MONTANT PAYE]]</f>
        <v>6136000</v>
      </c>
      <c r="Z144" s="109"/>
    </row>
    <row r="145" spans="1:26" x14ac:dyDescent="0.2">
      <c r="A145" t="s">
        <v>100</v>
      </c>
      <c r="B145" s="3">
        <v>45775</v>
      </c>
      <c r="C145" s="7">
        <v>45776</v>
      </c>
      <c r="D145" s="351">
        <v>380</v>
      </c>
      <c r="E145" s="6" t="s">
        <v>138</v>
      </c>
      <c r="F145" t="s">
        <v>111</v>
      </c>
      <c r="G145" s="6" t="s">
        <v>179</v>
      </c>
      <c r="H145" t="s">
        <v>116</v>
      </c>
      <c r="I145" s="155"/>
      <c r="J145" s="233">
        <v>800000</v>
      </c>
      <c r="K145" s="155">
        <f>+Tableau6[[#This Row],[MONTANT HT BIEN]]+Tableau6[[#This Row],[MONTANT HT SERVICE]]</f>
        <v>800000</v>
      </c>
      <c r="L145" s="153">
        <v>0</v>
      </c>
      <c r="M145" s="153">
        <f>+IFERROR(IF(Tableau6[[#This Row],[CODE TVA]]="TVAF",Tableau6[[#This Row],[MONTANT HT]]*0.18,0),0)</f>
        <v>144000</v>
      </c>
      <c r="N145" s="153">
        <f>Tableau6[[#This Row],[MONTANT HT]]+Tableau6[[#This Row],[TVA]]-Tableau6[[#This Row],[ACOMPTE SUR HT]]</f>
        <v>944000</v>
      </c>
      <c r="O145" s="153"/>
      <c r="P145" s="153">
        <f>+ROUND(Tableau6[[#This Row],[MONTANT TTC]]-Tableau6[[#This Row],[ACOMPTE SUR TTC]],0)</f>
        <v>944000</v>
      </c>
      <c r="Q145" s="11" t="s">
        <v>540</v>
      </c>
      <c r="R145" s="5">
        <f>IFERROR(INDEX(Tableau2[[ID BC UNIQUE]:[MONTANT HT VALIDE]],MATCH(Tableau6[[#This Row],[N° BC]],Tableau2[ID BC UNIQUE],0),6),0)</f>
        <v>800000</v>
      </c>
      <c r="S145" s="25">
        <f>IFERROR(INDEX(Tableau2[[DATE]:[DELAIS DE PAIEMENT FACTURES EN JOUR]],MATCH(Tableau6[[#This Row],[N° BC]],Tableau2[ID BC UNIQUE],0),5),0)</f>
        <v>30</v>
      </c>
      <c r="T145" s="7">
        <f>IF(ISBLANK(Tableau6[[#This Row],[DATE DE DEPOT]]),"",Tableau6[[#This Row],[DATE DE DEPOT]]+Tableau6[[#This Row],[DELAI]])</f>
        <v>45806</v>
      </c>
      <c r="U145" s="25">
        <f ca="1">+IF(AND(W145=0,Tableau6[[#This Row],[DATE LIMITE]]&lt;TODAY()),TODAY()-Tableau6[[#This Row],[DATE LIMITE]],0)</f>
        <v>0</v>
      </c>
      <c r="V145"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45" s="23">
        <f>SUMIF(Tableau3[FACTURE],Tableau6[[#This Row],[NUM DE FACTURE]],Tableau3[MONTANT TTC])</f>
        <v>944000</v>
      </c>
      <c r="X145" s="7"/>
      <c r="Y145" s="156">
        <f>+Tableau6[[#This Row],[NET A PAYER]]-Tableau6[[#This Row],[MONTANT PAYE]]</f>
        <v>0</v>
      </c>
      <c r="Z145"/>
    </row>
    <row r="146" spans="1:26" x14ac:dyDescent="0.2">
      <c r="A146" t="s">
        <v>100</v>
      </c>
      <c r="B146" s="3">
        <v>45775</v>
      </c>
      <c r="C146" s="7">
        <v>45775</v>
      </c>
      <c r="D146" s="351">
        <v>381</v>
      </c>
      <c r="E146" s="6" t="s">
        <v>138</v>
      </c>
      <c r="F146" t="s">
        <v>111</v>
      </c>
      <c r="G146" s="6" t="s">
        <v>180</v>
      </c>
      <c r="H146" t="s">
        <v>116</v>
      </c>
      <c r="I146" s="155"/>
      <c r="J146" s="233">
        <v>4417500</v>
      </c>
      <c r="K146" s="155">
        <f>+Tableau6[[#This Row],[MONTANT HT BIEN]]+Tableau6[[#This Row],[MONTANT HT SERVICE]]</f>
        <v>4417500</v>
      </c>
      <c r="L146" s="153">
        <v>0</v>
      </c>
      <c r="M146" s="153">
        <f>+IFERROR(IF(Tableau6[[#This Row],[CODE TVA]]="TVAF",Tableau6[[#This Row],[MONTANT HT]]*0.18,0),0)</f>
        <v>795150</v>
      </c>
      <c r="N146" s="153">
        <f>Tableau6[[#This Row],[MONTANT HT]]+Tableau6[[#This Row],[TVA]]-Tableau6[[#This Row],[ACOMPTE SUR HT]]</f>
        <v>5212650</v>
      </c>
      <c r="O146" s="153"/>
      <c r="P146" s="153">
        <f>+ROUND(Tableau6[[#This Row],[MONTANT TTC]]-Tableau6[[#This Row],[ACOMPTE SUR TTC]],0)</f>
        <v>5212650</v>
      </c>
      <c r="Q146" s="11" t="s">
        <v>541</v>
      </c>
      <c r="R146" s="5">
        <f>IFERROR(INDEX(Tableau2[[ID BC UNIQUE]:[MONTANT HT VALIDE]],MATCH(Tableau6[[#This Row],[N° BC]],Tableau2[ID BC UNIQUE],0),6),0)</f>
        <v>4417500</v>
      </c>
      <c r="S146" s="25">
        <f>IFERROR(INDEX(Tableau2[[DATE]:[DELAIS DE PAIEMENT FACTURES EN JOUR]],MATCH(Tableau6[[#This Row],[N° BC]],Tableau2[ID BC UNIQUE],0),5),0)</f>
        <v>30</v>
      </c>
      <c r="T146" s="7">
        <f>IF(ISBLANK(Tableau6[[#This Row],[DATE DE DEPOT]]),"",Tableau6[[#This Row],[DATE DE DEPOT]]+Tableau6[[#This Row],[DELAI]])</f>
        <v>45805</v>
      </c>
      <c r="U146" s="25">
        <f ca="1">+IF(AND(W146=0,Tableau6[[#This Row],[DATE LIMITE]]&lt;TODAY()),TODAY()-Tableau6[[#This Row],[DATE LIMITE]],0)</f>
        <v>0</v>
      </c>
      <c r="V146"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46" s="23">
        <f>SUMIF(Tableau3[FACTURE],Tableau6[[#This Row],[NUM DE FACTURE]],Tableau3[MONTANT TTC])</f>
        <v>5212650</v>
      </c>
      <c r="X146" s="7"/>
      <c r="Y146" s="156">
        <f>+Tableau6[[#This Row],[NET A PAYER]]-Tableau6[[#This Row],[MONTANT PAYE]]</f>
        <v>0</v>
      </c>
      <c r="Z146"/>
    </row>
    <row r="147" spans="1:26" x14ac:dyDescent="0.2">
      <c r="A147" t="s">
        <v>100</v>
      </c>
      <c r="B147" s="3">
        <v>45775</v>
      </c>
      <c r="C147" s="7">
        <v>45775</v>
      </c>
      <c r="D147" s="351">
        <v>382</v>
      </c>
      <c r="E147" s="6" t="s">
        <v>138</v>
      </c>
      <c r="F147" t="s">
        <v>111</v>
      </c>
      <c r="G147" s="6" t="s">
        <v>181</v>
      </c>
      <c r="H147" t="s">
        <v>116</v>
      </c>
      <c r="I147" s="155"/>
      <c r="J147" s="233">
        <v>33983830</v>
      </c>
      <c r="K147" s="155">
        <f>+Tableau6[[#This Row],[MONTANT HT BIEN]]+Tableau6[[#This Row],[MONTANT HT SERVICE]]</f>
        <v>33983830</v>
      </c>
      <c r="L147" s="153">
        <v>0</v>
      </c>
      <c r="M147" s="153">
        <f>+IFERROR(IF(Tableau6[[#This Row],[CODE TVA]]="TVAF",Tableau6[[#This Row],[MONTANT HT]]*0.18,0),0)</f>
        <v>6117089.3999999994</v>
      </c>
      <c r="N147" s="153">
        <f>Tableau6[[#This Row],[MONTANT HT]]+Tableau6[[#This Row],[TVA]]-Tableau6[[#This Row],[ACOMPTE SUR HT]]</f>
        <v>40100919.399999999</v>
      </c>
      <c r="O147" s="153"/>
      <c r="P147" s="153">
        <f>+ROUND(Tableau6[[#This Row],[MONTANT TTC]]-Tableau6[[#This Row],[ACOMPTE SUR TTC]],0)</f>
        <v>40100919</v>
      </c>
      <c r="Q147" s="11" t="s">
        <v>542</v>
      </c>
      <c r="R147" s="5">
        <f>IFERROR(INDEX(Tableau2[[ID BC UNIQUE]:[MONTANT HT VALIDE]],MATCH(Tableau6[[#This Row],[N° BC]],Tableau2[ID BC UNIQUE],0),6),0)</f>
        <v>33983830</v>
      </c>
      <c r="S147" s="25">
        <f>IFERROR(INDEX(Tableau2[[DATE]:[DELAIS DE PAIEMENT FACTURES EN JOUR]],MATCH(Tableau6[[#This Row],[N° BC]],Tableau2[ID BC UNIQUE],0),5),0)</f>
        <v>30</v>
      </c>
      <c r="T147" s="7">
        <f>IF(ISBLANK(Tableau6[[#This Row],[DATE DE DEPOT]]),"",Tableau6[[#This Row],[DATE DE DEPOT]]+Tableau6[[#This Row],[DELAI]])</f>
        <v>45805</v>
      </c>
      <c r="U147" s="25">
        <f ca="1">+IF(AND(W147=0,Tableau6[[#This Row],[DATE LIMITE]]&lt;TODAY()),TODAY()-Tableau6[[#This Row],[DATE LIMITE]],0)</f>
        <v>0</v>
      </c>
      <c r="V147"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47" s="23">
        <f>SUMIF(Tableau3[FACTURE],Tableau6[[#This Row],[NUM DE FACTURE]],Tableau3[MONTANT TTC])</f>
        <v>40100919</v>
      </c>
      <c r="X147" s="7"/>
      <c r="Y147" s="156">
        <f>+Tableau6[[#This Row],[NET A PAYER]]-Tableau6[[#This Row],[MONTANT PAYE]]</f>
        <v>0</v>
      </c>
      <c r="Z147"/>
    </row>
    <row r="148" spans="1:26" x14ac:dyDescent="0.2">
      <c r="A148" t="s">
        <v>100</v>
      </c>
      <c r="B148" s="3">
        <v>45775</v>
      </c>
      <c r="C148" s="7">
        <v>45775</v>
      </c>
      <c r="D148" s="351">
        <v>383</v>
      </c>
      <c r="E148" s="6" t="s">
        <v>138</v>
      </c>
      <c r="F148" t="s">
        <v>111</v>
      </c>
      <c r="G148" s="6" t="s">
        <v>186</v>
      </c>
      <c r="H148" t="s">
        <v>116</v>
      </c>
      <c r="I148" s="155"/>
      <c r="J148" s="233">
        <v>34346508</v>
      </c>
      <c r="K148" s="155">
        <f>+Tableau6[[#This Row],[MONTANT HT BIEN]]+Tableau6[[#This Row],[MONTANT HT SERVICE]]</f>
        <v>34346508</v>
      </c>
      <c r="L148" s="153">
        <v>0</v>
      </c>
      <c r="M148" s="153">
        <f>+IFERROR(IF(Tableau6[[#This Row],[CODE TVA]]="TVAF",Tableau6[[#This Row],[MONTANT HT]]*0.18,0),0)</f>
        <v>6182371.4399999995</v>
      </c>
      <c r="N148" s="153">
        <f>Tableau6[[#This Row],[MONTANT HT]]+Tableau6[[#This Row],[TVA]]-Tableau6[[#This Row],[ACOMPTE SUR HT]]</f>
        <v>40528879.439999998</v>
      </c>
      <c r="O148" s="153"/>
      <c r="P148" s="153">
        <f>+ROUND(Tableau6[[#This Row],[MONTANT TTC]]-Tableau6[[#This Row],[ACOMPTE SUR TTC]],0)</f>
        <v>40528879</v>
      </c>
      <c r="Q148" s="11" t="s">
        <v>543</v>
      </c>
      <c r="R148" s="5">
        <f>IFERROR(INDEX(Tableau2[[ID BC UNIQUE]:[MONTANT HT VALIDE]],MATCH(Tableau6[[#This Row],[N° BC]],Tableau2[ID BC UNIQUE],0),6),0)</f>
        <v>34346508</v>
      </c>
      <c r="S148" s="25">
        <f>IFERROR(INDEX(Tableau2[[DATE]:[DELAIS DE PAIEMENT FACTURES EN JOUR]],MATCH(Tableau6[[#This Row],[N° BC]],Tableau2[ID BC UNIQUE],0),5),0)</f>
        <v>30</v>
      </c>
      <c r="T148" s="7">
        <f>IF(ISBLANK(Tableau6[[#This Row],[DATE DE DEPOT]]),"",Tableau6[[#This Row],[DATE DE DEPOT]]+Tableau6[[#This Row],[DELAI]])</f>
        <v>45805</v>
      </c>
      <c r="U148" s="25">
        <f ca="1">+IF(AND(W148=0,Tableau6[[#This Row],[DATE LIMITE]]&lt;TODAY()),TODAY()-Tableau6[[#This Row],[DATE LIMITE]],0)</f>
        <v>0</v>
      </c>
      <c r="V148"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TROP PAYE</v>
      </c>
      <c r="W148" s="23">
        <f>SUMIF(Tableau3[FACTURE],Tableau6[[#This Row],[NUM DE FACTURE]],Tableau3[MONTANT TTC])</f>
        <v>40528880</v>
      </c>
      <c r="X148" s="7"/>
      <c r="Y148" s="156">
        <f>+Tableau6[[#This Row],[NET A PAYER]]-Tableau6[[#This Row],[MONTANT PAYE]]</f>
        <v>-1</v>
      </c>
      <c r="Z148"/>
    </row>
    <row r="149" spans="1:26" x14ac:dyDescent="0.2">
      <c r="A149" t="s">
        <v>100</v>
      </c>
      <c r="B149" s="3">
        <v>45775</v>
      </c>
      <c r="C149" s="7">
        <v>45775</v>
      </c>
      <c r="D149" s="351">
        <v>384</v>
      </c>
      <c r="E149" s="6" t="s">
        <v>138</v>
      </c>
      <c r="F149" t="s">
        <v>113</v>
      </c>
      <c r="G149" s="6" t="s">
        <v>182</v>
      </c>
      <c r="H149" t="s">
        <v>116</v>
      </c>
      <c r="I149" s="155"/>
      <c r="J149" s="233">
        <v>1360000</v>
      </c>
      <c r="K149" s="155">
        <f>+Tableau6[[#This Row],[MONTANT HT BIEN]]+Tableau6[[#This Row],[MONTANT HT SERVICE]]</f>
        <v>1360000</v>
      </c>
      <c r="L149" s="153">
        <v>0</v>
      </c>
      <c r="M149" s="153">
        <f>+IFERROR(IF(Tableau6[[#This Row],[CODE TVA]]="TVAF",Tableau6[[#This Row],[MONTANT HT]]*0.18,0),0)</f>
        <v>244800</v>
      </c>
      <c r="N149" s="153">
        <f>Tableau6[[#This Row],[MONTANT HT]]+Tableau6[[#This Row],[TVA]]-Tableau6[[#This Row],[ACOMPTE SUR HT]]</f>
        <v>1604800</v>
      </c>
      <c r="O149" s="153"/>
      <c r="P149" s="153">
        <f>+ROUND(Tableau6[[#This Row],[MONTANT TTC]]-Tableau6[[#This Row],[ACOMPTE SUR TTC]],0)</f>
        <v>1604800</v>
      </c>
      <c r="Q149" s="11" t="s">
        <v>544</v>
      </c>
      <c r="R149" s="5">
        <f>IFERROR(INDEX(Tableau2[[ID BC UNIQUE]:[MONTANT HT VALIDE]],MATCH(Tableau6[[#This Row],[N° BC]],Tableau2[ID BC UNIQUE],0),6),0)</f>
        <v>1360000</v>
      </c>
      <c r="S149" s="25">
        <f>IFERROR(INDEX(Tableau2[[DATE]:[DELAIS DE PAIEMENT FACTURES EN JOUR]],MATCH(Tableau6[[#This Row],[N° BC]],Tableau2[ID BC UNIQUE],0),5),0)</f>
        <v>30</v>
      </c>
      <c r="T149" s="7">
        <f>IF(ISBLANK(Tableau6[[#This Row],[DATE DE DEPOT]]),"",Tableau6[[#This Row],[DATE DE DEPOT]]+Tableau6[[#This Row],[DELAI]])</f>
        <v>45805</v>
      </c>
      <c r="U149" s="25">
        <f ca="1">+IF(AND(W149=0,Tableau6[[#This Row],[DATE LIMITE]]&lt;TODAY()),TODAY()-Tableau6[[#This Row],[DATE LIMITE]],0)</f>
        <v>0</v>
      </c>
      <c r="V149"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49" s="23">
        <f>SUMIF(Tableau3[FACTURE],Tableau6[[#This Row],[NUM DE FACTURE]],Tableau3[MONTANT TTC])</f>
        <v>1604800</v>
      </c>
      <c r="X149" s="7"/>
      <c r="Y149" s="156">
        <f>+Tableau6[[#This Row],[NET A PAYER]]-Tableau6[[#This Row],[MONTANT PAYE]]</f>
        <v>0</v>
      </c>
      <c r="Z149"/>
    </row>
    <row r="150" spans="1:26" x14ac:dyDescent="0.2">
      <c r="A150" t="s">
        <v>100</v>
      </c>
      <c r="B150" s="3">
        <v>45775</v>
      </c>
      <c r="C150" s="7">
        <v>45777</v>
      </c>
      <c r="D150" s="351">
        <v>385</v>
      </c>
      <c r="E150" s="6" t="s">
        <v>138</v>
      </c>
      <c r="F150" t="s">
        <v>111</v>
      </c>
      <c r="G150" s="6" t="s">
        <v>178</v>
      </c>
      <c r="H150" t="s">
        <v>116</v>
      </c>
      <c r="I150" s="155"/>
      <c r="J150" s="233">
        <v>28450015</v>
      </c>
      <c r="K150" s="155">
        <f>+Tableau6[[#This Row],[MONTANT HT BIEN]]+Tableau6[[#This Row],[MONTANT HT SERVICE]]</f>
        <v>28450015</v>
      </c>
      <c r="L150" s="153">
        <v>0</v>
      </c>
      <c r="M150" s="153">
        <f>+IFERROR(IF(Tableau6[[#This Row],[CODE TVA]]="TVAF",Tableau6[[#This Row],[MONTANT HT]]*0.18,0),0)</f>
        <v>5121002.7</v>
      </c>
      <c r="N150" s="153">
        <f>Tableau6[[#This Row],[MONTANT HT]]+Tableau6[[#This Row],[TVA]]-Tableau6[[#This Row],[ACOMPTE SUR HT]]</f>
        <v>33571017.700000003</v>
      </c>
      <c r="O150" s="153"/>
      <c r="P150" s="153">
        <f>+ROUND(Tableau6[[#This Row],[MONTANT TTC]]-Tableau6[[#This Row],[ACOMPTE SUR TTC]],0)</f>
        <v>33571018</v>
      </c>
      <c r="Q150" s="11" t="s">
        <v>545</v>
      </c>
      <c r="R150" s="5">
        <f>IFERROR(INDEX(Tableau2[[ID BC UNIQUE]:[MONTANT HT VALIDE]],MATCH(Tableau6[[#This Row],[N° BC]],Tableau2[ID BC UNIQUE],0),6),0)</f>
        <v>28450015</v>
      </c>
      <c r="S150" s="25">
        <f>IFERROR(INDEX(Tableau2[[DATE]:[DELAIS DE PAIEMENT FACTURES EN JOUR]],MATCH(Tableau6[[#This Row],[N° BC]],Tableau2[ID BC UNIQUE],0),5),0)</f>
        <v>30</v>
      </c>
      <c r="T150" s="7">
        <f>IF(ISBLANK(Tableau6[[#This Row],[DATE DE DEPOT]]),"",Tableau6[[#This Row],[DATE DE DEPOT]]+Tableau6[[#This Row],[DELAI]])</f>
        <v>45807</v>
      </c>
      <c r="U150" s="25">
        <f ca="1">+IF(AND(W150=0,Tableau6[[#This Row],[DATE LIMITE]]&lt;TODAY()),TODAY()-Tableau6[[#This Row],[DATE LIMITE]],0)</f>
        <v>0</v>
      </c>
      <c r="V150"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50" s="23">
        <f>SUMIF(Tableau3[FACTURE],Tableau6[[#This Row],[NUM DE FACTURE]],Tableau3[MONTANT TTC])</f>
        <v>33571018</v>
      </c>
      <c r="X150" s="7"/>
      <c r="Y150" s="156">
        <f>+Tableau6[[#This Row],[NET A PAYER]]-Tableau6[[#This Row],[MONTANT PAYE]]</f>
        <v>0</v>
      </c>
      <c r="Z150"/>
    </row>
    <row r="151" spans="1:26" x14ac:dyDescent="0.2">
      <c r="A151" t="s">
        <v>100</v>
      </c>
      <c r="B151" s="3">
        <v>45775</v>
      </c>
      <c r="C151" s="7">
        <v>45777</v>
      </c>
      <c r="D151" s="351">
        <v>386</v>
      </c>
      <c r="E151" s="6" t="s">
        <v>138</v>
      </c>
      <c r="F151" t="s">
        <v>111</v>
      </c>
      <c r="G151" s="6" t="s">
        <v>179</v>
      </c>
      <c r="H151" t="s">
        <v>116</v>
      </c>
      <c r="I151" s="155"/>
      <c r="J151" s="233">
        <v>7470000</v>
      </c>
      <c r="K151" s="155">
        <f>+Tableau6[[#This Row],[MONTANT HT BIEN]]+Tableau6[[#This Row],[MONTANT HT SERVICE]]</f>
        <v>7470000</v>
      </c>
      <c r="L151" s="153">
        <v>0</v>
      </c>
      <c r="M151" s="153">
        <f>+IFERROR(IF(Tableau6[[#This Row],[CODE TVA]]="TVAF",Tableau6[[#This Row],[MONTANT HT]]*0.18,0),0)</f>
        <v>1344600</v>
      </c>
      <c r="N151" s="153">
        <f>Tableau6[[#This Row],[MONTANT HT]]+Tableau6[[#This Row],[TVA]]-Tableau6[[#This Row],[ACOMPTE SUR HT]]</f>
        <v>8814600</v>
      </c>
      <c r="O151" s="153"/>
      <c r="P151" s="153">
        <f>+ROUND(Tableau6[[#This Row],[MONTANT TTC]]-Tableau6[[#This Row],[ACOMPTE SUR TTC]],0)</f>
        <v>8814600</v>
      </c>
      <c r="Q151" s="11" t="s">
        <v>546</v>
      </c>
      <c r="R151" s="5">
        <f>IFERROR(INDEX(Tableau2[[ID BC UNIQUE]:[MONTANT HT VALIDE]],MATCH(Tableau6[[#This Row],[N° BC]],Tableau2[ID BC UNIQUE],0),6),0)</f>
        <v>7470000</v>
      </c>
      <c r="S151" s="25">
        <f>IFERROR(INDEX(Tableau2[[DATE]:[DELAIS DE PAIEMENT FACTURES EN JOUR]],MATCH(Tableau6[[#This Row],[N° BC]],Tableau2[ID BC UNIQUE],0),5),0)</f>
        <v>30</v>
      </c>
      <c r="T151" s="7">
        <f>IF(ISBLANK(Tableau6[[#This Row],[DATE DE DEPOT]]),"",Tableau6[[#This Row],[DATE DE DEPOT]]+Tableau6[[#This Row],[DELAI]])</f>
        <v>45807</v>
      </c>
      <c r="U151" s="25">
        <f ca="1">+IF(AND(W151=0,Tableau6[[#This Row],[DATE LIMITE]]&lt;TODAY()),TODAY()-Tableau6[[#This Row],[DATE LIMITE]],0)</f>
        <v>0</v>
      </c>
      <c r="V151"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51" s="23">
        <f>SUMIF(Tableau3[FACTURE],Tableau6[[#This Row],[NUM DE FACTURE]],Tableau3[MONTANT TTC])</f>
        <v>8814600</v>
      </c>
      <c r="X151" s="7"/>
      <c r="Y151" s="156">
        <f>+Tableau6[[#This Row],[NET A PAYER]]-Tableau6[[#This Row],[MONTANT PAYE]]</f>
        <v>0</v>
      </c>
      <c r="Z151"/>
    </row>
    <row r="152" spans="1:26" x14ac:dyDescent="0.2">
      <c r="A152" t="s">
        <v>100</v>
      </c>
      <c r="B152" s="110">
        <v>45775</v>
      </c>
      <c r="C152" s="111">
        <v>45775</v>
      </c>
      <c r="D152" s="351">
        <v>387</v>
      </c>
      <c r="E152" s="6" t="s">
        <v>138</v>
      </c>
      <c r="F152" s="109" t="s">
        <v>111</v>
      </c>
      <c r="G152" s="6" t="s">
        <v>182</v>
      </c>
      <c r="H152" t="s">
        <v>116</v>
      </c>
      <c r="I152" s="185"/>
      <c r="J152" s="239">
        <v>690000</v>
      </c>
      <c r="K152" s="185">
        <f>+Tableau6[[#This Row],[MONTANT HT BIEN]]+Tableau6[[#This Row],[MONTANT HT SERVICE]]</f>
        <v>690000</v>
      </c>
      <c r="L152" s="153">
        <v>0</v>
      </c>
      <c r="M152" s="170">
        <f>+IFERROR(IF(Tableau6[[#This Row],[CODE TVA]]="TVAF",Tableau6[[#This Row],[MONTANT HT]]*0.18,0),0)</f>
        <v>124200</v>
      </c>
      <c r="N152" s="170">
        <f>Tableau6[[#This Row],[MONTANT HT]]+Tableau6[[#This Row],[TVA]]-Tableau6[[#This Row],[ACOMPTE SUR HT]]</f>
        <v>814200</v>
      </c>
      <c r="O152" s="170"/>
      <c r="P152" s="170">
        <f>+ROUND(Tableau6[[#This Row],[MONTANT TTC]]-Tableau6[[#This Row],[ACOMPTE SUR TTC]],0)</f>
        <v>814200</v>
      </c>
      <c r="Q152" s="33" t="s">
        <v>547</v>
      </c>
      <c r="R152" s="113">
        <f>IFERROR(INDEX(Tableau2[[ID BC UNIQUE]:[MONTANT HT VALIDE]],MATCH(Tableau6[[#This Row],[N° BC]],Tableau2[ID BC UNIQUE],0),6),0)</f>
        <v>690000</v>
      </c>
      <c r="S152" s="114">
        <f>IFERROR(INDEX(Tableau2[[DATE]:[DELAIS DE PAIEMENT FACTURES EN JOUR]],MATCH(Tableau6[[#This Row],[N° BC]],Tableau2[ID BC UNIQUE],0),5),0)</f>
        <v>30</v>
      </c>
      <c r="T152" s="111">
        <f>IF(ISBLANK(Tableau6[[#This Row],[DATE DE DEPOT]]),"",Tableau6[[#This Row],[DATE DE DEPOT]]+Tableau6[[#This Row],[DELAI]])</f>
        <v>45805</v>
      </c>
      <c r="U152" s="114">
        <f ca="1">+IF(AND(W152=0,Tableau6[[#This Row],[DATE LIMITE]]&lt;TODAY()),TODAY()-Tableau6[[#This Row],[DATE LIMITE]],0)</f>
        <v>0</v>
      </c>
      <c r="V152" s="11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52" s="112">
        <f>SUMIF(Tableau3[FACTURE],Tableau6[[#This Row],[NUM DE FACTURE]],Tableau3[MONTANT TTC])</f>
        <v>814200</v>
      </c>
      <c r="X152" s="111"/>
      <c r="Y152" s="162">
        <f>+Tableau6[[#This Row],[NET A PAYER]]-Tableau6[[#This Row],[MONTANT PAYE]]</f>
        <v>0</v>
      </c>
      <c r="Z152" s="109"/>
    </row>
    <row r="153" spans="1:26" x14ac:dyDescent="0.2">
      <c r="A153" t="s">
        <v>100</v>
      </c>
      <c r="B153" s="110">
        <v>45775</v>
      </c>
      <c r="C153" s="111">
        <v>45775</v>
      </c>
      <c r="D153" s="351">
        <v>388</v>
      </c>
      <c r="E153" s="6" t="s">
        <v>138</v>
      </c>
      <c r="F153" s="109" t="s">
        <v>111</v>
      </c>
      <c r="G153" s="6" t="s">
        <v>182</v>
      </c>
      <c r="H153" t="s">
        <v>116</v>
      </c>
      <c r="I153" s="185"/>
      <c r="J153" s="239">
        <v>7145000</v>
      </c>
      <c r="K153" s="185">
        <f>+Tableau6[[#This Row],[MONTANT HT BIEN]]+Tableau6[[#This Row],[MONTANT HT SERVICE]]</f>
        <v>7145000</v>
      </c>
      <c r="L153" s="153">
        <v>0</v>
      </c>
      <c r="M153" s="170">
        <f>+IFERROR(IF(Tableau6[[#This Row],[CODE TVA]]="TVAF",Tableau6[[#This Row],[MONTANT HT]]*0.18,0),0)</f>
        <v>1286100</v>
      </c>
      <c r="N153" s="170">
        <f>Tableau6[[#This Row],[MONTANT HT]]+Tableau6[[#This Row],[TVA]]-Tableau6[[#This Row],[ACOMPTE SUR HT]]</f>
        <v>8431100</v>
      </c>
      <c r="O153" s="170"/>
      <c r="P153" s="170">
        <f>+ROUND(Tableau6[[#This Row],[MONTANT TTC]]-Tableau6[[#This Row],[ACOMPTE SUR TTC]],0)</f>
        <v>8431100</v>
      </c>
      <c r="Q153" s="33" t="s">
        <v>548</v>
      </c>
      <c r="R153" s="113">
        <f>IFERROR(INDEX(Tableau2[[ID BC UNIQUE]:[MONTANT HT VALIDE]],MATCH(Tableau6[[#This Row],[N° BC]],Tableau2[ID BC UNIQUE],0),6),0)</f>
        <v>7145000</v>
      </c>
      <c r="S153" s="114">
        <f>IFERROR(INDEX(Tableau2[[DATE]:[DELAIS DE PAIEMENT FACTURES EN JOUR]],MATCH(Tableau6[[#This Row],[N° BC]],Tableau2[ID BC UNIQUE],0),5),0)</f>
        <v>30</v>
      </c>
      <c r="T153" s="111">
        <f>IF(ISBLANK(Tableau6[[#This Row],[DATE DE DEPOT]]),"",Tableau6[[#This Row],[DATE DE DEPOT]]+Tableau6[[#This Row],[DELAI]])</f>
        <v>45805</v>
      </c>
      <c r="U153" s="114">
        <f ca="1">+IF(AND(W153=0,Tableau6[[#This Row],[DATE LIMITE]]&lt;TODAY()),TODAY()-Tableau6[[#This Row],[DATE LIMITE]],0)</f>
        <v>0</v>
      </c>
      <c r="V153" s="11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53" s="112">
        <f>SUMIF(Tableau3[FACTURE],Tableau6[[#This Row],[NUM DE FACTURE]],Tableau3[MONTANT TTC])</f>
        <v>8431100</v>
      </c>
      <c r="X153" s="111"/>
      <c r="Y153" s="162">
        <f>+Tableau6[[#This Row],[NET A PAYER]]-Tableau6[[#This Row],[MONTANT PAYE]]</f>
        <v>0</v>
      </c>
      <c r="Z153" s="109"/>
    </row>
    <row r="154" spans="1:26" x14ac:dyDescent="0.2">
      <c r="A154" t="s">
        <v>100</v>
      </c>
      <c r="B154" s="110">
        <v>45776</v>
      </c>
      <c r="C154" s="111">
        <v>45782</v>
      </c>
      <c r="D154" s="351">
        <v>392</v>
      </c>
      <c r="E154" s="6" t="s">
        <v>138</v>
      </c>
      <c r="F154" s="109" t="s">
        <v>111</v>
      </c>
      <c r="G154" s="6" t="s">
        <v>333</v>
      </c>
      <c r="H154" t="s">
        <v>116</v>
      </c>
      <c r="I154" s="185">
        <v>1248000</v>
      </c>
      <c r="J154" s="239"/>
      <c r="K154" s="185">
        <f>+Tableau6[[#This Row],[MONTANT HT BIEN]]+Tableau6[[#This Row],[MONTANT HT SERVICE]]</f>
        <v>1248000</v>
      </c>
      <c r="L154" s="153">
        <v>0</v>
      </c>
      <c r="M154" s="170">
        <f>+IFERROR(IF(Tableau6[[#This Row],[CODE TVA]]="TVAF",Tableau6[[#This Row],[MONTANT HT]]*0.18,0),0)</f>
        <v>224640</v>
      </c>
      <c r="N154" s="170">
        <f>Tableau6[[#This Row],[MONTANT HT]]+Tableau6[[#This Row],[TVA]]-Tableau6[[#This Row],[ACOMPTE SUR HT]]</f>
        <v>1472640</v>
      </c>
      <c r="O154" s="170"/>
      <c r="P154" s="170">
        <f>+ROUND(Tableau6[[#This Row],[MONTANT TTC]]-Tableau6[[#This Row],[ACOMPTE SUR TTC]],0)</f>
        <v>1472640</v>
      </c>
      <c r="Q154" s="33" t="s">
        <v>549</v>
      </c>
      <c r="R154" s="113">
        <f>IFERROR(INDEX(Tableau2[[ID BC UNIQUE]:[MONTANT HT VALIDE]],MATCH(Tableau6[[#This Row],[N° BC]],Tableau2[ID BC UNIQUE],0),6),0)</f>
        <v>1248000</v>
      </c>
      <c r="S154" s="114">
        <f>IFERROR(INDEX(Tableau2[[DATE]:[DELAIS DE PAIEMENT FACTURES EN JOUR]],MATCH(Tableau6[[#This Row],[N° BC]],Tableau2[ID BC UNIQUE],0),5),0)</f>
        <v>30</v>
      </c>
      <c r="T154" s="111">
        <f>IF(ISBLANK(Tableau6[[#This Row],[DATE DE DEPOT]]),"",Tableau6[[#This Row],[DATE DE DEPOT]]+Tableau6[[#This Row],[DELAI]])</f>
        <v>45812</v>
      </c>
      <c r="U154" s="114">
        <f ca="1">+IF(AND(W154=0,Tableau6[[#This Row],[DATE LIMITE]]&lt;TODAY()),TODAY()-Tableau6[[#This Row],[DATE LIMITE]],0)</f>
        <v>0</v>
      </c>
      <c r="V154" s="11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54" s="112">
        <f>SUMIF(Tableau3[FACTURE],Tableau6[[#This Row],[NUM DE FACTURE]],Tableau3[MONTANT TTC])</f>
        <v>1472640</v>
      </c>
      <c r="X154" s="111"/>
      <c r="Y154" s="162">
        <f>+Tableau6[[#This Row],[NET A PAYER]]-Tableau6[[#This Row],[MONTANT PAYE]]</f>
        <v>0</v>
      </c>
      <c r="Z154" s="109"/>
    </row>
    <row r="155" spans="1:26" x14ac:dyDescent="0.2">
      <c r="A155" t="s">
        <v>100</v>
      </c>
      <c r="B155" s="3">
        <v>45776</v>
      </c>
      <c r="C155" s="7">
        <v>45776</v>
      </c>
      <c r="D155" s="351">
        <v>394</v>
      </c>
      <c r="E155" s="6" t="s">
        <v>138</v>
      </c>
      <c r="F155" t="s">
        <v>337</v>
      </c>
      <c r="G155" s="6" t="s">
        <v>171</v>
      </c>
      <c r="H155" t="s">
        <v>116</v>
      </c>
      <c r="I155" s="155"/>
      <c r="J155" s="233">
        <v>7456000</v>
      </c>
      <c r="K155" s="186">
        <f>+Tableau6[[#This Row],[MONTANT HT BIEN]]+Tableau6[[#This Row],[MONTANT HT SERVICE]]</f>
        <v>7456000</v>
      </c>
      <c r="L155" s="153">
        <v>0</v>
      </c>
      <c r="M155" s="153">
        <f>+IFERROR(IF(Tableau6[[#This Row],[CODE TVA]]="TVAF",Tableau6[[#This Row],[MONTANT HT]]*0.18,0),0)</f>
        <v>1342080</v>
      </c>
      <c r="N155" s="153">
        <f>Tableau6[[#This Row],[MONTANT HT]]+Tableau6[[#This Row],[TVA]]-Tableau6[[#This Row],[ACOMPTE SUR HT]]</f>
        <v>8798080</v>
      </c>
      <c r="O155" s="153"/>
      <c r="P155" s="153">
        <f>+ROUND(Tableau6[[#This Row],[MONTANT TTC]]-Tableau6[[#This Row],[ACOMPTE SUR TTC]],0)</f>
        <v>8798080</v>
      </c>
      <c r="Q155" s="11" t="s">
        <v>551</v>
      </c>
      <c r="R155" s="5">
        <f>IFERROR(INDEX(Tableau2[[ID BC UNIQUE]:[MONTANT HT VALIDE]],MATCH(Tableau6[[#This Row],[N° BC]],Tableau2[ID BC UNIQUE],0),6),0)</f>
        <v>7456000</v>
      </c>
      <c r="S155" s="25">
        <f>IFERROR(INDEX(Tableau2[[DATE]:[DELAIS DE PAIEMENT FACTURES EN JOUR]],MATCH(Tableau6[[#This Row],[N° BC]],Tableau2[ID BC UNIQUE],0),5),0)</f>
        <v>30</v>
      </c>
      <c r="T155" s="7">
        <f>IF(ISBLANK(Tableau6[[#This Row],[DATE DE DEPOT]]),"",Tableau6[[#This Row],[DATE DE DEPOT]]+Tableau6[[#This Row],[DELAI]])</f>
        <v>45806</v>
      </c>
      <c r="U155" s="25">
        <f ca="1">+IF(AND(W155=0,Tableau6[[#This Row],[DATE LIMITE]]&lt;TODAY()),TODAY()-Tableau6[[#This Row],[DATE LIMITE]],0)</f>
        <v>0</v>
      </c>
      <c r="V155"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55" s="23">
        <f>SUMIF(Tableau3[FACTURE],Tableau6[[#This Row],[NUM DE FACTURE]],Tableau3[MONTANT TTC])</f>
        <v>8798080</v>
      </c>
      <c r="X155" s="7"/>
      <c r="Y155" s="156">
        <f>+Tableau6[[#This Row],[NET A PAYER]]-Tableau6[[#This Row],[MONTANT PAYE]]</f>
        <v>0</v>
      </c>
      <c r="Z155"/>
    </row>
    <row r="156" spans="1:26" x14ac:dyDescent="0.2">
      <c r="A156" t="s">
        <v>100</v>
      </c>
      <c r="B156" s="3">
        <v>45784</v>
      </c>
      <c r="C156" s="3">
        <v>45784</v>
      </c>
      <c r="D156" s="352">
        <v>396</v>
      </c>
      <c r="E156" s="6" t="s">
        <v>102</v>
      </c>
      <c r="F156" t="s">
        <v>114</v>
      </c>
      <c r="G156" s="6" t="s">
        <v>552</v>
      </c>
      <c r="H156" t="s">
        <v>116</v>
      </c>
      <c r="I156" s="186">
        <v>16350000</v>
      </c>
      <c r="J156" s="240"/>
      <c r="K156" s="186">
        <f>+Tableau6[[#This Row],[MONTANT HT BIEN]]+Tableau6[[#This Row],[MONTANT HT SERVICE]]</f>
        <v>16350000</v>
      </c>
      <c r="L156" s="153">
        <v>0</v>
      </c>
      <c r="M156" s="171">
        <f>+IFERROR(IF(Tableau6[[#This Row],[CODE TVA]]="TVAF",Tableau6[[#This Row],[MONTANT HT]]*0.18,0),0)</f>
        <v>2943000</v>
      </c>
      <c r="N156" s="171">
        <f>Tableau6[[#This Row],[MONTANT HT]]+Tableau6[[#This Row],[TVA]]-Tableau6[[#This Row],[ACOMPTE SUR HT]]</f>
        <v>19293000</v>
      </c>
      <c r="O156" s="171"/>
      <c r="P156" s="171">
        <f>+ROUND(Tableau6[[#This Row],[MONTANT TTC]]-Tableau6[[#This Row],[ACOMPTE SUR TTC]],0)</f>
        <v>19293000</v>
      </c>
      <c r="Q156" s="11" t="s">
        <v>553</v>
      </c>
      <c r="R156" s="95">
        <f>IFERROR(INDEX(Tableau2[[ID BC UNIQUE]:[MONTANT HT VALIDE]],MATCH(Tableau6[[#This Row],[N° BC]],Tableau2[ID BC UNIQUE],0),6),0)</f>
        <v>16350000</v>
      </c>
      <c r="S156" s="96">
        <f>IFERROR(INDEX(Tableau2[[DATE]:[DELAIS DE PAIEMENT FACTURES EN JOUR]],MATCH(Tableau6[[#This Row],[N° BC]],Tableau2[ID BC UNIQUE],0),5),0)</f>
        <v>30</v>
      </c>
      <c r="T156" s="94">
        <f>IF(ISBLANK(Tableau6[[#This Row],[DATE DE DEPOT]]),"",Tableau6[[#This Row],[DATE DE DEPOT]]+Tableau6[[#This Row],[DELAI]])</f>
        <v>45814</v>
      </c>
      <c r="U156" s="96">
        <f ca="1">+IF(AND(W156=0,Tableau6[[#This Row],[DATE LIMITE]]&lt;TODAY()),TODAY()-Tableau6[[#This Row],[DATE LIMITE]],0)</f>
        <v>0</v>
      </c>
      <c r="V156" s="97"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56" s="98">
        <f>SUMIF(Tableau3[FACTURE],Tableau6[[#This Row],[NUM DE FACTURE]],Tableau3[MONTANT TTC])</f>
        <v>19293000</v>
      </c>
      <c r="X156" s="94"/>
      <c r="Y156" s="163">
        <f>+Tableau6[[#This Row],[NET A PAYER]]-Tableau6[[#This Row],[MONTANT PAYE]]</f>
        <v>0</v>
      </c>
      <c r="Z156" s="92"/>
    </row>
    <row r="157" spans="1:26" x14ac:dyDescent="0.2">
      <c r="A157" t="s">
        <v>100</v>
      </c>
      <c r="B157" s="93">
        <v>45785</v>
      </c>
      <c r="C157" s="7">
        <v>45797</v>
      </c>
      <c r="D157" s="351">
        <v>397</v>
      </c>
      <c r="E157" s="6" t="s">
        <v>102</v>
      </c>
      <c r="F157" t="s">
        <v>109</v>
      </c>
      <c r="G157" s="6" t="s">
        <v>426</v>
      </c>
      <c r="H157" t="s">
        <v>116</v>
      </c>
      <c r="I157" s="186"/>
      <c r="J157" s="240">
        <v>15705000</v>
      </c>
      <c r="K157" s="186">
        <f>+Tableau6[[#This Row],[MONTANT HT BIEN]]+Tableau6[[#This Row],[MONTANT HT SERVICE]]</f>
        <v>15705000</v>
      </c>
      <c r="L157" s="153">
        <v>0</v>
      </c>
      <c r="M157" s="171">
        <f>+IFERROR(IF(Tableau6[[#This Row],[CODE TVA]]="TVAF",Tableau6[[#This Row],[MONTANT HT]]*0.18,0),0)</f>
        <v>2826900</v>
      </c>
      <c r="N157" s="171">
        <f>Tableau6[[#This Row],[MONTANT HT]]+Tableau6[[#This Row],[TVA]]-Tableau6[[#This Row],[ACOMPTE SUR HT]]</f>
        <v>18531900</v>
      </c>
      <c r="O157" s="171"/>
      <c r="P157" s="171">
        <f>+ROUND(Tableau6[[#This Row],[MONTANT TTC]]-Tableau6[[#This Row],[ACOMPTE SUR TTC]],0)</f>
        <v>18531900</v>
      </c>
      <c r="Q157" s="11" t="s">
        <v>554</v>
      </c>
      <c r="R157" s="95">
        <f>IFERROR(INDEX(Tableau2[[ID BC UNIQUE]:[MONTANT HT VALIDE]],MATCH(Tableau6[[#This Row],[N° BC]],Tableau2[ID BC UNIQUE],0),6),0)</f>
        <v>15705000</v>
      </c>
      <c r="S157" s="96">
        <f>IFERROR(INDEX(Tableau2[[DATE]:[DELAIS DE PAIEMENT FACTURES EN JOUR]],MATCH(Tableau6[[#This Row],[N° BC]],Tableau2[ID BC UNIQUE],0),5),0)</f>
        <v>30</v>
      </c>
      <c r="T157" s="94">
        <f>IF(ISBLANK(Tableau6[[#This Row],[DATE DE DEPOT]]),"",Tableau6[[#This Row],[DATE DE DEPOT]]+Tableau6[[#This Row],[DELAI]])</f>
        <v>45827</v>
      </c>
      <c r="U157" s="96">
        <f ca="1">+IF(AND(W157=0,Tableau6[[#This Row],[DATE LIMITE]]&lt;TODAY()),TODAY()-Tableau6[[#This Row],[DATE LIMITE]],0)</f>
        <v>0</v>
      </c>
      <c r="V157" s="97"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57" s="98">
        <f>SUMIF(Tableau3[FACTURE],Tableau6[[#This Row],[NUM DE FACTURE]],Tableau3[MONTANT TTC])</f>
        <v>18531900</v>
      </c>
      <c r="X157" s="94"/>
      <c r="Y157" s="163">
        <f>+Tableau6[[#This Row],[NET A PAYER]]-Tableau6[[#This Row],[MONTANT PAYE]]</f>
        <v>0</v>
      </c>
      <c r="Z157" s="92"/>
    </row>
    <row r="158" spans="1:26" x14ac:dyDescent="0.2">
      <c r="A158" t="s">
        <v>100</v>
      </c>
      <c r="B158" s="131">
        <v>45790</v>
      </c>
      <c r="C158" s="132">
        <v>45792</v>
      </c>
      <c r="D158" s="351">
        <v>398</v>
      </c>
      <c r="E158" s="6" t="s">
        <v>138</v>
      </c>
      <c r="F158" s="130" t="s">
        <v>113</v>
      </c>
      <c r="G158" s="6" t="s">
        <v>183</v>
      </c>
      <c r="H158" t="s">
        <v>116</v>
      </c>
      <c r="I158" s="187"/>
      <c r="J158" s="241">
        <v>2640000</v>
      </c>
      <c r="K158" s="187">
        <f>+Tableau6[[#This Row],[MONTANT HT BIEN]]+Tableau6[[#This Row],[MONTANT HT SERVICE]]</f>
        <v>2640000</v>
      </c>
      <c r="L158" s="153">
        <v>0</v>
      </c>
      <c r="M158" s="172">
        <f>+IFERROR(IF(Tableau6[[#This Row],[CODE TVA]]="TVAF",Tableau6[[#This Row],[MONTANT HT]]*0.18,0),0)</f>
        <v>475200</v>
      </c>
      <c r="N158" s="172">
        <f>Tableau6[[#This Row],[MONTANT HT]]+Tableau6[[#This Row],[TVA]]-Tableau6[[#This Row],[ACOMPTE SUR HT]]</f>
        <v>3115200</v>
      </c>
      <c r="O158" s="172"/>
      <c r="P158" s="172">
        <f>+ROUND(Tableau6[[#This Row],[MONTANT TTC]]-Tableau6[[#This Row],[ACOMPTE SUR TTC]],0)</f>
        <v>3115200</v>
      </c>
      <c r="Q158" s="33" t="s">
        <v>555</v>
      </c>
      <c r="R158" s="134">
        <f>IFERROR(INDEX(Tableau2[[ID BC UNIQUE]:[MONTANT HT VALIDE]],MATCH(Tableau6[[#This Row],[N° BC]],Tableau2[ID BC UNIQUE],0),6),0)</f>
        <v>2640000</v>
      </c>
      <c r="S158" s="135">
        <f>IFERROR(INDEX(Tableau2[[DATE]:[DELAIS DE PAIEMENT FACTURES EN JOUR]],MATCH(Tableau6[[#This Row],[N° BC]],Tableau2[ID BC UNIQUE],0),5),0)</f>
        <v>30</v>
      </c>
      <c r="T158" s="132">
        <f>IF(ISBLANK(Tableau6[[#This Row],[DATE DE DEPOT]]),"",Tableau6[[#This Row],[DATE DE DEPOT]]+Tableau6[[#This Row],[DELAI]])</f>
        <v>45822</v>
      </c>
      <c r="U158" s="135">
        <f ca="1">+IF(AND(W158=0,Tableau6[[#This Row],[DATE LIMITE]]&lt;TODAY()),TODAY()-Tableau6[[#This Row],[DATE LIMITE]],0)</f>
        <v>0</v>
      </c>
      <c r="V158" s="136"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58" s="133">
        <f>SUMIF(Tableau3[FACTURE],Tableau6[[#This Row],[NUM DE FACTURE]],Tableau3[MONTANT TTC])</f>
        <v>3115200</v>
      </c>
      <c r="X158" s="132"/>
      <c r="Y158" s="164">
        <f>+Tableau6[[#This Row],[NET A PAYER]]-Tableau6[[#This Row],[MONTANT PAYE]]</f>
        <v>0</v>
      </c>
      <c r="Z158" s="130"/>
    </row>
    <row r="159" spans="1:26" x14ac:dyDescent="0.2">
      <c r="A159" t="s">
        <v>100</v>
      </c>
      <c r="B159" s="3">
        <v>45792</v>
      </c>
      <c r="C159" s="7">
        <v>45792</v>
      </c>
      <c r="D159" s="351">
        <v>1</v>
      </c>
      <c r="E159" s="6" t="s">
        <v>138</v>
      </c>
      <c r="F159" t="s">
        <v>111</v>
      </c>
      <c r="G159" s="6" t="s">
        <v>165</v>
      </c>
      <c r="H159" t="s">
        <v>116</v>
      </c>
      <c r="I159" s="155"/>
      <c r="J159" s="233">
        <v>4860000</v>
      </c>
      <c r="K159" s="186">
        <f>+Tableau6[[#This Row],[MONTANT HT BIEN]]+Tableau6[[#This Row],[MONTANT HT SERVICE]]</f>
        <v>4860000</v>
      </c>
      <c r="L159" s="153">
        <v>0</v>
      </c>
      <c r="M159" s="153">
        <f>+IFERROR(IF(Tableau6[[#This Row],[CODE TVA]]="TVAF",Tableau6[[#This Row],[MONTANT HT]]*0.18,0),0)</f>
        <v>874800</v>
      </c>
      <c r="N159" s="153">
        <f>Tableau6[[#This Row],[MONTANT HT]]+Tableau6[[#This Row],[TVA]]-Tableau6[[#This Row],[ACOMPTE SUR HT]]</f>
        <v>5734800</v>
      </c>
      <c r="O159" s="153"/>
      <c r="P159" s="153">
        <f>+ROUND(Tableau6[[#This Row],[MONTANT TTC]]-Tableau6[[#This Row],[ACOMPTE SUR TTC]],0)</f>
        <v>5734800</v>
      </c>
      <c r="Q159" s="11" t="s">
        <v>556</v>
      </c>
      <c r="R159" s="145">
        <f>IFERROR(INDEX(Tableau2[[ID BC UNIQUE]:[MONTANT HT VALIDE]],MATCH(Tableau6[[#This Row],[N° BC]],Tableau2[ID BC UNIQUE],0),6),0)</f>
        <v>4860000</v>
      </c>
      <c r="S159" s="147">
        <f>IFERROR(INDEX(Tableau2[[DATE]:[DELAIS DE PAIEMENT FACTURES EN JOUR]],MATCH(Tableau6[[#This Row],[N° BC]],Tableau2[ID BC UNIQUE],0),5),0)</f>
        <v>30</v>
      </c>
      <c r="T159" s="143">
        <f>IF(ISBLANK(Tableau6[[#This Row],[DATE DE DEPOT]]),"",Tableau6[[#This Row],[DATE DE DEPOT]]+Tableau6[[#This Row],[DELAI]])</f>
        <v>45822</v>
      </c>
      <c r="U159" s="147">
        <f ca="1">+IF(AND(W159=0,Tableau6[[#This Row],[DATE LIMITE]]&lt;TODAY()),TODAY()-Tableau6[[#This Row],[DATE LIMITE]],0)</f>
        <v>0</v>
      </c>
      <c r="V159"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59" s="144">
        <f>SUMIF(Tableau3[FACTURE],Tableau6[[#This Row],[NUM DE FACTURE]],Tableau3[MONTANT TTC])</f>
        <v>5734800</v>
      </c>
      <c r="X159" s="143"/>
      <c r="Y159" s="154">
        <f>+Tableau6[[#This Row],[NET A PAYER]]-Tableau6[[#This Row],[MONTANT PAYE]]</f>
        <v>0</v>
      </c>
      <c r="Z159"/>
    </row>
    <row r="160" spans="1:26" x14ac:dyDescent="0.2">
      <c r="A160" t="s">
        <v>100</v>
      </c>
      <c r="B160" s="3">
        <v>45792</v>
      </c>
      <c r="C160" s="7">
        <v>45792</v>
      </c>
      <c r="D160" s="472">
        <v>2</v>
      </c>
      <c r="E160" s="6" t="s">
        <v>138</v>
      </c>
      <c r="F160" t="s">
        <v>111</v>
      </c>
      <c r="G160" s="6" t="s">
        <v>200</v>
      </c>
      <c r="H160" t="s">
        <v>116</v>
      </c>
      <c r="I160" s="186"/>
      <c r="J160" s="441">
        <v>5000000</v>
      </c>
      <c r="K160" s="186">
        <f>+Tableau6[[#This Row],[MONTANT HT BIEN]]+Tableau6[[#This Row],[MONTANT HT SERVICE]]</f>
        <v>5000000</v>
      </c>
      <c r="L160" s="153">
        <v>0</v>
      </c>
      <c r="M160" s="171">
        <f>+IFERROR(IF(Tableau6[[#This Row],[CODE TVA]]="TVAF",Tableau6[[#This Row],[MONTANT HT]]*0.18,0),0)</f>
        <v>900000</v>
      </c>
      <c r="N160" s="171">
        <f>Tableau6[[#This Row],[MONTANT HT]]+Tableau6[[#This Row],[TVA]]-Tableau6[[#This Row],[ACOMPTE SUR HT]]</f>
        <v>5900000</v>
      </c>
      <c r="O160" s="171"/>
      <c r="P160" s="171">
        <f>+ROUND(Tableau6[[#This Row],[MONTANT TTC]]-Tableau6[[#This Row],[ACOMPTE SUR TTC]],0)</f>
        <v>5900000</v>
      </c>
      <c r="Q160" s="11" t="s">
        <v>557</v>
      </c>
      <c r="R160" s="145">
        <f>IFERROR(INDEX(Tableau2[[ID BC UNIQUE]:[MONTANT HT VALIDE]],MATCH(Tableau6[[#This Row],[N° BC]],Tableau2[ID BC UNIQUE],0),6),0)</f>
        <v>5000000</v>
      </c>
      <c r="S160" s="147">
        <f>IFERROR(INDEX(Tableau2[[DATE]:[DELAIS DE PAIEMENT FACTURES EN JOUR]],MATCH(Tableau6[[#This Row],[N° BC]],Tableau2[ID BC UNIQUE],0),5),0)</f>
        <v>30</v>
      </c>
      <c r="T160" s="143">
        <f>IF(ISBLANK(Tableau6[[#This Row],[DATE DE DEPOT]]),"",Tableau6[[#This Row],[DATE DE DEPOT]]+Tableau6[[#This Row],[DELAI]])</f>
        <v>45822</v>
      </c>
      <c r="U160" s="147">
        <f ca="1">+IF(AND(W160=0,Tableau6[[#This Row],[DATE LIMITE]]&lt;TODAY()),TODAY()-Tableau6[[#This Row],[DATE LIMITE]],0)</f>
        <v>0</v>
      </c>
      <c r="V160"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60" s="144">
        <f>SUMIF(Tableau3[FACTURE],Tableau6[[#This Row],[NUM DE FACTURE]],Tableau3[MONTANT TTC])</f>
        <v>5900000</v>
      </c>
      <c r="X160" s="143"/>
      <c r="Y160" s="154">
        <f>+Tableau6[[#This Row],[NET A PAYER]]-Tableau6[[#This Row],[MONTANT PAYE]]</f>
        <v>0</v>
      </c>
      <c r="Z160"/>
    </row>
    <row r="161" spans="1:26" x14ac:dyDescent="0.2">
      <c r="A161" t="s">
        <v>100</v>
      </c>
      <c r="B161" s="110">
        <v>45792</v>
      </c>
      <c r="C161" s="111">
        <v>45792</v>
      </c>
      <c r="D161" s="472">
        <v>3</v>
      </c>
      <c r="E161" s="6" t="s">
        <v>138</v>
      </c>
      <c r="F161" s="109" t="s">
        <v>111</v>
      </c>
      <c r="G161" s="6" t="s">
        <v>165</v>
      </c>
      <c r="H161" t="s">
        <v>116</v>
      </c>
      <c r="I161" s="185"/>
      <c r="J161" s="239">
        <v>4860000</v>
      </c>
      <c r="K161" s="185">
        <f>+Tableau6[[#This Row],[MONTANT HT BIEN]]+Tableau6[[#This Row],[MONTANT HT SERVICE]]</f>
        <v>4860000</v>
      </c>
      <c r="L161" s="153">
        <v>0</v>
      </c>
      <c r="M161" s="170">
        <f>+IFERROR(IF(Tableau6[[#This Row],[CODE TVA]]="TVAF",Tableau6[[#This Row],[MONTANT HT]]*0.18,0),0)</f>
        <v>874800</v>
      </c>
      <c r="N161" s="170">
        <f>Tableau6[[#This Row],[MONTANT HT]]+Tableau6[[#This Row],[TVA]]-Tableau6[[#This Row],[ACOMPTE SUR HT]]</f>
        <v>5734800</v>
      </c>
      <c r="O161" s="170"/>
      <c r="P161" s="170">
        <f>+ROUND(Tableau6[[#This Row],[MONTANT TTC]]-Tableau6[[#This Row],[ACOMPTE SUR TTC]],0)</f>
        <v>5734800</v>
      </c>
      <c r="Q161" s="33" t="s">
        <v>558</v>
      </c>
      <c r="R161" s="113">
        <f>IFERROR(INDEX(Tableau2[[ID BC UNIQUE]:[MONTANT HT VALIDE]],MATCH(Tableau6[[#This Row],[N° BC]],Tableau2[ID BC UNIQUE],0),6),0)</f>
        <v>4860000</v>
      </c>
      <c r="S161" s="114">
        <f>IFERROR(INDEX(Tableau2[[DATE]:[DELAIS DE PAIEMENT FACTURES EN JOUR]],MATCH(Tableau6[[#This Row],[N° BC]],Tableau2[ID BC UNIQUE],0),5),0)</f>
        <v>30</v>
      </c>
      <c r="T161" s="111">
        <f>IF(ISBLANK(Tableau6[[#This Row],[DATE DE DEPOT]]),"",Tableau6[[#This Row],[DATE DE DEPOT]]+Tableau6[[#This Row],[DELAI]])</f>
        <v>45822</v>
      </c>
      <c r="U161" s="114">
        <f ca="1">+IF(AND(W161=0,Tableau6[[#This Row],[DATE LIMITE]]&lt;TODAY()),TODAY()-Tableau6[[#This Row],[DATE LIMITE]],0)</f>
        <v>0</v>
      </c>
      <c r="V161" s="11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61" s="112">
        <f>SUMIF(Tableau3[FACTURE],Tableau6[[#This Row],[NUM DE FACTURE]],Tableau3[MONTANT TTC])</f>
        <v>5734800</v>
      </c>
      <c r="X161" s="111"/>
      <c r="Y161" s="162">
        <f>+Tableau6[[#This Row],[NET A PAYER]]-Tableau6[[#This Row],[MONTANT PAYE]]</f>
        <v>0</v>
      </c>
      <c r="Z161" s="109"/>
    </row>
    <row r="162" spans="1:26" x14ac:dyDescent="0.2">
      <c r="A162" t="s">
        <v>100</v>
      </c>
      <c r="B162" s="3">
        <v>45792</v>
      </c>
      <c r="C162" s="3">
        <v>45792</v>
      </c>
      <c r="D162" s="351">
        <v>4</v>
      </c>
      <c r="E162" s="6" t="s">
        <v>138</v>
      </c>
      <c r="F162" t="s">
        <v>111</v>
      </c>
      <c r="G162" s="6" t="s">
        <v>200</v>
      </c>
      <c r="H162" t="s">
        <v>116</v>
      </c>
      <c r="I162" s="155"/>
      <c r="J162" s="233">
        <v>4800000</v>
      </c>
      <c r="K162" s="186">
        <f>+Tableau6[[#This Row],[MONTANT HT BIEN]]+Tableau6[[#This Row],[MONTANT HT SERVICE]]</f>
        <v>4800000</v>
      </c>
      <c r="L162" s="153">
        <v>0</v>
      </c>
      <c r="M162" s="153">
        <f>+IFERROR(IF(Tableau6[[#This Row],[CODE TVA]]="TVAF",Tableau6[[#This Row],[MONTANT HT]]*0.18,0),0)</f>
        <v>864000</v>
      </c>
      <c r="N162" s="153">
        <f>Tableau6[[#This Row],[MONTANT HT]]+Tableau6[[#This Row],[TVA]]-Tableau6[[#This Row],[ACOMPTE SUR HT]]</f>
        <v>5664000</v>
      </c>
      <c r="O162" s="153"/>
      <c r="P162" s="153">
        <f>+ROUND(Tableau6[[#This Row],[MONTANT TTC]]-Tableau6[[#This Row],[ACOMPTE SUR TTC]],0)</f>
        <v>5664000</v>
      </c>
      <c r="Q162" s="33" t="s">
        <v>559</v>
      </c>
      <c r="R162" s="5">
        <f>IFERROR(INDEX(Tableau2[[ID BC UNIQUE]:[MONTANT HT VALIDE]],MATCH(Tableau6[[#This Row],[N° BC]],Tableau2[ID BC UNIQUE],0),6),0)</f>
        <v>4800000</v>
      </c>
      <c r="S162" s="25">
        <f>IFERROR(INDEX(Tableau2[[DATE]:[DELAIS DE PAIEMENT FACTURES EN JOUR]],MATCH(Tableau6[[#This Row],[N° BC]],Tableau2[ID BC UNIQUE],0),5),0)</f>
        <v>30</v>
      </c>
      <c r="T162" s="7">
        <f>IF(ISBLANK(Tableau6[[#This Row],[DATE DE DEPOT]]),"",Tableau6[[#This Row],[DATE DE DEPOT]]+Tableau6[[#This Row],[DELAI]])</f>
        <v>45822</v>
      </c>
      <c r="U162" s="25">
        <f ca="1">+IF(AND(W162=0,Tableau6[[#This Row],[DATE LIMITE]]&lt;TODAY()),TODAY()-Tableau6[[#This Row],[DATE LIMITE]],0)</f>
        <v>0</v>
      </c>
      <c r="V162"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62" s="23">
        <f>SUMIF(Tableau3[FACTURE],Tableau6[[#This Row],[NUM DE FACTURE]],Tableau3[MONTANT TTC])</f>
        <v>5664000</v>
      </c>
      <c r="X162" s="7"/>
      <c r="Y162" s="156">
        <f>+Tableau6[[#This Row],[NET A PAYER]]-Tableau6[[#This Row],[MONTANT PAYE]]</f>
        <v>0</v>
      </c>
      <c r="Z162"/>
    </row>
    <row r="163" spans="1:26" x14ac:dyDescent="0.2">
      <c r="A163" t="s">
        <v>100</v>
      </c>
      <c r="B163" s="3">
        <v>45792</v>
      </c>
      <c r="C163" s="7">
        <v>45792</v>
      </c>
      <c r="D163" s="351">
        <v>5</v>
      </c>
      <c r="E163" s="6" t="s">
        <v>138</v>
      </c>
      <c r="F163" t="s">
        <v>111</v>
      </c>
      <c r="G163" s="6" t="s">
        <v>171</v>
      </c>
      <c r="H163" t="s">
        <v>116</v>
      </c>
      <c r="I163" s="155"/>
      <c r="J163" s="233">
        <v>4320000</v>
      </c>
      <c r="K163" s="186">
        <f>+Tableau6[[#This Row],[MONTANT HT BIEN]]+Tableau6[[#This Row],[MONTANT HT SERVICE]]</f>
        <v>4320000</v>
      </c>
      <c r="L163" s="153">
        <v>0</v>
      </c>
      <c r="M163" s="153">
        <f>+IFERROR(IF(Tableau6[[#This Row],[CODE TVA]]="TVAF",Tableau6[[#This Row],[MONTANT HT]]*0.18,0),0)</f>
        <v>777600</v>
      </c>
      <c r="N163" s="153">
        <f>Tableau6[[#This Row],[MONTANT HT]]+Tableau6[[#This Row],[TVA]]-Tableau6[[#This Row],[ACOMPTE SUR HT]]</f>
        <v>5097600</v>
      </c>
      <c r="O163" s="153"/>
      <c r="P163" s="153">
        <f>+ROUND(Tableau6[[#This Row],[MONTANT TTC]]-Tableau6[[#This Row],[ACOMPTE SUR TTC]],0)</f>
        <v>5097600</v>
      </c>
      <c r="Q163" s="33" t="s">
        <v>560</v>
      </c>
      <c r="R163" s="5">
        <f>IFERROR(INDEX(Tableau2[[ID BC UNIQUE]:[MONTANT HT VALIDE]],MATCH(Tableau6[[#This Row],[N° BC]],Tableau2[ID BC UNIQUE],0),6),0)</f>
        <v>4320000</v>
      </c>
      <c r="S163" s="25">
        <f>IFERROR(INDEX(Tableau2[[DATE]:[DELAIS DE PAIEMENT FACTURES EN JOUR]],MATCH(Tableau6[[#This Row],[N° BC]],Tableau2[ID BC UNIQUE],0),5),0)</f>
        <v>30</v>
      </c>
      <c r="T163" s="7">
        <f>IF(ISBLANK(Tableau6[[#This Row],[DATE DE DEPOT]]),"",Tableau6[[#This Row],[DATE DE DEPOT]]+Tableau6[[#This Row],[DELAI]])</f>
        <v>45822</v>
      </c>
      <c r="U163" s="25">
        <f ca="1">+IF(AND(W163=0,Tableau6[[#This Row],[DATE LIMITE]]&lt;TODAY()),TODAY()-Tableau6[[#This Row],[DATE LIMITE]],0)</f>
        <v>0</v>
      </c>
      <c r="V163"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63" s="23">
        <f>SUMIF(Tableau3[FACTURE],Tableau6[[#This Row],[NUM DE FACTURE]],Tableau3[MONTANT TTC])</f>
        <v>5097600</v>
      </c>
      <c r="X163" s="7"/>
      <c r="Y163" s="156">
        <f>+Tableau6[[#This Row],[NET A PAYER]]-Tableau6[[#This Row],[MONTANT PAYE]]</f>
        <v>0</v>
      </c>
      <c r="Z163"/>
    </row>
    <row r="164" spans="1:26" x14ac:dyDescent="0.2">
      <c r="A164" t="s">
        <v>100</v>
      </c>
      <c r="B164" s="3">
        <v>45792</v>
      </c>
      <c r="C164" s="7">
        <v>45792</v>
      </c>
      <c r="D164" s="472">
        <v>6</v>
      </c>
      <c r="E164" s="6" t="s">
        <v>138</v>
      </c>
      <c r="F164" t="s">
        <v>111</v>
      </c>
      <c r="G164" s="6" t="s">
        <v>171</v>
      </c>
      <c r="H164" t="s">
        <v>116</v>
      </c>
      <c r="I164" s="155"/>
      <c r="J164" s="233">
        <v>7960000</v>
      </c>
      <c r="K164" s="155">
        <f>+Tableau6[[#This Row],[MONTANT HT BIEN]]+Tableau6[[#This Row],[MONTANT HT SERVICE]]</f>
        <v>7960000</v>
      </c>
      <c r="L164" s="153">
        <v>0</v>
      </c>
      <c r="M164" s="153">
        <f>+IFERROR(IF(Tableau6[[#This Row],[CODE TVA]]="TVAF",Tableau6[[#This Row],[MONTANT HT]]*0.18,0),0)</f>
        <v>1432800</v>
      </c>
      <c r="N164" s="153">
        <f>Tableau6[[#This Row],[MONTANT HT]]+Tableau6[[#This Row],[TVA]]-Tableau6[[#This Row],[ACOMPTE SUR HT]]</f>
        <v>9392800</v>
      </c>
      <c r="O164" s="153"/>
      <c r="P164" s="153">
        <f>+ROUND(Tableau6[[#This Row],[MONTANT TTC]]-Tableau6[[#This Row],[ACOMPTE SUR TTC]],0)</f>
        <v>9392800</v>
      </c>
      <c r="Q164" s="33" t="s">
        <v>561</v>
      </c>
      <c r="R164" s="5">
        <f>IFERROR(INDEX(Tableau2[[ID BC UNIQUE]:[MONTANT HT VALIDE]],MATCH(Tableau6[[#This Row],[N° BC]],Tableau2[ID BC UNIQUE],0),6),0)</f>
        <v>7960000</v>
      </c>
      <c r="S164" s="25">
        <f>IFERROR(INDEX(Tableau2[[DATE]:[DELAIS DE PAIEMENT FACTURES EN JOUR]],MATCH(Tableau6[[#This Row],[N° BC]],Tableau2[ID BC UNIQUE],0),5),0)</f>
        <v>30</v>
      </c>
      <c r="T164" s="7">
        <f>IF(ISBLANK(Tableau6[[#This Row],[DATE DE DEPOT]]),"",Tableau6[[#This Row],[DATE DE DEPOT]]+Tableau6[[#This Row],[DELAI]])</f>
        <v>45822</v>
      </c>
      <c r="U164" s="25">
        <f ca="1">+IF(AND(W164=0,Tableau6[[#This Row],[DATE LIMITE]]&lt;TODAY()),TODAY()-Tableau6[[#This Row],[DATE LIMITE]],0)</f>
        <v>0</v>
      </c>
      <c r="V164"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64" s="23">
        <f>SUMIF(Tableau3[FACTURE],Tableau6[[#This Row],[NUM DE FACTURE]],Tableau3[MONTANT TTC])</f>
        <v>9392800</v>
      </c>
      <c r="X164" s="7"/>
      <c r="Y164" s="156">
        <f>+Tableau6[[#This Row],[NET A PAYER]]-Tableau6[[#This Row],[MONTANT PAYE]]</f>
        <v>0</v>
      </c>
      <c r="Z164"/>
    </row>
    <row r="165" spans="1:26" x14ac:dyDescent="0.2">
      <c r="A165" t="s">
        <v>100</v>
      </c>
      <c r="B165" s="3">
        <v>45792</v>
      </c>
      <c r="C165" s="7">
        <v>45792</v>
      </c>
      <c r="D165" s="472">
        <v>7</v>
      </c>
      <c r="E165" s="6" t="s">
        <v>138</v>
      </c>
      <c r="F165" t="s">
        <v>111</v>
      </c>
      <c r="G165" s="6" t="s">
        <v>167</v>
      </c>
      <c r="H165" t="s">
        <v>116</v>
      </c>
      <c r="I165" s="155"/>
      <c r="J165" s="233">
        <v>5760000</v>
      </c>
      <c r="K165" s="155">
        <f>+Tableau6[[#This Row],[MONTANT HT BIEN]]+Tableau6[[#This Row],[MONTANT HT SERVICE]]</f>
        <v>5760000</v>
      </c>
      <c r="L165" s="153">
        <v>0</v>
      </c>
      <c r="M165" s="153">
        <f>+IFERROR(IF(Tableau6[[#This Row],[CODE TVA]]="TVAF",Tableau6[[#This Row],[MONTANT HT]]*0.18,0),0)</f>
        <v>1036800</v>
      </c>
      <c r="N165" s="153">
        <f>Tableau6[[#This Row],[MONTANT HT]]+Tableau6[[#This Row],[TVA]]-Tableau6[[#This Row],[ACOMPTE SUR HT]]</f>
        <v>6796800</v>
      </c>
      <c r="O165" s="153"/>
      <c r="P165" s="153">
        <f>+ROUND(Tableau6[[#This Row],[MONTANT TTC]]-Tableau6[[#This Row],[ACOMPTE SUR TTC]],0)</f>
        <v>6796800</v>
      </c>
      <c r="Q165" s="33" t="s">
        <v>562</v>
      </c>
      <c r="R165" s="5">
        <f>IFERROR(INDEX(Tableau2[[ID BC UNIQUE]:[MONTANT HT VALIDE]],MATCH(Tableau6[[#This Row],[N° BC]],Tableau2[ID BC UNIQUE],0),6),0)</f>
        <v>5760000</v>
      </c>
      <c r="S165" s="25">
        <f>IFERROR(INDEX(Tableau2[[DATE]:[DELAIS DE PAIEMENT FACTURES EN JOUR]],MATCH(Tableau6[[#This Row],[N° BC]],Tableau2[ID BC UNIQUE],0),5),0)</f>
        <v>30</v>
      </c>
      <c r="T165" s="7">
        <f>IF(ISBLANK(Tableau6[[#This Row],[DATE DE DEPOT]]),"",Tableau6[[#This Row],[DATE DE DEPOT]]+Tableau6[[#This Row],[DELAI]])</f>
        <v>45822</v>
      </c>
      <c r="U165" s="25">
        <f ca="1">+IF(AND(W165=0,Tableau6[[#This Row],[DATE LIMITE]]&lt;TODAY()),TODAY()-Tableau6[[#This Row],[DATE LIMITE]],0)</f>
        <v>0</v>
      </c>
      <c r="V165"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65" s="23">
        <f>SUMIF(Tableau3[FACTURE],Tableau6[[#This Row],[NUM DE FACTURE]],Tableau3[MONTANT TTC])</f>
        <v>6796800</v>
      </c>
      <c r="X165" s="7"/>
      <c r="Y165" s="156">
        <f>+Tableau6[[#This Row],[NET A PAYER]]-Tableau6[[#This Row],[MONTANT PAYE]]</f>
        <v>0</v>
      </c>
      <c r="Z165"/>
    </row>
    <row r="166" spans="1:26" x14ac:dyDescent="0.2">
      <c r="A166" t="s">
        <v>100</v>
      </c>
      <c r="B166" s="103">
        <v>45793</v>
      </c>
      <c r="C166" s="104">
        <v>45793</v>
      </c>
      <c r="D166" s="472">
        <v>8</v>
      </c>
      <c r="E166" s="6" t="s">
        <v>105</v>
      </c>
      <c r="F166" s="102" t="s">
        <v>114</v>
      </c>
      <c r="G166" s="6" t="s">
        <v>563</v>
      </c>
      <c r="H166" t="s">
        <v>116</v>
      </c>
      <c r="I166" s="188"/>
      <c r="J166" s="242">
        <v>1450710</v>
      </c>
      <c r="K166" s="188">
        <f>+Tableau6[[#This Row],[MONTANT HT BIEN]]+Tableau6[[#This Row],[MONTANT HT SERVICE]]</f>
        <v>1450710</v>
      </c>
      <c r="L166" s="153">
        <v>0</v>
      </c>
      <c r="M166" s="173">
        <f>+IFERROR(IF(Tableau6[[#This Row],[CODE TVA]]="TVAF",Tableau6[[#This Row],[MONTANT HT]]*0.18,0),0)</f>
        <v>261127.8</v>
      </c>
      <c r="N166" s="173">
        <f>Tableau6[[#This Row],[MONTANT HT]]+Tableau6[[#This Row],[TVA]]-Tableau6[[#This Row],[ACOMPTE SUR HT]]</f>
        <v>1711837.8</v>
      </c>
      <c r="O166" s="173"/>
      <c r="P166" s="173">
        <f>+ROUND(Tableau6[[#This Row],[MONTANT TTC]]-Tableau6[[#This Row],[ACOMPTE SUR TTC]],0)</f>
        <v>1711838</v>
      </c>
      <c r="Q166" s="33" t="s">
        <v>564</v>
      </c>
      <c r="R166" s="106">
        <f>IFERROR(INDEX(Tableau2[[ID BC UNIQUE]:[MONTANT HT VALIDE]],MATCH(Tableau6[[#This Row],[N° BC]],Tableau2[ID BC UNIQUE],0),6),0)</f>
        <v>1450710</v>
      </c>
      <c r="S166" s="107">
        <f>IFERROR(INDEX(Tableau2[[DATE]:[DELAIS DE PAIEMENT FACTURES EN JOUR]],MATCH(Tableau6[[#This Row],[N° BC]],Tableau2[ID BC UNIQUE],0),5),0)</f>
        <v>0</v>
      </c>
      <c r="T166" s="104">
        <f>IF(ISBLANK(Tableau6[[#This Row],[DATE DE DEPOT]]),"",Tableau6[[#This Row],[DATE DE DEPOT]]+Tableau6[[#This Row],[DELAI]])</f>
        <v>45793</v>
      </c>
      <c r="U166" s="107">
        <f ca="1">+IF(AND(W166=0,Tableau6[[#This Row],[DATE LIMITE]]&lt;TODAY()),TODAY()-Tableau6[[#This Row],[DATE LIMITE]],0)</f>
        <v>0</v>
      </c>
      <c r="V166" s="10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PAIEMENT PARTIEL</v>
      </c>
      <c r="W166" s="105">
        <f>SUMIF(Tableau3[FACTURE],Tableau6[[#This Row],[NUM DE FACTURE]],Tableau3[MONTANT TTC])</f>
        <v>1566766.8000000003</v>
      </c>
      <c r="X166" s="104"/>
      <c r="Y166" s="165">
        <f>+Tableau6[[#This Row],[NET A PAYER]]-Tableau6[[#This Row],[MONTANT PAYE]]</f>
        <v>145071.19999999972</v>
      </c>
      <c r="Z166" s="102"/>
    </row>
    <row r="167" spans="1:26" x14ac:dyDescent="0.2">
      <c r="A167" t="s">
        <v>100</v>
      </c>
      <c r="B167" s="103">
        <v>45798</v>
      </c>
      <c r="C167" s="104">
        <v>45806</v>
      </c>
      <c r="D167" s="351">
        <v>9</v>
      </c>
      <c r="E167" s="6" t="s">
        <v>138</v>
      </c>
      <c r="F167" s="102" t="s">
        <v>111</v>
      </c>
      <c r="G167" s="6" t="s">
        <v>183</v>
      </c>
      <c r="H167" t="s">
        <v>116</v>
      </c>
      <c r="I167" s="188"/>
      <c r="J167" s="242">
        <v>600000</v>
      </c>
      <c r="K167" s="188">
        <f>+Tableau6[[#This Row],[MONTANT HT BIEN]]+Tableau6[[#This Row],[MONTANT HT SERVICE]]</f>
        <v>600000</v>
      </c>
      <c r="L167" s="153">
        <v>0</v>
      </c>
      <c r="M167" s="173">
        <f>+IFERROR(IF(Tableau6[[#This Row],[CODE TVA]]="TVAF",Tableau6[[#This Row],[MONTANT HT]]*0.18,0),0)</f>
        <v>108000</v>
      </c>
      <c r="N167" s="173">
        <f>Tableau6[[#This Row],[MONTANT HT]]+Tableau6[[#This Row],[TVA]]-Tableau6[[#This Row],[ACOMPTE SUR HT]]</f>
        <v>708000</v>
      </c>
      <c r="O167" s="173"/>
      <c r="P167" s="173">
        <f>+ROUND(Tableau6[[#This Row],[MONTANT TTC]]-Tableau6[[#This Row],[ACOMPTE SUR TTC]],0)</f>
        <v>708000</v>
      </c>
      <c r="Q167" s="33" t="s">
        <v>565</v>
      </c>
      <c r="R167" s="106">
        <f>IFERROR(INDEX(Tableau2[[ID BC UNIQUE]:[MONTANT HT VALIDE]],MATCH(Tableau6[[#This Row],[N° BC]],Tableau2[ID BC UNIQUE],0),6),0)</f>
        <v>600000</v>
      </c>
      <c r="S167" s="107">
        <f>IFERROR(INDEX(Tableau2[[DATE]:[DELAIS DE PAIEMENT FACTURES EN JOUR]],MATCH(Tableau6[[#This Row],[N° BC]],Tableau2[ID BC UNIQUE],0),5),0)</f>
        <v>30</v>
      </c>
      <c r="T167" s="104">
        <f>IF(ISBLANK(Tableau6[[#This Row],[DATE DE DEPOT]]),"",Tableau6[[#This Row],[DATE DE DEPOT]]+Tableau6[[#This Row],[DELAI]])</f>
        <v>45836</v>
      </c>
      <c r="U167" s="107">
        <f ca="1">+IF(AND(W167=0,Tableau6[[#This Row],[DATE LIMITE]]&lt;TODAY()),TODAY()-Tableau6[[#This Row],[DATE LIMITE]],0)</f>
        <v>0</v>
      </c>
      <c r="V167" s="10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67" s="105">
        <f>SUMIF(Tableau3[FACTURE],Tableau6[[#This Row],[NUM DE FACTURE]],Tableau3[MONTANT TTC])</f>
        <v>708000</v>
      </c>
      <c r="X167" s="104"/>
      <c r="Y167" s="165">
        <f>+Tableau6[[#This Row],[NET A PAYER]]-Tableau6[[#This Row],[MONTANT PAYE]]</f>
        <v>0</v>
      </c>
      <c r="Z167" s="102"/>
    </row>
    <row r="168" spans="1:26" x14ac:dyDescent="0.2">
      <c r="A168" t="s">
        <v>100</v>
      </c>
      <c r="B168" s="103">
        <v>45798</v>
      </c>
      <c r="C168" s="104">
        <v>45799</v>
      </c>
      <c r="D168" s="472">
        <v>10</v>
      </c>
      <c r="E168" s="6" t="s">
        <v>138</v>
      </c>
      <c r="F168" s="102" t="s">
        <v>111</v>
      </c>
      <c r="G168" s="6" t="s">
        <v>182</v>
      </c>
      <c r="H168" t="s">
        <v>116</v>
      </c>
      <c r="I168" s="188"/>
      <c r="J168" s="242">
        <v>3145000</v>
      </c>
      <c r="K168" s="188">
        <f>+Tableau6[[#This Row],[MONTANT HT BIEN]]+Tableau6[[#This Row],[MONTANT HT SERVICE]]</f>
        <v>3145000</v>
      </c>
      <c r="L168" s="153">
        <v>0</v>
      </c>
      <c r="M168" s="173">
        <f>+IFERROR(IF(Tableau6[[#This Row],[CODE TVA]]="TVAF",Tableau6[[#This Row],[MONTANT HT]]*0.18,0),0)</f>
        <v>566100</v>
      </c>
      <c r="N168" s="173">
        <f>Tableau6[[#This Row],[MONTANT HT]]+Tableau6[[#This Row],[TVA]]-Tableau6[[#This Row],[ACOMPTE SUR HT]]</f>
        <v>3711100</v>
      </c>
      <c r="O168" s="173"/>
      <c r="P168" s="173">
        <f>+ROUND(Tableau6[[#This Row],[MONTANT TTC]]-Tableau6[[#This Row],[ACOMPTE SUR TTC]],0)</f>
        <v>3711100</v>
      </c>
      <c r="Q168" s="33" t="s">
        <v>566</v>
      </c>
      <c r="R168" s="106">
        <f>IFERROR(INDEX(Tableau2[[ID BC UNIQUE]:[MONTANT HT VALIDE]],MATCH(Tableau6[[#This Row],[N° BC]],Tableau2[ID BC UNIQUE],0),6),0)</f>
        <v>3145000</v>
      </c>
      <c r="S168" s="107">
        <f>IFERROR(INDEX(Tableau2[[DATE]:[DELAIS DE PAIEMENT FACTURES EN JOUR]],MATCH(Tableau6[[#This Row],[N° BC]],Tableau2[ID BC UNIQUE],0),5),0)</f>
        <v>30</v>
      </c>
      <c r="T168" s="104">
        <f>IF(ISBLANK(Tableau6[[#This Row],[DATE DE DEPOT]]),"",Tableau6[[#This Row],[DATE DE DEPOT]]+Tableau6[[#This Row],[DELAI]])</f>
        <v>45829</v>
      </c>
      <c r="U168" s="107">
        <f ca="1">+IF(AND(W168=0,Tableau6[[#This Row],[DATE LIMITE]]&lt;TODAY()),TODAY()-Tableau6[[#This Row],[DATE LIMITE]],0)</f>
        <v>0</v>
      </c>
      <c r="V168" s="10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68" s="105">
        <f>SUMIF(Tableau3[FACTURE],Tableau6[[#This Row],[NUM DE FACTURE]],Tableau3[MONTANT TTC])</f>
        <v>3711100</v>
      </c>
      <c r="X168" s="104"/>
      <c r="Y168" s="165">
        <f>+Tableau6[[#This Row],[NET A PAYER]]-Tableau6[[#This Row],[MONTANT PAYE]]</f>
        <v>0</v>
      </c>
      <c r="Z168" s="102"/>
    </row>
    <row r="169" spans="1:26" x14ac:dyDescent="0.2">
      <c r="A169" t="s">
        <v>100</v>
      </c>
      <c r="B169" s="103">
        <v>45798</v>
      </c>
      <c r="C169" s="104">
        <v>45799</v>
      </c>
      <c r="D169" s="472">
        <v>11</v>
      </c>
      <c r="E169" s="6" t="s">
        <v>138</v>
      </c>
      <c r="F169" s="102" t="s">
        <v>111</v>
      </c>
      <c r="G169" s="6" t="s">
        <v>182</v>
      </c>
      <c r="H169" t="s">
        <v>116</v>
      </c>
      <c r="I169" s="188"/>
      <c r="J169" s="242">
        <v>1250000</v>
      </c>
      <c r="K169" s="188">
        <f>+Tableau6[[#This Row],[MONTANT HT BIEN]]+Tableau6[[#This Row],[MONTANT HT SERVICE]]</f>
        <v>1250000</v>
      </c>
      <c r="L169" s="153">
        <v>0</v>
      </c>
      <c r="M169" s="173">
        <f>+IFERROR(IF(Tableau6[[#This Row],[CODE TVA]]="TVAF",Tableau6[[#This Row],[MONTANT HT]]*0.18,0),0)</f>
        <v>225000</v>
      </c>
      <c r="N169" s="173">
        <f>Tableau6[[#This Row],[MONTANT HT]]+Tableau6[[#This Row],[TVA]]-Tableau6[[#This Row],[ACOMPTE SUR HT]]</f>
        <v>1475000</v>
      </c>
      <c r="O169" s="173"/>
      <c r="P169" s="173">
        <f>+ROUND(Tableau6[[#This Row],[MONTANT TTC]]-Tableau6[[#This Row],[ACOMPTE SUR TTC]],0)</f>
        <v>1475000</v>
      </c>
      <c r="Q169" s="33" t="s">
        <v>567</v>
      </c>
      <c r="R169" s="106">
        <f>IFERROR(INDEX(Tableau2[[ID BC UNIQUE]:[MONTANT HT VALIDE]],MATCH(Tableau6[[#This Row],[N° BC]],Tableau2[ID BC UNIQUE],0),6),0)</f>
        <v>1250000</v>
      </c>
      <c r="S169" s="107">
        <f>IFERROR(INDEX(Tableau2[[DATE]:[DELAIS DE PAIEMENT FACTURES EN JOUR]],MATCH(Tableau6[[#This Row],[N° BC]],Tableau2[ID BC UNIQUE],0),5),0)</f>
        <v>30</v>
      </c>
      <c r="T169" s="104">
        <f>IF(ISBLANK(Tableau6[[#This Row],[DATE DE DEPOT]]),"",Tableau6[[#This Row],[DATE DE DEPOT]]+Tableau6[[#This Row],[DELAI]])</f>
        <v>45829</v>
      </c>
      <c r="U169" s="107">
        <f ca="1">+IF(AND(W169=0,Tableau6[[#This Row],[DATE LIMITE]]&lt;TODAY()),TODAY()-Tableau6[[#This Row],[DATE LIMITE]],0)</f>
        <v>0</v>
      </c>
      <c r="V169" s="10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69" s="105">
        <f>SUMIF(Tableau3[FACTURE],Tableau6[[#This Row],[NUM DE FACTURE]],Tableau3[MONTANT TTC])</f>
        <v>1475000</v>
      </c>
      <c r="X169" s="104"/>
      <c r="Y169" s="165">
        <f>+Tableau6[[#This Row],[NET A PAYER]]-Tableau6[[#This Row],[MONTANT PAYE]]</f>
        <v>0</v>
      </c>
      <c r="Z169" s="102"/>
    </row>
    <row r="170" spans="1:26" x14ac:dyDescent="0.2">
      <c r="A170" t="s">
        <v>100</v>
      </c>
      <c r="B170" s="110">
        <v>45798</v>
      </c>
      <c r="C170" s="111">
        <v>45799</v>
      </c>
      <c r="D170" s="351">
        <v>12</v>
      </c>
      <c r="E170" s="6" t="s">
        <v>138</v>
      </c>
      <c r="F170" s="109" t="s">
        <v>111</v>
      </c>
      <c r="G170" s="6" t="s">
        <v>182</v>
      </c>
      <c r="H170" t="s">
        <v>116</v>
      </c>
      <c r="I170" s="185"/>
      <c r="J170" s="239">
        <v>578000</v>
      </c>
      <c r="K170" s="185">
        <f>+Tableau6[[#This Row],[MONTANT HT BIEN]]+Tableau6[[#This Row],[MONTANT HT SERVICE]]</f>
        <v>578000</v>
      </c>
      <c r="L170" s="153">
        <v>0</v>
      </c>
      <c r="M170" s="170">
        <f>+IFERROR(IF(Tableau6[[#This Row],[CODE TVA]]="TVAF",Tableau6[[#This Row],[MONTANT HT]]*0.18,0),0)</f>
        <v>104040</v>
      </c>
      <c r="N170" s="170">
        <f>Tableau6[[#This Row],[MONTANT HT]]+Tableau6[[#This Row],[TVA]]-Tableau6[[#This Row],[ACOMPTE SUR HT]]</f>
        <v>682040</v>
      </c>
      <c r="O170" s="170"/>
      <c r="P170" s="170">
        <f>+ROUND(Tableau6[[#This Row],[MONTANT TTC]]-Tableau6[[#This Row],[ACOMPTE SUR TTC]],0)</f>
        <v>682040</v>
      </c>
      <c r="Q170" s="33" t="s">
        <v>568</v>
      </c>
      <c r="R170" s="113">
        <f>IFERROR(INDEX(Tableau2[[ID BC UNIQUE]:[MONTANT HT VALIDE]],MATCH(Tableau6[[#This Row],[N° BC]],Tableau2[ID BC UNIQUE],0),6),0)</f>
        <v>578000</v>
      </c>
      <c r="S170" s="114">
        <f>IFERROR(INDEX(Tableau2[[DATE]:[DELAIS DE PAIEMENT FACTURES EN JOUR]],MATCH(Tableau6[[#This Row],[N° BC]],Tableau2[ID BC UNIQUE],0),5),0)</f>
        <v>30</v>
      </c>
      <c r="T170" s="111">
        <f>IF(ISBLANK(Tableau6[[#This Row],[DATE DE DEPOT]]),"",Tableau6[[#This Row],[DATE DE DEPOT]]+Tableau6[[#This Row],[DELAI]])</f>
        <v>45829</v>
      </c>
      <c r="U170" s="114">
        <f ca="1">+IF(AND(W170=0,Tableau6[[#This Row],[DATE LIMITE]]&lt;TODAY()),TODAY()-Tableau6[[#This Row],[DATE LIMITE]],0)</f>
        <v>0</v>
      </c>
      <c r="V170" s="11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70" s="112">
        <f>SUMIF(Tableau3[FACTURE],Tableau6[[#This Row],[NUM DE FACTURE]],Tableau3[MONTANT TTC])</f>
        <v>682040</v>
      </c>
      <c r="X170" s="111"/>
      <c r="Y170" s="162">
        <f>+Tableau6[[#This Row],[NET A PAYER]]-Tableau6[[#This Row],[MONTANT PAYE]]</f>
        <v>0</v>
      </c>
      <c r="Z170" s="109"/>
    </row>
    <row r="171" spans="1:26" x14ac:dyDescent="0.2">
      <c r="A171" t="s">
        <v>100</v>
      </c>
      <c r="B171" s="3">
        <v>45800</v>
      </c>
      <c r="C171" s="7">
        <v>45807</v>
      </c>
      <c r="D171" s="351">
        <v>13</v>
      </c>
      <c r="E171" s="6" t="s">
        <v>138</v>
      </c>
      <c r="F171" s="109" t="s">
        <v>111</v>
      </c>
      <c r="G171" s="6" t="s">
        <v>183</v>
      </c>
      <c r="H171" t="s">
        <v>116</v>
      </c>
      <c r="I171" s="155"/>
      <c r="J171" s="233">
        <v>200000</v>
      </c>
      <c r="K171" s="155">
        <f>+Tableau6[[#This Row],[MONTANT HT BIEN]]+Tableau6[[#This Row],[MONTANT HT SERVICE]]</f>
        <v>200000</v>
      </c>
      <c r="L171" s="153">
        <v>0</v>
      </c>
      <c r="M171" s="153">
        <f>+IFERROR(IF(Tableau6[[#This Row],[CODE TVA]]="TVAF",Tableau6[[#This Row],[MONTANT HT]]*0.18,0),0)</f>
        <v>36000</v>
      </c>
      <c r="N171" s="153">
        <f>Tableau6[[#This Row],[MONTANT HT]]+Tableau6[[#This Row],[TVA]]-Tableau6[[#This Row],[ACOMPTE SUR HT]]</f>
        <v>236000</v>
      </c>
      <c r="O171" s="153"/>
      <c r="P171" s="153">
        <f>+ROUND(Tableau6[[#This Row],[MONTANT TTC]]-Tableau6[[#This Row],[ACOMPTE SUR TTC]],0)</f>
        <v>236000</v>
      </c>
      <c r="Q171" s="33" t="s">
        <v>569</v>
      </c>
      <c r="R171" s="5">
        <f>IFERROR(INDEX(Tableau2[[ID BC UNIQUE]:[MONTANT HT VALIDE]],MATCH(Tableau6[[#This Row],[N° BC]],Tableau2[ID BC UNIQUE],0),6),0)</f>
        <v>200000</v>
      </c>
      <c r="S171" s="25">
        <f>IFERROR(INDEX(Tableau2[[DATE]:[DELAIS DE PAIEMENT FACTURES EN JOUR]],MATCH(Tableau6[[#This Row],[N° BC]],Tableau2[ID BC UNIQUE],0),5),0)</f>
        <v>30</v>
      </c>
      <c r="T171" s="7">
        <f>IF(ISBLANK(Tableau6[[#This Row],[DATE DE DEPOT]]),"",Tableau6[[#This Row],[DATE DE DEPOT]]+Tableau6[[#This Row],[DELAI]])</f>
        <v>45837</v>
      </c>
      <c r="U171" s="25">
        <f ca="1">+IF(AND(W171=0,Tableau6[[#This Row],[DATE LIMITE]]&lt;TODAY()),TODAY()-Tableau6[[#This Row],[DATE LIMITE]],0)</f>
        <v>0</v>
      </c>
      <c r="V171"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71" s="23">
        <f>SUMIF(Tableau3[FACTURE],Tableau6[[#This Row],[NUM DE FACTURE]],Tableau3[MONTANT TTC])</f>
        <v>236000</v>
      </c>
      <c r="X171" s="7"/>
      <c r="Y171" s="156">
        <f>+Tableau6[[#This Row],[NET A PAYER]]-Tableau6[[#This Row],[MONTANT PAYE]]</f>
        <v>0</v>
      </c>
      <c r="Z171"/>
    </row>
    <row r="172" spans="1:26" x14ac:dyDescent="0.2">
      <c r="A172" t="s">
        <v>100</v>
      </c>
      <c r="B172" s="3">
        <v>45804</v>
      </c>
      <c r="C172" s="7">
        <v>45807</v>
      </c>
      <c r="D172" s="351">
        <v>14</v>
      </c>
      <c r="E172" s="6" t="s">
        <v>138</v>
      </c>
      <c r="F172" t="s">
        <v>111</v>
      </c>
      <c r="G172" s="6" t="s">
        <v>186</v>
      </c>
      <c r="H172" t="s">
        <v>116</v>
      </c>
      <c r="I172" s="155"/>
      <c r="J172" s="233">
        <v>16875009</v>
      </c>
      <c r="K172" s="155">
        <f>+Tableau6[[#This Row],[MONTANT HT BIEN]]+Tableau6[[#This Row],[MONTANT HT SERVICE]]</f>
        <v>16875009</v>
      </c>
      <c r="L172" s="153">
        <v>0</v>
      </c>
      <c r="M172" s="153">
        <f>+IFERROR(IF(Tableau6[[#This Row],[CODE TVA]]="TVAF",Tableau6[[#This Row],[MONTANT HT]]*0.18,0),0)</f>
        <v>3037501.62</v>
      </c>
      <c r="N172" s="153">
        <f>Tableau6[[#This Row],[MONTANT HT]]+Tableau6[[#This Row],[TVA]]-Tableau6[[#This Row],[ACOMPTE SUR HT]]</f>
        <v>19912510.620000001</v>
      </c>
      <c r="O172" s="153"/>
      <c r="P172" s="153">
        <f>+ROUND(Tableau6[[#This Row],[MONTANT TTC]]-Tableau6[[#This Row],[ACOMPTE SUR TTC]],0)</f>
        <v>19912511</v>
      </c>
      <c r="Q172" s="33" t="s">
        <v>570</v>
      </c>
      <c r="R172" s="5">
        <f>IFERROR(INDEX(Tableau2[[ID BC UNIQUE]:[MONTANT HT VALIDE]],MATCH(Tableau6[[#This Row],[N° BC]],Tableau2[ID BC UNIQUE],0),6),0)</f>
        <v>16875009</v>
      </c>
      <c r="S172" s="25">
        <f>IFERROR(INDEX(Tableau2[[DATE]:[DELAIS DE PAIEMENT FACTURES EN JOUR]],MATCH(Tableau6[[#This Row],[N° BC]],Tableau2[ID BC UNIQUE],0),5),0)</f>
        <v>30</v>
      </c>
      <c r="T172" s="7">
        <f>IF(ISBLANK(Tableau6[[#This Row],[DATE DE DEPOT]]),"",Tableau6[[#This Row],[DATE DE DEPOT]]+Tableau6[[#This Row],[DELAI]])</f>
        <v>45837</v>
      </c>
      <c r="U172" s="25">
        <f ca="1">+IF(AND(W172=0,Tableau6[[#This Row],[DATE LIMITE]]&lt;TODAY()),TODAY()-Tableau6[[#This Row],[DATE LIMITE]],0)</f>
        <v>0</v>
      </c>
      <c r="V172"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72" s="23">
        <f>SUMIF(Tableau3[FACTURE],Tableau6[[#This Row],[NUM DE FACTURE]],Tableau3[MONTANT TTC])</f>
        <v>19912511</v>
      </c>
      <c r="X172" s="7"/>
      <c r="Y172" s="156">
        <f>+Tableau6[[#This Row],[NET A PAYER]]-Tableau6[[#This Row],[MONTANT PAYE]]</f>
        <v>0</v>
      </c>
      <c r="Z172"/>
    </row>
    <row r="173" spans="1:26" x14ac:dyDescent="0.2">
      <c r="A173" t="s">
        <v>100</v>
      </c>
      <c r="B173" s="3">
        <v>45804</v>
      </c>
      <c r="C173" s="7">
        <v>45807</v>
      </c>
      <c r="D173" s="472">
        <v>15</v>
      </c>
      <c r="E173" s="6" t="s">
        <v>138</v>
      </c>
      <c r="F173" t="s">
        <v>111</v>
      </c>
      <c r="G173" s="6" t="s">
        <v>181</v>
      </c>
      <c r="H173" t="s">
        <v>116</v>
      </c>
      <c r="I173" s="155"/>
      <c r="J173" s="233">
        <v>44390000</v>
      </c>
      <c r="K173" s="155">
        <f>+Tableau6[[#This Row],[MONTANT HT BIEN]]+Tableau6[[#This Row],[MONTANT HT SERVICE]]</f>
        <v>44390000</v>
      </c>
      <c r="L173" s="155">
        <v>0</v>
      </c>
      <c r="M173" s="153">
        <f>+IFERROR(IF(Tableau6[[#This Row],[CODE TVA]]="TVAF",Tableau6[[#This Row],[MONTANT HT]]*0.18,0),0)</f>
        <v>7990200</v>
      </c>
      <c r="N173" s="153">
        <f>Tableau6[[#This Row],[MONTANT HT]]+Tableau6[[#This Row],[TVA]]-Tableau6[[#This Row],[ACOMPTE SUR HT]]</f>
        <v>52380200</v>
      </c>
      <c r="O173" s="153"/>
      <c r="P173" s="153">
        <f>+ROUND(Tableau6[[#This Row],[MONTANT TTC]]-Tableau6[[#This Row],[ACOMPTE SUR TTC]],0)</f>
        <v>52380200</v>
      </c>
      <c r="Q173" s="33" t="s">
        <v>571</v>
      </c>
      <c r="R173" s="5">
        <f>IFERROR(INDEX(Tableau2[[ID BC UNIQUE]:[MONTANT HT VALIDE]],MATCH(Tableau6[[#This Row],[N° BC]],Tableau2[ID BC UNIQUE],0),6),0)</f>
        <v>44390000</v>
      </c>
      <c r="S173" s="25">
        <f>IFERROR(INDEX(Tableau2[[DATE]:[DELAIS DE PAIEMENT FACTURES EN JOUR]],MATCH(Tableau6[[#This Row],[N° BC]],Tableau2[ID BC UNIQUE],0),5),0)</f>
        <v>30</v>
      </c>
      <c r="T173" s="7">
        <f>IF(ISBLANK(Tableau6[[#This Row],[DATE DE DEPOT]]),"",Tableau6[[#This Row],[DATE DE DEPOT]]+Tableau6[[#This Row],[DELAI]])</f>
        <v>45837</v>
      </c>
      <c r="U173" s="25">
        <f ca="1">+IF(AND(W173=0,Tableau6[[#This Row],[DATE LIMITE]]&lt;TODAY()),TODAY()-Tableau6[[#This Row],[DATE LIMITE]],0)</f>
        <v>0</v>
      </c>
      <c r="V173"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73" s="23">
        <f>SUMIF(Tableau3[FACTURE],Tableau6[[#This Row],[NUM DE FACTURE]],Tableau3[MONTANT TTC])</f>
        <v>52380200</v>
      </c>
      <c r="X173" s="7"/>
      <c r="Y173" s="156">
        <f>+Tableau6[[#This Row],[NET A PAYER]]-Tableau6[[#This Row],[MONTANT PAYE]]</f>
        <v>0</v>
      </c>
      <c r="Z173"/>
    </row>
    <row r="174" spans="1:26" x14ac:dyDescent="0.2">
      <c r="A174" t="s">
        <v>100</v>
      </c>
      <c r="B174" s="117">
        <v>45804</v>
      </c>
      <c r="C174" s="118">
        <v>45807</v>
      </c>
      <c r="D174" s="472">
        <v>16</v>
      </c>
      <c r="E174" s="6" t="s">
        <v>138</v>
      </c>
      <c r="F174" t="s">
        <v>111</v>
      </c>
      <c r="G174" s="6" t="s">
        <v>181</v>
      </c>
      <c r="H174" t="s">
        <v>116</v>
      </c>
      <c r="I174" s="189"/>
      <c r="J174" s="243">
        <v>40935000</v>
      </c>
      <c r="K174" s="189">
        <f>+Tableau6[[#This Row],[MONTANT HT BIEN]]+Tableau6[[#This Row],[MONTANT HT SERVICE]]</f>
        <v>40935000</v>
      </c>
      <c r="L174" s="153">
        <v>0</v>
      </c>
      <c r="M174" s="174">
        <f>+IFERROR(IF(Tableau6[[#This Row],[CODE TVA]]="TVAF",Tableau6[[#This Row],[MONTANT HT]]*0.18,0),0)</f>
        <v>7368300</v>
      </c>
      <c r="N174" s="174">
        <f>Tableau6[[#This Row],[MONTANT HT]]+Tableau6[[#This Row],[TVA]]-Tableau6[[#This Row],[ACOMPTE SUR HT]]</f>
        <v>48303300</v>
      </c>
      <c r="O174" s="174"/>
      <c r="P174" s="174">
        <f>+ROUND(Tableau6[[#This Row],[MONTANT TTC]]-Tableau6[[#This Row],[ACOMPTE SUR TTC]],0)</f>
        <v>48303300</v>
      </c>
      <c r="Q174" s="33" t="s">
        <v>572</v>
      </c>
      <c r="R174" s="120">
        <f>IFERROR(INDEX(Tableau2[[ID BC UNIQUE]:[MONTANT HT VALIDE]],MATCH(Tableau6[[#This Row],[N° BC]],Tableau2[ID BC UNIQUE],0),6),0)</f>
        <v>40935000</v>
      </c>
      <c r="S174" s="121">
        <f>IFERROR(INDEX(Tableau2[[DATE]:[DELAIS DE PAIEMENT FACTURES EN JOUR]],MATCH(Tableau6[[#This Row],[N° BC]],Tableau2[ID BC UNIQUE],0),5),0)</f>
        <v>30</v>
      </c>
      <c r="T174" s="118">
        <f>IF(ISBLANK(Tableau6[[#This Row],[DATE DE DEPOT]]),"",Tableau6[[#This Row],[DATE DE DEPOT]]+Tableau6[[#This Row],[DELAI]])</f>
        <v>45837</v>
      </c>
      <c r="U174" s="121">
        <f ca="1">+IF(AND(W174=0,Tableau6[[#This Row],[DATE LIMITE]]&lt;TODAY()),TODAY()-Tableau6[[#This Row],[DATE LIMITE]],0)</f>
        <v>0</v>
      </c>
      <c r="V174" s="12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74" s="119">
        <f>SUMIF(Tableau3[FACTURE],Tableau6[[#This Row],[NUM DE FACTURE]],Tableau3[MONTANT TTC])</f>
        <v>48303300</v>
      </c>
      <c r="X174" s="118"/>
      <c r="Y174" s="166">
        <f>+Tableau6[[#This Row],[NET A PAYER]]-Tableau6[[#This Row],[MONTANT PAYE]]</f>
        <v>0</v>
      </c>
      <c r="Z174" s="116"/>
    </row>
    <row r="175" spans="1:26" x14ac:dyDescent="0.2">
      <c r="A175" t="s">
        <v>100</v>
      </c>
      <c r="B175" s="3">
        <v>45804</v>
      </c>
      <c r="C175" s="7">
        <v>45805</v>
      </c>
      <c r="D175" s="351">
        <v>17</v>
      </c>
      <c r="E175" s="6" t="s">
        <v>138</v>
      </c>
      <c r="F175" s="109" t="s">
        <v>111</v>
      </c>
      <c r="G175" s="6" t="s">
        <v>185</v>
      </c>
      <c r="H175" t="s">
        <v>116</v>
      </c>
      <c r="I175" s="155"/>
      <c r="J175" s="233">
        <v>5075000</v>
      </c>
      <c r="K175" s="155">
        <f>+Tableau6[[#This Row],[MONTANT HT BIEN]]+Tableau6[[#This Row],[MONTANT HT SERVICE]]</f>
        <v>5075000</v>
      </c>
      <c r="L175" s="153">
        <v>0</v>
      </c>
      <c r="M175" s="153">
        <f>+IFERROR(IF(Tableau6[[#This Row],[CODE TVA]]="TVAF",Tableau6[[#This Row],[MONTANT HT]]*0.18,0),0)</f>
        <v>913500</v>
      </c>
      <c r="N175" s="153">
        <f>Tableau6[[#This Row],[MONTANT HT]]+Tableau6[[#This Row],[TVA]]-Tableau6[[#This Row],[ACOMPTE SUR HT]]</f>
        <v>5988500</v>
      </c>
      <c r="O175" s="153"/>
      <c r="P175" s="153">
        <f>+ROUND(Tableau6[[#This Row],[MONTANT TTC]]-Tableau6[[#This Row],[ACOMPTE SUR TTC]],0)</f>
        <v>5988500</v>
      </c>
      <c r="Q175" s="33" t="s">
        <v>573</v>
      </c>
      <c r="R175" s="5">
        <f>IFERROR(INDEX(Tableau2[[ID BC UNIQUE]:[MONTANT HT VALIDE]],MATCH(Tableau6[[#This Row],[N° BC]],Tableau2[ID BC UNIQUE],0),6),0)</f>
        <v>5075000</v>
      </c>
      <c r="S175" s="25">
        <f>IFERROR(INDEX(Tableau2[[DATE]:[DELAIS DE PAIEMENT FACTURES EN JOUR]],MATCH(Tableau6[[#This Row],[N° BC]],Tableau2[ID BC UNIQUE],0),5),0)</f>
        <v>30</v>
      </c>
      <c r="T175" s="7">
        <f>IF(ISBLANK(Tableau6[[#This Row],[DATE DE DEPOT]]),"",Tableau6[[#This Row],[DATE DE DEPOT]]+Tableau6[[#This Row],[DELAI]])</f>
        <v>45835</v>
      </c>
      <c r="U175" s="25">
        <f ca="1">+IF(AND(W175=0,Tableau6[[#This Row],[DATE LIMITE]]&lt;TODAY()),TODAY()-Tableau6[[#This Row],[DATE LIMITE]],0)</f>
        <v>0</v>
      </c>
      <c r="V175"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75" s="23">
        <f>SUMIF(Tableau3[FACTURE],Tableau6[[#This Row],[NUM DE FACTURE]],Tableau3[MONTANT TTC])</f>
        <v>5988500</v>
      </c>
      <c r="X175" s="7"/>
      <c r="Y175" s="156">
        <f>+Tableau6[[#This Row],[NET A PAYER]]-Tableau6[[#This Row],[MONTANT PAYE]]</f>
        <v>0</v>
      </c>
      <c r="Z175"/>
    </row>
    <row r="176" spans="1:26" x14ac:dyDescent="0.2">
      <c r="A176" t="s">
        <v>100</v>
      </c>
      <c r="B176" s="3">
        <v>45804</v>
      </c>
      <c r="C176" s="7">
        <v>45805</v>
      </c>
      <c r="D176" s="351">
        <v>18</v>
      </c>
      <c r="E176" s="6" t="s">
        <v>138</v>
      </c>
      <c r="F176" s="109" t="s">
        <v>111</v>
      </c>
      <c r="G176" s="6" t="s">
        <v>183</v>
      </c>
      <c r="H176" t="s">
        <v>116</v>
      </c>
      <c r="I176" s="155"/>
      <c r="J176" s="233">
        <v>1425000</v>
      </c>
      <c r="K176" s="155">
        <f>+Tableau6[[#This Row],[MONTANT HT BIEN]]+Tableau6[[#This Row],[MONTANT HT SERVICE]]</f>
        <v>1425000</v>
      </c>
      <c r="L176" s="153">
        <v>0</v>
      </c>
      <c r="M176" s="153">
        <f>+IFERROR(IF(Tableau6[[#This Row],[CODE TVA]]="TVAF",Tableau6[[#This Row],[MONTANT HT]]*0.18,0),0)</f>
        <v>256500</v>
      </c>
      <c r="N176" s="153">
        <f>Tableau6[[#This Row],[MONTANT HT]]+Tableau6[[#This Row],[TVA]]-Tableau6[[#This Row],[ACOMPTE SUR HT]]</f>
        <v>1681500</v>
      </c>
      <c r="O176" s="153"/>
      <c r="P176" s="153">
        <f>+ROUND(Tableau6[[#This Row],[MONTANT TTC]]-Tableau6[[#This Row],[ACOMPTE SUR TTC]],0)</f>
        <v>1681500</v>
      </c>
      <c r="Q176" s="33" t="s">
        <v>574</v>
      </c>
      <c r="R176" s="5">
        <f>IFERROR(INDEX(Tableau2[[ID BC UNIQUE]:[MONTANT HT VALIDE]],MATCH(Tableau6[[#This Row],[N° BC]],Tableau2[ID BC UNIQUE],0),6),0)</f>
        <v>1425000</v>
      </c>
      <c r="S176" s="25">
        <f>IFERROR(INDEX(Tableau2[[DATE]:[DELAIS DE PAIEMENT FACTURES EN JOUR]],MATCH(Tableau6[[#This Row],[N° BC]],Tableau2[ID BC UNIQUE],0),5),0)</f>
        <v>30</v>
      </c>
      <c r="T176" s="7">
        <f>IF(ISBLANK(Tableau6[[#This Row],[DATE DE DEPOT]]),"",Tableau6[[#This Row],[DATE DE DEPOT]]+Tableau6[[#This Row],[DELAI]])</f>
        <v>45835</v>
      </c>
      <c r="U176" s="25">
        <f ca="1">+IF(AND(W176=0,Tableau6[[#This Row],[DATE LIMITE]]&lt;TODAY()),TODAY()-Tableau6[[#This Row],[DATE LIMITE]],0)</f>
        <v>0</v>
      </c>
      <c r="V176"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76" s="23">
        <f>SUMIF(Tableau3[FACTURE],Tableau6[[#This Row],[NUM DE FACTURE]],Tableau3[MONTANT TTC])</f>
        <v>1681500</v>
      </c>
      <c r="X176" s="7"/>
      <c r="Y176" s="156">
        <f>+Tableau6[[#This Row],[NET A PAYER]]-Tableau6[[#This Row],[MONTANT PAYE]]</f>
        <v>0</v>
      </c>
      <c r="Z176"/>
    </row>
    <row r="177" spans="1:26" x14ac:dyDescent="0.2">
      <c r="A177" s="1" t="s">
        <v>100</v>
      </c>
      <c r="B177" s="364">
        <v>45805</v>
      </c>
      <c r="C177" s="365">
        <v>45716</v>
      </c>
      <c r="D177" s="366">
        <v>300</v>
      </c>
      <c r="E177" s="254" t="s">
        <v>138</v>
      </c>
      <c r="F177" s="254" t="s">
        <v>698</v>
      </c>
      <c r="G177" s="254" t="s">
        <v>200</v>
      </c>
      <c r="H177" s="254" t="s">
        <v>116</v>
      </c>
      <c r="I177" s="367"/>
      <c r="J177" s="368">
        <v>1400000</v>
      </c>
      <c r="K177" s="369">
        <f>+Tableau6[[#This Row],[MONTANT HT BIEN]]+Tableau6[[#This Row],[MONTANT HT SERVICE]]</f>
        <v>1400000</v>
      </c>
      <c r="L177" s="153"/>
      <c r="M177" s="370">
        <f>+IFERROR(IF(Tableau6[[#This Row],[CODE TVA]]="TVAF",Tableau6[[#This Row],[MONTANT HT]]*0.18,0),0)</f>
        <v>252000</v>
      </c>
      <c r="N177" s="370">
        <f>Tableau6[[#This Row],[MONTANT HT]]+Tableau6[[#This Row],[TVA]]-Tableau6[[#This Row],[ACOMPTE SUR HT]]</f>
        <v>1652000</v>
      </c>
      <c r="O177" s="370"/>
      <c r="P177" s="370">
        <f>+ROUND(Tableau6[[#This Row],[MONTANT TTC]]-Tableau6[[#This Row],[ACOMPTE SUR TTC]],0)</f>
        <v>1652000</v>
      </c>
      <c r="Q177" s="2" t="s">
        <v>699</v>
      </c>
      <c r="R177" s="372">
        <f>IFERROR(INDEX(Tableau2[[ID BC UNIQUE]:[MONTANT HT VALIDE]],MATCH(Tableau6[[#This Row],[N° BC]],Tableau2[ID BC UNIQUE],0),6),0)</f>
        <v>1400000</v>
      </c>
      <c r="S177" s="373">
        <f>IFERROR(INDEX(Tableau2[[DATE]:[DELAIS DE PAIEMENT FACTURES EN JOUR]],MATCH(Tableau6[[#This Row],[N° BC]],Tableau2[ID BC UNIQUE],0),5),0)</f>
        <v>30</v>
      </c>
      <c r="T177" s="365">
        <f>IF(ISBLANK(Tableau6[[#This Row],[DATE DE DEPOT]]),"",Tableau6[[#This Row],[DATE DE DEPOT]]+Tableau6[[#This Row],[DELAI]])</f>
        <v>45746</v>
      </c>
      <c r="U177" s="373">
        <f ca="1">+IF(AND(W177=0,Tableau6[[#This Row],[DATE LIMITE]]&lt;TODAY()),TODAY()-Tableau6[[#This Row],[DATE LIMITE]],0)</f>
        <v>0</v>
      </c>
      <c r="V177" s="37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77" s="374">
        <f>SUMIF(Tableau3[FACTURE],Tableau6[[#This Row],[NUM DE FACTURE]],Tableau3[MONTANT TTC])</f>
        <v>1652000</v>
      </c>
      <c r="X177" s="365"/>
      <c r="Y177" s="375">
        <f>+Tableau6[[#This Row],[NET A PAYER]]-Tableau6[[#This Row],[MONTANT PAYE]]</f>
        <v>0</v>
      </c>
      <c r="Z177" s="363"/>
    </row>
    <row r="178" spans="1:26" x14ac:dyDescent="0.2">
      <c r="A178" t="s">
        <v>100</v>
      </c>
      <c r="B178" s="117">
        <v>45806</v>
      </c>
      <c r="C178" s="118">
        <v>45807</v>
      </c>
      <c r="D178" s="351">
        <v>19</v>
      </c>
      <c r="E178" s="6" t="s">
        <v>138</v>
      </c>
      <c r="F178" s="116" t="s">
        <v>111</v>
      </c>
      <c r="G178" s="6" t="s">
        <v>182</v>
      </c>
      <c r="H178" t="s">
        <v>116</v>
      </c>
      <c r="I178" s="189"/>
      <c r="J178" s="243">
        <v>2500000</v>
      </c>
      <c r="K178" s="189">
        <f>+Tableau6[[#This Row],[MONTANT HT BIEN]]+Tableau6[[#This Row],[MONTANT HT SERVICE]]</f>
        <v>2500000</v>
      </c>
      <c r="L178" s="153">
        <v>0</v>
      </c>
      <c r="M178" s="174">
        <f>+IFERROR(IF(Tableau6[[#This Row],[CODE TVA]]="TVAF",Tableau6[[#This Row],[MONTANT HT]]*0.18,0),0)</f>
        <v>450000</v>
      </c>
      <c r="N178" s="174">
        <f>Tableau6[[#This Row],[MONTANT HT]]+Tableau6[[#This Row],[TVA]]-Tableau6[[#This Row],[ACOMPTE SUR HT]]</f>
        <v>2950000</v>
      </c>
      <c r="O178" s="174"/>
      <c r="P178" s="174">
        <f>+ROUND(Tableau6[[#This Row],[MONTANT TTC]]-Tableau6[[#This Row],[ACOMPTE SUR TTC]],0)</f>
        <v>2950000</v>
      </c>
      <c r="Q178" s="33" t="s">
        <v>576</v>
      </c>
      <c r="R178" s="120">
        <f>IFERROR(INDEX(Tableau2[[ID BC UNIQUE]:[MONTANT HT VALIDE]],MATCH(Tableau6[[#This Row],[N° BC]],Tableau2[ID BC UNIQUE],0),6),0)</f>
        <v>2500000</v>
      </c>
      <c r="S178" s="121">
        <f>IFERROR(INDEX(Tableau2[[DATE]:[DELAIS DE PAIEMENT FACTURES EN JOUR]],MATCH(Tableau6[[#This Row],[N° BC]],Tableau2[ID BC UNIQUE],0),5),0)</f>
        <v>30</v>
      </c>
      <c r="T178" s="118">
        <f>IF(ISBLANK(Tableau6[[#This Row],[DATE DE DEPOT]]),"",Tableau6[[#This Row],[DATE DE DEPOT]]+Tableau6[[#This Row],[DELAI]])</f>
        <v>45837</v>
      </c>
      <c r="U178" s="121">
        <f ca="1">+IF(AND(W178=0,Tableau6[[#This Row],[DATE LIMITE]]&lt;TODAY()),TODAY()-Tableau6[[#This Row],[DATE LIMITE]],0)</f>
        <v>0</v>
      </c>
      <c r="V178" s="12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78" s="119">
        <f>SUMIF(Tableau3[FACTURE],Tableau6[[#This Row],[NUM DE FACTURE]],Tableau3[MONTANT TTC])</f>
        <v>2950000</v>
      </c>
      <c r="X178" s="118"/>
      <c r="Y178" s="166">
        <f>+Tableau6[[#This Row],[NET A PAYER]]-Tableau6[[#This Row],[MONTANT PAYE]]</f>
        <v>0</v>
      </c>
      <c r="Z178" s="116"/>
    </row>
    <row r="179" spans="1:26" x14ac:dyDescent="0.2">
      <c r="A179" t="s">
        <v>100</v>
      </c>
      <c r="B179" s="3">
        <v>45807</v>
      </c>
      <c r="C179" s="7">
        <v>45807</v>
      </c>
      <c r="D179" s="351">
        <v>20</v>
      </c>
      <c r="E179" s="6" t="s">
        <v>103</v>
      </c>
      <c r="F179" t="s">
        <v>111</v>
      </c>
      <c r="G179" s="6" t="s">
        <v>575</v>
      </c>
      <c r="H179" t="s">
        <v>116</v>
      </c>
      <c r="I179" s="155"/>
      <c r="J179" s="233">
        <v>580000</v>
      </c>
      <c r="K179" s="155">
        <f>+Tableau6[[#This Row],[MONTANT HT BIEN]]+Tableau6[[#This Row],[MONTANT HT SERVICE]]</f>
        <v>580000</v>
      </c>
      <c r="L179" s="153">
        <v>0</v>
      </c>
      <c r="M179" s="153">
        <f>+IFERROR(IF(Tableau6[[#This Row],[CODE TVA]]="TVAF",Tableau6[[#This Row],[MONTANT HT]]*0.18,0),0)</f>
        <v>104400</v>
      </c>
      <c r="N179" s="153">
        <f>Tableau6[[#This Row],[MONTANT HT]]+Tableau6[[#This Row],[TVA]]-Tableau6[[#This Row],[ACOMPTE SUR HT]]</f>
        <v>684400</v>
      </c>
      <c r="O179" s="153"/>
      <c r="P179" s="153">
        <f>+ROUND(Tableau6[[#This Row],[MONTANT TTC]]-Tableau6[[#This Row],[ACOMPTE SUR TTC]],0)</f>
        <v>684400</v>
      </c>
      <c r="Q179" s="33"/>
      <c r="R179" s="5">
        <f>IFERROR(INDEX(Tableau2[[ID BC UNIQUE]:[MONTANT HT VALIDE]],MATCH(Tableau6[[#This Row],[N° BC]],Tableau2[ID BC UNIQUE],0),6),0)</f>
        <v>0</v>
      </c>
      <c r="S179" s="25">
        <f>IFERROR(INDEX(Tableau2[[DATE]:[DELAIS DE PAIEMENT FACTURES EN JOUR]],MATCH(Tableau6[[#This Row],[N° BC]],Tableau2[ID BC UNIQUE],0),5),0)</f>
        <v>0</v>
      </c>
      <c r="T179" s="7">
        <f>IF(ISBLANK(Tableau6[[#This Row],[DATE DE DEPOT]]),"",Tableau6[[#This Row],[DATE DE DEPOT]]+Tableau6[[#This Row],[DELAI]])</f>
        <v>45807</v>
      </c>
      <c r="U179" s="25">
        <f ca="1">+IF(AND(W179=0,Tableau6[[#This Row],[DATE LIMITE]]&lt;TODAY()),TODAY()-Tableau6[[#This Row],[DATE LIMITE]],0)</f>
        <v>0</v>
      </c>
      <c r="V179"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79" s="23">
        <f>SUMIF(Tableau3[FACTURE],Tableau6[[#This Row],[NUM DE FACTURE]],Tableau3[MONTANT TTC])</f>
        <v>684400</v>
      </c>
      <c r="X179" s="7"/>
      <c r="Y179" s="156">
        <f>+Tableau6[[#This Row],[NET A PAYER]]-Tableau6[[#This Row],[MONTANT PAYE]]</f>
        <v>0</v>
      </c>
      <c r="Z179"/>
    </row>
    <row r="180" spans="1:26" x14ac:dyDescent="0.2">
      <c r="A180" t="s">
        <v>100</v>
      </c>
      <c r="B180" s="124">
        <v>45810</v>
      </c>
      <c r="C180" s="7">
        <v>45810</v>
      </c>
      <c r="D180" s="351">
        <v>22</v>
      </c>
      <c r="E180" s="6" t="s">
        <v>138</v>
      </c>
      <c r="F180" s="123" t="s">
        <v>111</v>
      </c>
      <c r="G180" s="6" t="s">
        <v>183</v>
      </c>
      <c r="H180" t="s">
        <v>116</v>
      </c>
      <c r="I180" s="190"/>
      <c r="J180" s="244">
        <v>8600000</v>
      </c>
      <c r="K180" s="190">
        <f>+Tableau6[[#This Row],[MONTANT HT BIEN]]+Tableau6[[#This Row],[MONTANT HT SERVICE]]</f>
        <v>8600000</v>
      </c>
      <c r="L180" s="153">
        <v>0</v>
      </c>
      <c r="M180" s="175">
        <f>+IFERROR(IF(Tableau6[[#This Row],[CODE TVA]]="TVAF",Tableau6[[#This Row],[MONTANT HT]]*0.18,0),0)</f>
        <v>1548000</v>
      </c>
      <c r="N180" s="175">
        <f>Tableau6[[#This Row],[MONTANT HT]]+Tableau6[[#This Row],[TVA]]-Tableau6[[#This Row],[ACOMPTE SUR HT]]</f>
        <v>10148000</v>
      </c>
      <c r="O180" s="175"/>
      <c r="P180" s="175">
        <f>+ROUND(Tableau6[[#This Row],[MONTANT TTC]]-Tableau6[[#This Row],[ACOMPTE SUR TTC]],0)</f>
        <v>10148000</v>
      </c>
      <c r="Q180" s="33" t="s">
        <v>577</v>
      </c>
      <c r="R180" s="127">
        <f>IFERROR(INDEX(Tableau2[[ID BC UNIQUE]:[MONTANT HT VALIDE]],MATCH(Tableau6[[#This Row],[N° BC]],Tableau2[ID BC UNIQUE],0),6),0)</f>
        <v>8600000</v>
      </c>
      <c r="S180" s="128">
        <f>IFERROR(INDEX(Tableau2[[DATE]:[DELAIS DE PAIEMENT FACTURES EN JOUR]],MATCH(Tableau6[[#This Row],[N° BC]],Tableau2[ID BC UNIQUE],0),5),0)</f>
        <v>30</v>
      </c>
      <c r="T180" s="125">
        <f>IF(ISBLANK(Tableau6[[#This Row],[DATE DE DEPOT]]),"",Tableau6[[#This Row],[DATE DE DEPOT]]+Tableau6[[#This Row],[DELAI]])</f>
        <v>45840</v>
      </c>
      <c r="U180" s="128">
        <f ca="1">+IF(AND(W180=0,Tableau6[[#This Row],[DATE LIMITE]]&lt;TODAY()),TODAY()-Tableau6[[#This Row],[DATE LIMITE]],0)</f>
        <v>0</v>
      </c>
      <c r="V180" s="129"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80" s="126">
        <f>SUMIF(Tableau3[FACTURE],Tableau6[[#This Row],[NUM DE FACTURE]],Tableau3[MONTANT TTC])</f>
        <v>10148000</v>
      </c>
      <c r="X180" s="125"/>
      <c r="Y180" s="167">
        <f>+Tableau6[[#This Row],[NET A PAYER]]-Tableau6[[#This Row],[MONTANT PAYE]]</f>
        <v>0</v>
      </c>
      <c r="Z180" s="123"/>
    </row>
    <row r="181" spans="1:26" x14ac:dyDescent="0.2">
      <c r="A181" t="s">
        <v>100</v>
      </c>
      <c r="B181" s="131">
        <v>45820</v>
      </c>
      <c r="C181" s="132">
        <v>45820</v>
      </c>
      <c r="D181" s="351">
        <v>23</v>
      </c>
      <c r="E181" s="6" t="s">
        <v>138</v>
      </c>
      <c r="F181" s="123" t="s">
        <v>111</v>
      </c>
      <c r="G181" s="6" t="s">
        <v>185</v>
      </c>
      <c r="H181" t="s">
        <v>116</v>
      </c>
      <c r="I181" s="187"/>
      <c r="J181" s="241">
        <v>3500000</v>
      </c>
      <c r="K181" s="187">
        <f>+Tableau6[[#This Row],[MONTANT HT BIEN]]+Tableau6[[#This Row],[MONTANT HT SERVICE]]</f>
        <v>3500000</v>
      </c>
      <c r="L181" s="153">
        <v>0</v>
      </c>
      <c r="M181" s="172">
        <f>+IFERROR(IF(Tableau6[[#This Row],[CODE TVA]]="TVAF",Tableau6[[#This Row],[MONTANT HT]]*0.18,0),0)</f>
        <v>630000</v>
      </c>
      <c r="N181" s="172">
        <f>Tableau6[[#This Row],[MONTANT HT]]+Tableau6[[#This Row],[TVA]]-Tableau6[[#This Row],[ACOMPTE SUR HT]]</f>
        <v>4130000</v>
      </c>
      <c r="O181" s="172"/>
      <c r="P181" s="172">
        <f>+ROUND(Tableau6[[#This Row],[MONTANT TTC]]-Tableau6[[#This Row],[ACOMPTE SUR TTC]],0)</f>
        <v>4130000</v>
      </c>
      <c r="Q181" s="33" t="s">
        <v>578</v>
      </c>
      <c r="R181" s="134">
        <f>IFERROR(INDEX(Tableau2[[ID BC UNIQUE]:[MONTANT HT VALIDE]],MATCH(Tableau6[[#This Row],[N° BC]],Tableau2[ID BC UNIQUE],0),6),0)</f>
        <v>3500000</v>
      </c>
      <c r="S181" s="135">
        <f>IFERROR(INDEX(Tableau2[[DATE]:[DELAIS DE PAIEMENT FACTURES EN JOUR]],MATCH(Tableau6[[#This Row],[N° BC]],Tableau2[ID BC UNIQUE],0),5),0)</f>
        <v>30</v>
      </c>
      <c r="T181" s="132">
        <f>IF(ISBLANK(Tableau6[[#This Row],[DATE DE DEPOT]]),"",Tableau6[[#This Row],[DATE DE DEPOT]]+Tableau6[[#This Row],[DELAI]])</f>
        <v>45850</v>
      </c>
      <c r="U181" s="135">
        <f ca="1">+IF(AND(W181=0,Tableau6[[#This Row],[DATE LIMITE]]&lt;TODAY()),TODAY()-Tableau6[[#This Row],[DATE LIMITE]],0)</f>
        <v>0</v>
      </c>
      <c r="V181" s="136"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81" s="133">
        <f>SUMIF(Tableau3[FACTURE],Tableau6[[#This Row],[NUM DE FACTURE]],Tableau3[MONTANT TTC])</f>
        <v>4130000</v>
      </c>
      <c r="X181" s="132"/>
      <c r="Y181" s="164">
        <f>+Tableau6[[#This Row],[NET A PAYER]]-Tableau6[[#This Row],[MONTANT PAYE]]</f>
        <v>0</v>
      </c>
      <c r="Z181" s="130"/>
    </row>
    <row r="182" spans="1:26" x14ac:dyDescent="0.2">
      <c r="A182" t="s">
        <v>100</v>
      </c>
      <c r="B182" s="142">
        <v>45820</v>
      </c>
      <c r="C182" s="143">
        <v>45820</v>
      </c>
      <c r="D182" s="351">
        <v>24</v>
      </c>
      <c r="E182" s="6" t="s">
        <v>102</v>
      </c>
      <c r="F182" s="141" t="s">
        <v>111</v>
      </c>
      <c r="G182" s="6" t="s">
        <v>426</v>
      </c>
      <c r="H182" t="s">
        <v>116</v>
      </c>
      <c r="I182" s="191"/>
      <c r="J182" s="245">
        <v>13740392</v>
      </c>
      <c r="K182" s="191">
        <f>+Tableau6[[#This Row],[MONTANT HT BIEN]]+Tableau6[[#This Row],[MONTANT HT SERVICE]]</f>
        <v>13740392</v>
      </c>
      <c r="L182" s="191">
        <v>0</v>
      </c>
      <c r="M182" s="152">
        <f>+IFERROR(IF(Tableau6[[#This Row],[CODE TVA]]="TVAF",Tableau6[[#This Row],[MONTANT HT]]*0.18,0),0)</f>
        <v>2473270.56</v>
      </c>
      <c r="N182" s="152">
        <f>Tableau6[[#This Row],[MONTANT HT]]+Tableau6[[#This Row],[TVA]]-Tableau6[[#This Row],[ACOMPTE SUR HT]]</f>
        <v>16213662.560000001</v>
      </c>
      <c r="O182" s="152"/>
      <c r="P182" s="152">
        <f>+ROUND(Tableau6[[#This Row],[MONTANT TTC]]-Tableau6[[#This Row],[ACOMPTE SUR TTC]],0)</f>
        <v>16213663</v>
      </c>
      <c r="Q182" s="33" t="s">
        <v>579</v>
      </c>
      <c r="R182" s="145">
        <f>IFERROR(INDEX(Tableau2[[ID BC UNIQUE]:[MONTANT HT VALIDE]],MATCH(Tableau6[[#This Row],[N° BC]],Tableau2[ID BC UNIQUE],0),6),0)</f>
        <v>13740392</v>
      </c>
      <c r="S182" s="147">
        <f>IFERROR(INDEX(Tableau2[[DATE]:[DELAIS DE PAIEMENT FACTURES EN JOUR]],MATCH(Tableau6[[#This Row],[N° BC]],Tableau2[ID BC UNIQUE],0),5),0)</f>
        <v>30</v>
      </c>
      <c r="T182" s="143">
        <f>IF(ISBLANK(Tableau6[[#This Row],[DATE DE DEPOT]]),"",Tableau6[[#This Row],[DATE DE DEPOT]]+Tableau6[[#This Row],[DELAI]])</f>
        <v>45850</v>
      </c>
      <c r="U182" s="147">
        <f ca="1">+IF(AND(W182=0,Tableau6[[#This Row],[DATE LIMITE]]&lt;TODAY()),TODAY()-Tableau6[[#This Row],[DATE LIMITE]],0)</f>
        <v>0</v>
      </c>
      <c r="V182"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82" s="144">
        <f>SUMIF(Tableau3[FACTURE],Tableau6[[#This Row],[NUM DE FACTURE]],Tableau3[MONTANT TTC])</f>
        <v>16213663</v>
      </c>
      <c r="X182" s="143"/>
      <c r="Y182" s="154">
        <f>+Tableau6[[#This Row],[NET A PAYER]]-Tableau6[[#This Row],[MONTANT PAYE]]</f>
        <v>0</v>
      </c>
      <c r="Z182" s="141"/>
    </row>
    <row r="183" spans="1:26" x14ac:dyDescent="0.2">
      <c r="A183" t="s">
        <v>100</v>
      </c>
      <c r="B183" s="131">
        <v>45820</v>
      </c>
      <c r="C183" s="132">
        <v>45820</v>
      </c>
      <c r="D183" s="351">
        <v>25</v>
      </c>
      <c r="E183" s="6" t="s">
        <v>138</v>
      </c>
      <c r="F183" s="130" t="s">
        <v>111</v>
      </c>
      <c r="G183" s="6" t="s">
        <v>184</v>
      </c>
      <c r="H183" t="s">
        <v>116</v>
      </c>
      <c r="I183" s="187"/>
      <c r="J183" s="241">
        <v>1275000</v>
      </c>
      <c r="K183" s="187">
        <f>+Tableau6[[#This Row],[MONTANT HT BIEN]]+Tableau6[[#This Row],[MONTANT HT SERVICE]]</f>
        <v>1275000</v>
      </c>
      <c r="L183" s="153">
        <v>0</v>
      </c>
      <c r="M183" s="172">
        <f>+IFERROR(IF(Tableau6[[#This Row],[CODE TVA]]="TVAF",Tableau6[[#This Row],[MONTANT HT]]*0.18,0),0)</f>
        <v>229500</v>
      </c>
      <c r="N183" s="172">
        <f>Tableau6[[#This Row],[MONTANT HT]]+Tableau6[[#This Row],[TVA]]-Tableau6[[#This Row],[ACOMPTE SUR HT]]</f>
        <v>1504500</v>
      </c>
      <c r="O183" s="172"/>
      <c r="P183" s="172">
        <f>+ROUND(Tableau6[[#This Row],[MONTANT TTC]]-Tableau6[[#This Row],[ACOMPTE SUR TTC]],0)</f>
        <v>1504500</v>
      </c>
      <c r="Q183" s="33" t="s">
        <v>580</v>
      </c>
      <c r="R183" s="134">
        <f>IFERROR(INDEX(Tableau2[[ID BC UNIQUE]:[MONTANT HT VALIDE]],MATCH(Tableau6[[#This Row],[N° BC]],Tableau2[ID BC UNIQUE],0),6),0)</f>
        <v>1275000</v>
      </c>
      <c r="S183" s="135">
        <f>IFERROR(INDEX(Tableau2[[DATE]:[DELAIS DE PAIEMENT FACTURES EN JOUR]],MATCH(Tableau6[[#This Row],[N° BC]],Tableau2[ID BC UNIQUE],0),5),0)</f>
        <v>30</v>
      </c>
      <c r="T183" s="132">
        <f>IF(ISBLANK(Tableau6[[#This Row],[DATE DE DEPOT]]),"",Tableau6[[#This Row],[DATE DE DEPOT]]+Tableau6[[#This Row],[DELAI]])</f>
        <v>45850</v>
      </c>
      <c r="U183" s="135">
        <f ca="1">+IF(AND(W183=0,Tableau6[[#This Row],[DATE LIMITE]]&lt;TODAY()),TODAY()-Tableau6[[#This Row],[DATE LIMITE]],0)</f>
        <v>0</v>
      </c>
      <c r="V183" s="136"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83" s="133">
        <f>SUMIF(Tableau3[FACTURE],Tableau6[[#This Row],[NUM DE FACTURE]],Tableau3[MONTANT TTC])</f>
        <v>1504500</v>
      </c>
      <c r="X183" s="132"/>
      <c r="Y183" s="164">
        <f>+Tableau6[[#This Row],[NET A PAYER]]-Tableau6[[#This Row],[MONTANT PAYE]]</f>
        <v>0</v>
      </c>
      <c r="Z183" s="130"/>
    </row>
    <row r="184" spans="1:26" x14ac:dyDescent="0.2">
      <c r="A184" t="s">
        <v>100</v>
      </c>
      <c r="B184" s="131">
        <v>45820</v>
      </c>
      <c r="C184" s="132">
        <v>45820</v>
      </c>
      <c r="D184" s="351">
        <v>26</v>
      </c>
      <c r="E184" s="6" t="s">
        <v>138</v>
      </c>
      <c r="F184" t="s">
        <v>111</v>
      </c>
      <c r="G184" s="6" t="s">
        <v>180</v>
      </c>
      <c r="H184" t="s">
        <v>116</v>
      </c>
      <c r="I184" s="187"/>
      <c r="J184" s="241">
        <v>10640000</v>
      </c>
      <c r="K184" s="187">
        <f>+Tableau6[[#This Row],[MONTANT HT BIEN]]+Tableau6[[#This Row],[MONTANT HT SERVICE]]</f>
        <v>10640000</v>
      </c>
      <c r="L184" s="153">
        <v>0</v>
      </c>
      <c r="M184" s="172">
        <f>+IFERROR(IF(Tableau6[[#This Row],[CODE TVA]]="TVAF",Tableau6[[#This Row],[MONTANT HT]]*0.18,0),0)</f>
        <v>1915200</v>
      </c>
      <c r="N184" s="172">
        <f>Tableau6[[#This Row],[MONTANT HT]]+Tableau6[[#This Row],[TVA]]-Tableau6[[#This Row],[ACOMPTE SUR HT]]</f>
        <v>12555200</v>
      </c>
      <c r="O184" s="172"/>
      <c r="P184" s="172">
        <f>+ROUND(Tableau6[[#This Row],[MONTANT TTC]]-Tableau6[[#This Row],[ACOMPTE SUR TTC]],0)</f>
        <v>12555200</v>
      </c>
      <c r="Q184" s="33" t="s">
        <v>581</v>
      </c>
      <c r="R184" s="134">
        <f>IFERROR(INDEX(Tableau2[[ID BC UNIQUE]:[MONTANT HT VALIDE]],MATCH(Tableau6[[#This Row],[N° BC]],Tableau2[ID BC UNIQUE],0),6),0)</f>
        <v>10640000</v>
      </c>
      <c r="S184" s="135">
        <f>IFERROR(INDEX(Tableau2[[DATE]:[DELAIS DE PAIEMENT FACTURES EN JOUR]],MATCH(Tableau6[[#This Row],[N° BC]],Tableau2[ID BC UNIQUE],0),5),0)</f>
        <v>30</v>
      </c>
      <c r="T184" s="132">
        <f>IF(ISBLANK(Tableau6[[#This Row],[DATE DE DEPOT]]),"",Tableau6[[#This Row],[DATE DE DEPOT]]+Tableau6[[#This Row],[DELAI]])</f>
        <v>45850</v>
      </c>
      <c r="U184" s="135">
        <f ca="1">+IF(AND(W184=0,Tableau6[[#This Row],[DATE LIMITE]]&lt;TODAY()),TODAY()-Tableau6[[#This Row],[DATE LIMITE]],0)</f>
        <v>0</v>
      </c>
      <c r="V184" s="136"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84" s="133">
        <f>SUMIF(Tableau3[FACTURE],Tableau6[[#This Row],[NUM DE FACTURE]],Tableau3[MONTANT TTC])</f>
        <v>12555200</v>
      </c>
      <c r="X184" s="132"/>
      <c r="Y184" s="164">
        <f>+Tableau6[[#This Row],[NET A PAYER]]-Tableau6[[#This Row],[MONTANT PAYE]]</f>
        <v>0</v>
      </c>
      <c r="Z184" s="130"/>
    </row>
    <row r="185" spans="1:26" x14ac:dyDescent="0.2">
      <c r="A185" t="s">
        <v>100</v>
      </c>
      <c r="B185" s="131">
        <v>45820</v>
      </c>
      <c r="C185" s="132">
        <v>45820</v>
      </c>
      <c r="D185" s="351">
        <v>27</v>
      </c>
      <c r="E185" s="6" t="s">
        <v>138</v>
      </c>
      <c r="F185" s="130" t="s">
        <v>111</v>
      </c>
      <c r="G185" s="6" t="s">
        <v>178</v>
      </c>
      <c r="H185" t="s">
        <v>116</v>
      </c>
      <c r="I185" s="187"/>
      <c r="J185" s="241">
        <v>8100015.2542372886</v>
      </c>
      <c r="K185" s="187">
        <f>+Tableau6[[#This Row],[MONTANT HT BIEN]]+Tableau6[[#This Row],[MONTANT HT SERVICE]]</f>
        <v>8100015.2542372886</v>
      </c>
      <c r="L185" s="153">
        <v>0</v>
      </c>
      <c r="M185" s="172">
        <f>+IFERROR(IF(Tableau6[[#This Row],[CODE TVA]]="TVAF",Tableau6[[#This Row],[MONTANT HT]]*0.18,0),0)</f>
        <v>1458002.7457627119</v>
      </c>
      <c r="N185" s="172">
        <f>Tableau6[[#This Row],[MONTANT HT]]+Tableau6[[#This Row],[TVA]]-Tableau6[[#This Row],[ACOMPTE SUR HT]]</f>
        <v>9558018</v>
      </c>
      <c r="O185" s="172"/>
      <c r="P185" s="172">
        <f>+ROUND(Tableau6[[#This Row],[MONTANT TTC]]-Tableau6[[#This Row],[ACOMPTE SUR TTC]],0)</f>
        <v>9558018</v>
      </c>
      <c r="Q185" s="33" t="s">
        <v>582</v>
      </c>
      <c r="R185" s="134">
        <f>IFERROR(INDEX(Tableau2[[ID BC UNIQUE]:[MONTANT HT VALIDE]],MATCH(Tableau6[[#This Row],[N° BC]],Tableau2[ID BC UNIQUE],0),6),0)</f>
        <v>8100015.2542372886</v>
      </c>
      <c r="S185" s="135">
        <f>IFERROR(INDEX(Tableau2[[DATE]:[DELAIS DE PAIEMENT FACTURES EN JOUR]],MATCH(Tableau6[[#This Row],[N° BC]],Tableau2[ID BC UNIQUE],0),5),0)</f>
        <v>30</v>
      </c>
      <c r="T185" s="132">
        <f>IF(ISBLANK(Tableau6[[#This Row],[DATE DE DEPOT]]),"",Tableau6[[#This Row],[DATE DE DEPOT]]+Tableau6[[#This Row],[DELAI]])</f>
        <v>45850</v>
      </c>
      <c r="U185" s="135">
        <f ca="1">+IF(AND(W185=0,Tableau6[[#This Row],[DATE LIMITE]]&lt;TODAY()),TODAY()-Tableau6[[#This Row],[DATE LIMITE]],0)</f>
        <v>0</v>
      </c>
      <c r="V185" s="136"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TROP PAYE</v>
      </c>
      <c r="W185" s="133">
        <f>SUMIF(Tableau3[FACTURE],Tableau6[[#This Row],[NUM DE FACTURE]],Tableau3[MONTANT TTC])</f>
        <v>9558019</v>
      </c>
      <c r="X185" s="132"/>
      <c r="Y185" s="164">
        <f>+Tableau6[[#This Row],[NET A PAYER]]-Tableau6[[#This Row],[MONTANT PAYE]]</f>
        <v>-1</v>
      </c>
      <c r="Z185" s="130"/>
    </row>
    <row r="186" spans="1:26" x14ac:dyDescent="0.2">
      <c r="A186" t="s">
        <v>100</v>
      </c>
      <c r="B186" s="131">
        <v>45820</v>
      </c>
      <c r="C186" s="132">
        <v>45820</v>
      </c>
      <c r="D186" s="351">
        <v>28</v>
      </c>
      <c r="E186" s="6" t="s">
        <v>138</v>
      </c>
      <c r="F186" t="s">
        <v>111</v>
      </c>
      <c r="G186" s="6" t="s">
        <v>180</v>
      </c>
      <c r="H186" t="s">
        <v>116</v>
      </c>
      <c r="I186" s="187"/>
      <c r="J186" s="241">
        <v>4680000</v>
      </c>
      <c r="K186" s="187">
        <f>+Tableau6[[#This Row],[MONTANT HT BIEN]]+Tableau6[[#This Row],[MONTANT HT SERVICE]]</f>
        <v>4680000</v>
      </c>
      <c r="L186" s="153">
        <v>0</v>
      </c>
      <c r="M186" s="172">
        <f>+IFERROR(IF(Tableau6[[#This Row],[CODE TVA]]="TVAF",Tableau6[[#This Row],[MONTANT HT]]*0.18,0),0)</f>
        <v>842400</v>
      </c>
      <c r="N186" s="172">
        <f>Tableau6[[#This Row],[MONTANT HT]]+Tableau6[[#This Row],[TVA]]-Tableau6[[#This Row],[ACOMPTE SUR HT]]</f>
        <v>5522400</v>
      </c>
      <c r="O186" s="172"/>
      <c r="P186" s="172">
        <f>+ROUND(Tableau6[[#This Row],[MONTANT TTC]]-Tableau6[[#This Row],[ACOMPTE SUR TTC]],0)</f>
        <v>5522400</v>
      </c>
      <c r="Q186" s="33" t="s">
        <v>584</v>
      </c>
      <c r="R186" s="134">
        <f>IFERROR(INDEX(Tableau2[[ID BC UNIQUE]:[MONTANT HT VALIDE]],MATCH(Tableau6[[#This Row],[N° BC]],Tableau2[ID BC UNIQUE],0),6),0)</f>
        <v>4680000</v>
      </c>
      <c r="S186" s="135">
        <f>IFERROR(INDEX(Tableau2[[DATE]:[DELAIS DE PAIEMENT FACTURES EN JOUR]],MATCH(Tableau6[[#This Row],[N° BC]],Tableau2[ID BC UNIQUE],0),5),0)</f>
        <v>30</v>
      </c>
      <c r="T186" s="132">
        <f>IF(ISBLANK(Tableau6[[#This Row],[DATE DE DEPOT]]),"",Tableau6[[#This Row],[DATE DE DEPOT]]+Tableau6[[#This Row],[DELAI]])</f>
        <v>45850</v>
      </c>
      <c r="U186" s="135">
        <f ca="1">+IF(AND(W186=0,Tableau6[[#This Row],[DATE LIMITE]]&lt;TODAY()),TODAY()-Tableau6[[#This Row],[DATE LIMITE]],0)</f>
        <v>0</v>
      </c>
      <c r="V186" s="136"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86" s="133">
        <f>SUMIF(Tableau3[FACTURE],Tableau6[[#This Row],[NUM DE FACTURE]],Tableau3[MONTANT TTC])</f>
        <v>5522400</v>
      </c>
      <c r="X186" s="132"/>
      <c r="Y186" s="164">
        <f>+Tableau6[[#This Row],[NET A PAYER]]-Tableau6[[#This Row],[MONTANT PAYE]]</f>
        <v>0</v>
      </c>
      <c r="Z186" s="130"/>
    </row>
    <row r="187" spans="1:26" x14ac:dyDescent="0.2">
      <c r="A187" t="s">
        <v>100</v>
      </c>
      <c r="B187" s="131">
        <v>45820</v>
      </c>
      <c r="C187" s="132">
        <v>45820</v>
      </c>
      <c r="D187" s="351">
        <v>29</v>
      </c>
      <c r="E187" s="6" t="s">
        <v>138</v>
      </c>
      <c r="F187" t="s">
        <v>111</v>
      </c>
      <c r="G187" s="6" t="s">
        <v>186</v>
      </c>
      <c r="H187" t="s">
        <v>116</v>
      </c>
      <c r="I187" s="187"/>
      <c r="J187" s="241">
        <v>4810008.4745762711</v>
      </c>
      <c r="K187" s="187">
        <f>+Tableau6[[#This Row],[MONTANT HT BIEN]]+Tableau6[[#This Row],[MONTANT HT SERVICE]]</f>
        <v>4810008.4745762711</v>
      </c>
      <c r="L187" s="153">
        <v>0</v>
      </c>
      <c r="M187" s="172">
        <f>+IFERROR(IF(Tableau6[[#This Row],[CODE TVA]]="TVAF",Tableau6[[#This Row],[MONTANT HT]]*0.18,0),0)</f>
        <v>865801.52542372874</v>
      </c>
      <c r="N187" s="172">
        <f>Tableau6[[#This Row],[MONTANT HT]]+Tableau6[[#This Row],[TVA]]-Tableau6[[#This Row],[ACOMPTE SUR HT]]</f>
        <v>5675810</v>
      </c>
      <c r="O187" s="172"/>
      <c r="P187" s="172">
        <f>+ROUND(Tableau6[[#This Row],[MONTANT TTC]]-Tableau6[[#This Row],[ACOMPTE SUR TTC]],0)</f>
        <v>5675810</v>
      </c>
      <c r="Q187" s="33" t="s">
        <v>583</v>
      </c>
      <c r="R187" s="134">
        <f>IFERROR(INDEX(Tableau2[[ID BC UNIQUE]:[MONTANT HT VALIDE]],MATCH(Tableau6[[#This Row],[N° BC]],Tableau2[ID BC UNIQUE],0),6),0)</f>
        <v>4810008.4745762711</v>
      </c>
      <c r="S187" s="135">
        <f>IFERROR(INDEX(Tableau2[[DATE]:[DELAIS DE PAIEMENT FACTURES EN JOUR]],MATCH(Tableau6[[#This Row],[N° BC]],Tableau2[ID BC UNIQUE],0),5),0)</f>
        <v>30</v>
      </c>
      <c r="T187" s="132">
        <f>IF(ISBLANK(Tableau6[[#This Row],[DATE DE DEPOT]]),"",Tableau6[[#This Row],[DATE DE DEPOT]]+Tableau6[[#This Row],[DELAI]])</f>
        <v>45850</v>
      </c>
      <c r="U187" s="135">
        <f ca="1">+IF(AND(W187=0,Tableau6[[#This Row],[DATE LIMITE]]&lt;TODAY()),TODAY()-Tableau6[[#This Row],[DATE LIMITE]],0)</f>
        <v>0</v>
      </c>
      <c r="V187" s="136"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TROP PAYE</v>
      </c>
      <c r="W187" s="133">
        <f>SUMIF(Tableau3[FACTURE],Tableau6[[#This Row],[NUM DE FACTURE]],Tableau3[MONTANT TTC])</f>
        <v>5675811</v>
      </c>
      <c r="X187" s="132"/>
      <c r="Y187" s="164">
        <f>+Tableau6[[#This Row],[NET A PAYER]]-Tableau6[[#This Row],[MONTANT PAYE]]</f>
        <v>-1</v>
      </c>
      <c r="Z187" s="130"/>
    </row>
    <row r="188" spans="1:26" x14ac:dyDescent="0.2">
      <c r="A188" t="s">
        <v>100</v>
      </c>
      <c r="B188" s="131">
        <v>45821</v>
      </c>
      <c r="C188" s="132">
        <v>45821</v>
      </c>
      <c r="D188" s="351">
        <v>30</v>
      </c>
      <c r="E188" s="6" t="s">
        <v>138</v>
      </c>
      <c r="F188" s="130" t="s">
        <v>111</v>
      </c>
      <c r="G188" s="6" t="s">
        <v>178</v>
      </c>
      <c r="H188" t="s">
        <v>116</v>
      </c>
      <c r="I188" s="187"/>
      <c r="J188" s="241">
        <v>14980015.254237289</v>
      </c>
      <c r="K188" s="191">
        <f>+Tableau6[[#This Row],[MONTANT HT BIEN]]+Tableau6[[#This Row],[MONTANT HT SERVICE]]</f>
        <v>14980015.254237289</v>
      </c>
      <c r="L188" s="153">
        <v>0</v>
      </c>
      <c r="M188" s="172">
        <f>+IFERROR(IF(Tableau6[[#This Row],[CODE TVA]]="TVAF",Tableau6[[#This Row],[MONTANT HT]]*0.18,0),0)</f>
        <v>2696402.7457627119</v>
      </c>
      <c r="N188" s="172">
        <f>Tableau6[[#This Row],[MONTANT HT]]+Tableau6[[#This Row],[TVA]]-Tableau6[[#This Row],[ACOMPTE SUR HT]]</f>
        <v>17676418</v>
      </c>
      <c r="O188" s="172"/>
      <c r="P188" s="172">
        <f>+ROUND(Tableau6[[#This Row],[MONTANT TTC]]-Tableau6[[#This Row],[ACOMPTE SUR TTC]],0)</f>
        <v>17676418</v>
      </c>
      <c r="Q188" s="33" t="s">
        <v>585</v>
      </c>
      <c r="R188" s="134">
        <f>IFERROR(INDEX(Tableau2[[ID BC UNIQUE]:[MONTANT HT VALIDE]],MATCH(Tableau6[[#This Row],[N° BC]],Tableau2[ID BC UNIQUE],0),6),0)</f>
        <v>14980015.254237289</v>
      </c>
      <c r="S188" s="135">
        <f>IFERROR(INDEX(Tableau2[[DATE]:[DELAIS DE PAIEMENT FACTURES EN JOUR]],MATCH(Tableau6[[#This Row],[N° BC]],Tableau2[ID BC UNIQUE],0),5),0)</f>
        <v>30</v>
      </c>
      <c r="T188" s="132">
        <f>IF(ISBLANK(Tableau6[[#This Row],[DATE DE DEPOT]]),"",Tableau6[[#This Row],[DATE DE DEPOT]]+Tableau6[[#This Row],[DELAI]])</f>
        <v>45851</v>
      </c>
      <c r="U188" s="135">
        <f ca="1">+IF(AND(W188=0,Tableau6[[#This Row],[DATE LIMITE]]&lt;TODAY()),TODAY()-Tableau6[[#This Row],[DATE LIMITE]],0)</f>
        <v>0</v>
      </c>
      <c r="V188" s="136"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TROP PAYE</v>
      </c>
      <c r="W188" s="133">
        <f>SUMIF(Tableau3[FACTURE],Tableau6[[#This Row],[NUM DE FACTURE]],Tableau3[MONTANT TTC])</f>
        <v>17676419</v>
      </c>
      <c r="X188" s="132"/>
      <c r="Y188" s="164">
        <f>+Tableau6[[#This Row],[NET A PAYER]]-Tableau6[[#This Row],[MONTANT PAYE]]</f>
        <v>-1</v>
      </c>
      <c r="Z188" s="130"/>
    </row>
    <row r="189" spans="1:26" x14ac:dyDescent="0.2">
      <c r="A189" t="s">
        <v>100</v>
      </c>
      <c r="B189" s="142">
        <v>45827</v>
      </c>
      <c r="C189" s="143">
        <v>45827</v>
      </c>
      <c r="D189" s="351">
        <v>32</v>
      </c>
      <c r="E189" s="6" t="s">
        <v>138</v>
      </c>
      <c r="F189" s="141" t="s">
        <v>111</v>
      </c>
      <c r="G189" s="6" t="s">
        <v>180</v>
      </c>
      <c r="H189" t="s">
        <v>116</v>
      </c>
      <c r="I189" s="191"/>
      <c r="J189" s="245">
        <v>10640000</v>
      </c>
      <c r="K189" s="191">
        <f>+Tableau6[[#This Row],[MONTANT HT BIEN]]+Tableau6[[#This Row],[MONTANT HT SERVICE]]</f>
        <v>10640000</v>
      </c>
      <c r="L189" s="153">
        <v>0</v>
      </c>
      <c r="M189" s="152">
        <f>+IFERROR(IF(Tableau6[[#This Row],[CODE TVA]]="TVAF",Tableau6[[#This Row],[MONTANT HT]]*0.18,0),0)</f>
        <v>1915200</v>
      </c>
      <c r="N189" s="152">
        <f>Tableau6[[#This Row],[MONTANT HT]]+Tableau6[[#This Row],[TVA]]-Tableau6[[#This Row],[ACOMPTE SUR HT]]</f>
        <v>12555200</v>
      </c>
      <c r="O189" s="152"/>
      <c r="P189" s="152">
        <f>+ROUND(Tableau6[[#This Row],[MONTANT TTC]]-Tableau6[[#This Row],[ACOMPTE SUR TTC]],0)</f>
        <v>12555200</v>
      </c>
      <c r="Q189" s="33" t="s">
        <v>586</v>
      </c>
      <c r="R189" s="145">
        <f>IFERROR(INDEX(Tableau2[[ID BC UNIQUE]:[MONTANT HT VALIDE]],MATCH(Tableau6[[#This Row],[N° BC]],Tableau2[ID BC UNIQUE],0),6),0)</f>
        <v>10640000</v>
      </c>
      <c r="S189" s="147">
        <f>IFERROR(INDEX(Tableau2[[DATE]:[DELAIS DE PAIEMENT FACTURES EN JOUR]],MATCH(Tableau6[[#This Row],[N° BC]],Tableau2[ID BC UNIQUE],0),5),0)</f>
        <v>30</v>
      </c>
      <c r="T189" s="143">
        <f>IF(ISBLANK(Tableau6[[#This Row],[DATE DE DEPOT]]),"",Tableau6[[#This Row],[DATE DE DEPOT]]+Tableau6[[#This Row],[DELAI]])</f>
        <v>45857</v>
      </c>
      <c r="U189" s="147">
        <f ca="1">+IF(AND(W189=0,Tableau6[[#This Row],[DATE LIMITE]]&lt;TODAY()),TODAY()-Tableau6[[#This Row],[DATE LIMITE]],0)</f>
        <v>0</v>
      </c>
      <c r="V189"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89" s="144">
        <f>SUMIF(Tableau3[FACTURE],Tableau6[[#This Row],[NUM DE FACTURE]],Tableau3[MONTANT TTC])</f>
        <v>12555200</v>
      </c>
      <c r="X189" s="143"/>
      <c r="Y189" s="154">
        <f>+Tableau6[[#This Row],[NET A PAYER]]-Tableau6[[#This Row],[MONTANT PAYE]]</f>
        <v>0</v>
      </c>
      <c r="Z189" s="141"/>
    </row>
    <row r="190" spans="1:26" x14ac:dyDescent="0.2">
      <c r="A190" t="s">
        <v>100</v>
      </c>
      <c r="B190" s="142">
        <v>45831</v>
      </c>
      <c r="C190" s="143">
        <v>45831</v>
      </c>
      <c r="D190" s="351">
        <v>35</v>
      </c>
      <c r="E190" s="6" t="s">
        <v>138</v>
      </c>
      <c r="F190" s="130" t="s">
        <v>111</v>
      </c>
      <c r="G190" s="6" t="s">
        <v>183</v>
      </c>
      <c r="H190" t="s">
        <v>116</v>
      </c>
      <c r="I190" s="191"/>
      <c r="J190" s="245">
        <v>400000</v>
      </c>
      <c r="K190" s="191">
        <f>+Tableau6[[#This Row],[MONTANT HT BIEN]]+Tableau6[[#This Row],[MONTANT HT SERVICE]]</f>
        <v>400000</v>
      </c>
      <c r="L190" s="153">
        <v>0</v>
      </c>
      <c r="M190" s="152">
        <f>+IFERROR(IF(Tableau6[[#This Row],[CODE TVA]]="TVAF",Tableau6[[#This Row],[MONTANT HT]]*0.18,0),0)</f>
        <v>72000</v>
      </c>
      <c r="N190" s="152">
        <f>Tableau6[[#This Row],[MONTANT HT]]+Tableau6[[#This Row],[TVA]]-Tableau6[[#This Row],[ACOMPTE SUR HT]]</f>
        <v>472000</v>
      </c>
      <c r="O190" s="152"/>
      <c r="P190" s="152">
        <f>+ROUND(Tableau6[[#This Row],[MONTANT TTC]]-Tableau6[[#This Row],[ACOMPTE SUR TTC]],0)</f>
        <v>472000</v>
      </c>
      <c r="Q190" s="33" t="s">
        <v>587</v>
      </c>
      <c r="R190" s="145">
        <f>IFERROR(INDEX(Tableau2[[ID BC UNIQUE]:[MONTANT HT VALIDE]],MATCH(Tableau6[[#This Row],[N° BC]],Tableau2[ID BC UNIQUE],0),6),0)</f>
        <v>400000</v>
      </c>
      <c r="S190" s="147">
        <f>IFERROR(INDEX(Tableau2[[DATE]:[DELAIS DE PAIEMENT FACTURES EN JOUR]],MATCH(Tableau6[[#This Row],[N° BC]],Tableau2[ID BC UNIQUE],0),5),0)</f>
        <v>30</v>
      </c>
      <c r="T190" s="143">
        <f>IF(ISBLANK(Tableau6[[#This Row],[DATE DE DEPOT]]),"",Tableau6[[#This Row],[DATE DE DEPOT]]+Tableau6[[#This Row],[DELAI]])</f>
        <v>45861</v>
      </c>
      <c r="U190" s="147">
        <f ca="1">+IF(AND(W190=0,Tableau6[[#This Row],[DATE LIMITE]]&lt;TODAY()),TODAY()-Tableau6[[#This Row],[DATE LIMITE]],0)</f>
        <v>0</v>
      </c>
      <c r="V190"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90" s="144">
        <f>SUMIF(Tableau3[FACTURE],Tableau6[[#This Row],[NUM DE FACTURE]],Tableau3[MONTANT TTC])</f>
        <v>472000</v>
      </c>
      <c r="X190" s="143"/>
      <c r="Y190" s="154">
        <f>+Tableau6[[#This Row],[NET A PAYER]]-Tableau6[[#This Row],[MONTANT PAYE]]</f>
        <v>0</v>
      </c>
      <c r="Z190" s="141"/>
    </row>
    <row r="191" spans="1:26" x14ac:dyDescent="0.2">
      <c r="A191" t="s">
        <v>100</v>
      </c>
      <c r="B191" s="142">
        <v>45831</v>
      </c>
      <c r="C191" s="143">
        <v>45831</v>
      </c>
      <c r="D191" s="351">
        <v>36</v>
      </c>
      <c r="E191" s="6" t="s">
        <v>138</v>
      </c>
      <c r="F191" s="141" t="s">
        <v>111</v>
      </c>
      <c r="G191" s="6" t="s">
        <v>184</v>
      </c>
      <c r="H191" t="s">
        <v>116</v>
      </c>
      <c r="I191" s="191"/>
      <c r="J191" s="245">
        <v>750000</v>
      </c>
      <c r="K191" s="191">
        <f>+Tableau6[[#This Row],[MONTANT HT BIEN]]+Tableau6[[#This Row],[MONTANT HT SERVICE]]</f>
        <v>750000</v>
      </c>
      <c r="L191" s="153">
        <v>0</v>
      </c>
      <c r="M191" s="152">
        <f>+IFERROR(IF(Tableau6[[#This Row],[CODE TVA]]="TVAF",Tableau6[[#This Row],[MONTANT HT]]*0.18,0),0)</f>
        <v>135000</v>
      </c>
      <c r="N191" s="152">
        <f>Tableau6[[#This Row],[MONTANT HT]]+Tableau6[[#This Row],[TVA]]-Tableau6[[#This Row],[ACOMPTE SUR HT]]</f>
        <v>885000</v>
      </c>
      <c r="O191" s="152"/>
      <c r="P191" s="152">
        <f>+ROUND(Tableau6[[#This Row],[MONTANT TTC]]-Tableau6[[#This Row],[ACOMPTE SUR TTC]],0)</f>
        <v>885000</v>
      </c>
      <c r="Q191" s="33" t="s">
        <v>588</v>
      </c>
      <c r="R191" s="145">
        <f>IFERROR(INDEX(Tableau2[[ID BC UNIQUE]:[MONTANT HT VALIDE]],MATCH(Tableau6[[#This Row],[N° BC]],Tableau2[ID BC UNIQUE],0),6),0)</f>
        <v>750000</v>
      </c>
      <c r="S191" s="147">
        <f>IFERROR(INDEX(Tableau2[[DATE]:[DELAIS DE PAIEMENT FACTURES EN JOUR]],MATCH(Tableau6[[#This Row],[N° BC]],Tableau2[ID BC UNIQUE],0),5),0)</f>
        <v>30</v>
      </c>
      <c r="T191" s="143">
        <f>IF(ISBLANK(Tableau6[[#This Row],[DATE DE DEPOT]]),"",Tableau6[[#This Row],[DATE DE DEPOT]]+Tableau6[[#This Row],[DELAI]])</f>
        <v>45861</v>
      </c>
      <c r="U191" s="147">
        <f ca="1">+IF(AND(W191=0,Tableau6[[#This Row],[DATE LIMITE]]&lt;TODAY()),TODAY()-Tableau6[[#This Row],[DATE LIMITE]],0)</f>
        <v>0</v>
      </c>
      <c r="V191"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91" s="144">
        <f>SUMIF(Tableau3[FACTURE],Tableau6[[#This Row],[NUM DE FACTURE]],Tableau3[MONTANT TTC])</f>
        <v>885000</v>
      </c>
      <c r="X191" s="143"/>
      <c r="Y191" s="154">
        <f>+Tableau6[[#This Row],[NET A PAYER]]-Tableau6[[#This Row],[MONTANT PAYE]]</f>
        <v>0</v>
      </c>
      <c r="Z191" s="141"/>
    </row>
    <row r="192" spans="1:26" x14ac:dyDescent="0.2">
      <c r="A192" t="s">
        <v>100</v>
      </c>
      <c r="B192" s="142">
        <v>45838</v>
      </c>
      <c r="C192" s="143">
        <v>45838</v>
      </c>
      <c r="D192" s="351">
        <v>37</v>
      </c>
      <c r="E192" s="6" t="s">
        <v>138</v>
      </c>
      <c r="F192" s="141" t="s">
        <v>111</v>
      </c>
      <c r="G192" s="6" t="s">
        <v>185</v>
      </c>
      <c r="H192" t="s">
        <v>116</v>
      </c>
      <c r="I192" s="191"/>
      <c r="J192" s="245">
        <v>4725000</v>
      </c>
      <c r="K192" s="191">
        <f>+Tableau6[[#This Row],[MONTANT HT BIEN]]+Tableau6[[#This Row],[MONTANT HT SERVICE]]</f>
        <v>4725000</v>
      </c>
      <c r="L192" s="191">
        <v>0</v>
      </c>
      <c r="M192" s="152">
        <f>+IFERROR(IF(Tableau6[[#This Row],[CODE TVA]]="TVAF",Tableau6[[#This Row],[MONTANT HT]]*0.18,0),0)</f>
        <v>850500</v>
      </c>
      <c r="N192" s="152">
        <f>Tableau6[[#This Row],[MONTANT HT]]+Tableau6[[#This Row],[TVA]]-Tableau6[[#This Row],[ACOMPTE SUR HT]]</f>
        <v>5575500</v>
      </c>
      <c r="O192" s="152"/>
      <c r="P192" s="152">
        <f>+ROUND(Tableau6[[#This Row],[MONTANT TTC]]-Tableau6[[#This Row],[ACOMPTE SUR TTC]],0)</f>
        <v>5575500</v>
      </c>
      <c r="Q192" s="33" t="s">
        <v>589</v>
      </c>
      <c r="R192" s="145">
        <f>IFERROR(INDEX(Tableau2[[ID BC UNIQUE]:[MONTANT HT VALIDE]],MATCH(Tableau6[[#This Row],[N° BC]],Tableau2[ID BC UNIQUE],0),6),0)</f>
        <v>4725000</v>
      </c>
      <c r="S192" s="147">
        <f>IFERROR(INDEX(Tableau2[[DATE]:[DELAIS DE PAIEMENT FACTURES EN JOUR]],MATCH(Tableau6[[#This Row],[N° BC]],Tableau2[ID BC UNIQUE],0),5),0)</f>
        <v>30</v>
      </c>
      <c r="T192" s="143">
        <f>IF(ISBLANK(Tableau6[[#This Row],[DATE DE DEPOT]]),"",Tableau6[[#This Row],[DATE DE DEPOT]]+Tableau6[[#This Row],[DELAI]])</f>
        <v>45868</v>
      </c>
      <c r="U192" s="147">
        <f ca="1">+IF(AND(W192=0,Tableau6[[#This Row],[DATE LIMITE]]&lt;TODAY()),TODAY()-Tableau6[[#This Row],[DATE LIMITE]],0)</f>
        <v>0</v>
      </c>
      <c r="V192"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92" s="144">
        <f>SUMIF(Tableau3[FACTURE],Tableau6[[#This Row],[NUM DE FACTURE]],Tableau3[MONTANT TTC])</f>
        <v>5575500</v>
      </c>
      <c r="X192" s="143"/>
      <c r="Y192" s="154">
        <f>+Tableau6[[#This Row],[NET A PAYER]]-Tableau6[[#This Row],[MONTANT PAYE]]</f>
        <v>0</v>
      </c>
      <c r="Z192" s="141"/>
    </row>
    <row r="193" spans="1:26" x14ac:dyDescent="0.2">
      <c r="A193" t="s">
        <v>100</v>
      </c>
      <c r="B193" s="142">
        <v>45838</v>
      </c>
      <c r="C193" s="143">
        <v>45838</v>
      </c>
      <c r="D193" s="351">
        <v>39</v>
      </c>
      <c r="E193" s="6" t="s">
        <v>138</v>
      </c>
      <c r="F193" s="141" t="s">
        <v>111</v>
      </c>
      <c r="G193" s="6" t="s">
        <v>179</v>
      </c>
      <c r="H193" t="s">
        <v>116</v>
      </c>
      <c r="I193" s="191"/>
      <c r="J193" s="245">
        <v>2000000</v>
      </c>
      <c r="K193" s="191">
        <f>+Tableau6[[#This Row],[MONTANT HT BIEN]]+Tableau6[[#This Row],[MONTANT HT SERVICE]]</f>
        <v>2000000</v>
      </c>
      <c r="L193" s="191">
        <v>0</v>
      </c>
      <c r="M193" s="152">
        <f>+IFERROR(IF(Tableau6[[#This Row],[CODE TVA]]="TVAF",Tableau6[[#This Row],[MONTANT HT]]*0.18,0),0)</f>
        <v>360000</v>
      </c>
      <c r="N193" s="152">
        <f>Tableau6[[#This Row],[MONTANT HT]]+Tableau6[[#This Row],[TVA]]-Tableau6[[#This Row],[ACOMPTE SUR HT]]</f>
        <v>2360000</v>
      </c>
      <c r="O193" s="152"/>
      <c r="P193" s="152">
        <f>+ROUND(Tableau6[[#This Row],[MONTANT TTC]]-Tableau6[[#This Row],[ACOMPTE SUR TTC]],0)</f>
        <v>2360000</v>
      </c>
      <c r="Q193" s="33" t="s">
        <v>590</v>
      </c>
      <c r="R193" s="145">
        <f>IFERROR(INDEX(Tableau2[[ID BC UNIQUE]:[MONTANT HT VALIDE]],MATCH(Tableau6[[#This Row],[N° BC]],Tableau2[ID BC UNIQUE],0),6),0)</f>
        <v>2000000</v>
      </c>
      <c r="S193" s="147">
        <f>IFERROR(INDEX(Tableau2[[DATE]:[DELAIS DE PAIEMENT FACTURES EN JOUR]],MATCH(Tableau6[[#This Row],[N° BC]],Tableau2[ID BC UNIQUE],0),5),0)</f>
        <v>30</v>
      </c>
      <c r="T193" s="143">
        <f>IF(ISBLANK(Tableau6[[#This Row],[DATE DE DEPOT]]),"",Tableau6[[#This Row],[DATE DE DEPOT]]+Tableau6[[#This Row],[DELAI]])</f>
        <v>45868</v>
      </c>
      <c r="U193" s="147">
        <f ca="1">+IF(AND(W193=0,Tableau6[[#This Row],[DATE LIMITE]]&lt;TODAY()),TODAY()-Tableau6[[#This Row],[DATE LIMITE]],0)</f>
        <v>0</v>
      </c>
      <c r="V193"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93" s="144">
        <f>SUMIF(Tableau3[FACTURE],Tableau6[[#This Row],[NUM DE FACTURE]],Tableau3[MONTANT TTC])</f>
        <v>2360000</v>
      </c>
      <c r="X193" s="143"/>
      <c r="Y193" s="154">
        <f>+Tableau6[[#This Row],[NET A PAYER]]-Tableau6[[#This Row],[MONTANT PAYE]]</f>
        <v>0</v>
      </c>
      <c r="Z193" s="141"/>
    </row>
    <row r="194" spans="1:26" x14ac:dyDescent="0.2">
      <c r="A194" t="s">
        <v>100</v>
      </c>
      <c r="B194" s="142">
        <v>45838</v>
      </c>
      <c r="C194" s="143">
        <v>45838</v>
      </c>
      <c r="D194" s="351">
        <v>40</v>
      </c>
      <c r="E194" s="6" t="s">
        <v>138</v>
      </c>
      <c r="F194" s="141" t="s">
        <v>111</v>
      </c>
      <c r="G194" s="6" t="s">
        <v>188</v>
      </c>
      <c r="H194" t="s">
        <v>116</v>
      </c>
      <c r="I194" s="191"/>
      <c r="J194" s="245">
        <v>2340000</v>
      </c>
      <c r="K194" s="191">
        <f>+Tableau6[[#This Row],[MONTANT HT BIEN]]+Tableau6[[#This Row],[MONTANT HT SERVICE]]</f>
        <v>2340000</v>
      </c>
      <c r="L194" s="153">
        <v>0</v>
      </c>
      <c r="M194" s="152">
        <f>+IFERROR(IF(Tableau6[[#This Row],[CODE TVA]]="TVAF",Tableau6[[#This Row],[MONTANT HT]]*0.18,0),0)</f>
        <v>421200</v>
      </c>
      <c r="N194" s="152">
        <f>Tableau6[[#This Row],[MONTANT HT]]+Tableau6[[#This Row],[TVA]]-Tableau6[[#This Row],[ACOMPTE SUR HT]]</f>
        <v>2761200</v>
      </c>
      <c r="O194" s="152"/>
      <c r="P194" s="152">
        <f>+ROUND(Tableau6[[#This Row],[MONTANT TTC]]-Tableau6[[#This Row],[ACOMPTE SUR TTC]],0)</f>
        <v>2761200</v>
      </c>
      <c r="Q194" s="33" t="s">
        <v>591</v>
      </c>
      <c r="R194" s="145">
        <f>IFERROR(INDEX(Tableau2[[ID BC UNIQUE]:[MONTANT HT VALIDE]],MATCH(Tableau6[[#This Row],[N° BC]],Tableau2[ID BC UNIQUE],0),6),0)</f>
        <v>2340000</v>
      </c>
      <c r="S194" s="147">
        <f>IFERROR(INDEX(Tableau2[[DATE]:[DELAIS DE PAIEMENT FACTURES EN JOUR]],MATCH(Tableau6[[#This Row],[N° BC]],Tableau2[ID BC UNIQUE],0),5),0)</f>
        <v>30</v>
      </c>
      <c r="T194" s="143">
        <f>IF(ISBLANK(Tableau6[[#This Row],[DATE DE DEPOT]]),"",Tableau6[[#This Row],[DATE DE DEPOT]]+Tableau6[[#This Row],[DELAI]])</f>
        <v>45868</v>
      </c>
      <c r="U194" s="147">
        <f ca="1">+IF(AND(W194=0,Tableau6[[#This Row],[DATE LIMITE]]&lt;TODAY()),TODAY()-Tableau6[[#This Row],[DATE LIMITE]],0)</f>
        <v>0</v>
      </c>
      <c r="V194"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94" s="144">
        <f>SUMIF(Tableau3[FACTURE],Tableau6[[#This Row],[NUM DE FACTURE]],Tableau3[MONTANT TTC])</f>
        <v>2761200</v>
      </c>
      <c r="X194" s="143"/>
      <c r="Y194" s="154">
        <f>+Tableau6[[#This Row],[NET A PAYER]]-Tableau6[[#This Row],[MONTANT PAYE]]</f>
        <v>0</v>
      </c>
      <c r="Z194" s="141"/>
    </row>
    <row r="195" spans="1:26" x14ac:dyDescent="0.2">
      <c r="A195" t="s">
        <v>100</v>
      </c>
      <c r="B195" s="142">
        <v>45838</v>
      </c>
      <c r="C195" s="143">
        <v>45838</v>
      </c>
      <c r="D195" s="351">
        <v>42</v>
      </c>
      <c r="E195" s="6" t="s">
        <v>138</v>
      </c>
      <c r="F195" s="141" t="s">
        <v>111</v>
      </c>
      <c r="G195" s="6" t="s">
        <v>179</v>
      </c>
      <c r="H195" t="s">
        <v>116</v>
      </c>
      <c r="I195" s="191"/>
      <c r="J195" s="245">
        <v>4010000</v>
      </c>
      <c r="K195" s="191">
        <f>+Tableau6[[#This Row],[MONTANT HT BIEN]]+Tableau6[[#This Row],[MONTANT HT SERVICE]]</f>
        <v>4010000</v>
      </c>
      <c r="L195" s="153">
        <v>0</v>
      </c>
      <c r="M195" s="152">
        <f>+IFERROR(IF(Tableau6[[#This Row],[CODE TVA]]="TVAF",Tableau6[[#This Row],[MONTANT HT]]*0.18,0),0)</f>
        <v>721800</v>
      </c>
      <c r="N195" s="152">
        <f>Tableau6[[#This Row],[MONTANT HT]]+Tableau6[[#This Row],[TVA]]-Tableau6[[#This Row],[ACOMPTE SUR HT]]</f>
        <v>4731800</v>
      </c>
      <c r="O195" s="152"/>
      <c r="P195" s="152">
        <f>+ROUND(Tableau6[[#This Row],[MONTANT TTC]]-Tableau6[[#This Row],[ACOMPTE SUR TTC]],0)</f>
        <v>4731800</v>
      </c>
      <c r="Q195" s="33" t="s">
        <v>592</v>
      </c>
      <c r="R195" s="145">
        <f>IFERROR(INDEX(Tableau2[[ID BC UNIQUE]:[MONTANT HT VALIDE]],MATCH(Tableau6[[#This Row],[N° BC]],Tableau2[ID BC UNIQUE],0),6),0)</f>
        <v>4010000</v>
      </c>
      <c r="S195" s="147">
        <f>IFERROR(INDEX(Tableau2[[DATE]:[DELAIS DE PAIEMENT FACTURES EN JOUR]],MATCH(Tableau6[[#This Row],[N° BC]],Tableau2[ID BC UNIQUE],0),5),0)</f>
        <v>30</v>
      </c>
      <c r="T195" s="143">
        <f>IF(ISBLANK(Tableau6[[#This Row],[DATE DE DEPOT]]),"",Tableau6[[#This Row],[DATE DE DEPOT]]+Tableau6[[#This Row],[DELAI]])</f>
        <v>45868</v>
      </c>
      <c r="U195" s="147">
        <f ca="1">+IF(AND(W195=0,Tableau6[[#This Row],[DATE LIMITE]]&lt;TODAY()),TODAY()-Tableau6[[#This Row],[DATE LIMITE]],0)</f>
        <v>0</v>
      </c>
      <c r="V195"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95" s="144">
        <f>SUMIF(Tableau3[FACTURE],Tableau6[[#This Row],[NUM DE FACTURE]],Tableau3[MONTANT TTC])</f>
        <v>4731800</v>
      </c>
      <c r="X195" s="143"/>
      <c r="Y195" s="154">
        <f>+Tableau6[[#This Row],[NET A PAYER]]-Tableau6[[#This Row],[MONTANT PAYE]]</f>
        <v>0</v>
      </c>
      <c r="Z195" s="141"/>
    </row>
    <row r="196" spans="1:26" x14ac:dyDescent="0.2">
      <c r="A196" t="s">
        <v>100</v>
      </c>
      <c r="B196" s="142">
        <v>45838</v>
      </c>
      <c r="C196" s="143">
        <v>45838</v>
      </c>
      <c r="D196" s="351">
        <v>44</v>
      </c>
      <c r="E196" s="6" t="s">
        <v>138</v>
      </c>
      <c r="F196" t="s">
        <v>111</v>
      </c>
      <c r="G196" s="6"/>
      <c r="H196" t="s">
        <v>116</v>
      </c>
      <c r="I196" s="191"/>
      <c r="J196" s="245">
        <v>400000</v>
      </c>
      <c r="K196" s="191">
        <f>+Tableau6[[#This Row],[MONTANT HT BIEN]]+Tableau6[[#This Row],[MONTANT HT SERVICE]]</f>
        <v>400000</v>
      </c>
      <c r="L196" s="153">
        <v>0</v>
      </c>
      <c r="M196" s="152">
        <f>+IFERROR(IF(Tableau6[[#This Row],[CODE TVA]]="TVAF",Tableau6[[#This Row],[MONTANT HT]]*0.18,0),0)</f>
        <v>72000</v>
      </c>
      <c r="N196" s="152">
        <f>Tableau6[[#This Row],[MONTANT HT]]+Tableau6[[#This Row],[TVA]]-Tableau6[[#This Row],[ACOMPTE SUR HT]]</f>
        <v>472000</v>
      </c>
      <c r="O196" s="152"/>
      <c r="P196" s="152">
        <f>+ROUND(Tableau6[[#This Row],[MONTANT TTC]]-Tableau6[[#This Row],[ACOMPTE SUR TTC]],0)</f>
        <v>472000</v>
      </c>
      <c r="Q196" s="146" t="s">
        <v>764</v>
      </c>
      <c r="R196" s="145">
        <f>IFERROR(INDEX(Tableau2[[ID BC UNIQUE]:[MONTANT HT VALIDE]],MATCH(Tableau6[[#This Row],[N° BC]],Tableau2[ID BC UNIQUE],0),6),0)</f>
        <v>400000</v>
      </c>
      <c r="S196" s="147">
        <f>IFERROR(INDEX(Tableau2[[DATE]:[DELAIS DE PAIEMENT FACTURES EN JOUR]],MATCH(Tableau6[[#This Row],[N° BC]],Tableau2[ID BC UNIQUE],0),5),0)</f>
        <v>30</v>
      </c>
      <c r="T196" s="143">
        <f>IF(ISBLANK(Tableau6[[#This Row],[DATE DE DEPOT]]),"",Tableau6[[#This Row],[DATE DE DEPOT]]+Tableau6[[#This Row],[DELAI]])</f>
        <v>45868</v>
      </c>
      <c r="U196" s="147">
        <f ca="1">+IF(AND(W196=0,Tableau6[[#This Row],[DATE LIMITE]]&lt;TODAY()),TODAY()-Tableau6[[#This Row],[DATE LIMITE]],0)</f>
        <v>0</v>
      </c>
      <c r="V196"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96" s="144">
        <f>SUMIF(Tableau3[FACTURE],Tableau6[[#This Row],[NUM DE FACTURE]],Tableau3[MONTANT TTC])</f>
        <v>472000</v>
      </c>
      <c r="X196" s="143"/>
      <c r="Y196" s="154">
        <f>+Tableau6[[#This Row],[NET A PAYER]]-Tableau6[[#This Row],[MONTANT PAYE]]</f>
        <v>0</v>
      </c>
      <c r="Z196" s="141"/>
    </row>
    <row r="197" spans="1:26" x14ac:dyDescent="0.2">
      <c r="A197" t="s">
        <v>100</v>
      </c>
      <c r="B197" s="142">
        <v>45839</v>
      </c>
      <c r="C197" s="142">
        <v>45839</v>
      </c>
      <c r="D197" s="351">
        <v>45</v>
      </c>
      <c r="E197" s="6" t="s">
        <v>138</v>
      </c>
      <c r="F197" t="s">
        <v>111</v>
      </c>
      <c r="G197" s="6" t="s">
        <v>182</v>
      </c>
      <c r="H197" t="s">
        <v>116</v>
      </c>
      <c r="I197" s="155"/>
      <c r="J197" s="245">
        <v>1125000</v>
      </c>
      <c r="K197" s="191">
        <f>+Tableau6[[#This Row],[MONTANT HT BIEN]]+Tableau6[[#This Row],[MONTANT HT SERVICE]]</f>
        <v>1125000</v>
      </c>
      <c r="L197" s="153">
        <v>0</v>
      </c>
      <c r="M197" s="152">
        <f>+IFERROR(IF(Tableau6[[#This Row],[CODE TVA]]="TVAF",Tableau6[[#This Row],[MONTANT HT]]*0.18,0),0)</f>
        <v>202500</v>
      </c>
      <c r="N197" s="152">
        <f>Tableau6[[#This Row],[MONTANT HT]]+Tableau6[[#This Row],[TVA]]-Tableau6[[#This Row],[ACOMPTE SUR HT]]</f>
        <v>1327500</v>
      </c>
      <c r="O197" s="152"/>
      <c r="P197" s="152">
        <f>+ROUND(Tableau6[[#This Row],[MONTANT TTC]]-Tableau6[[#This Row],[ACOMPTE SUR TTC]],0)</f>
        <v>1327500</v>
      </c>
      <c r="Q197" s="33" t="s">
        <v>593</v>
      </c>
      <c r="R197" s="145">
        <f>IFERROR(INDEX(Tableau2[[ID BC UNIQUE]:[MONTANT HT VALIDE]],MATCH(Tableau6[[#This Row],[N° BC]],Tableau2[ID BC UNIQUE],0),6),0)</f>
        <v>1125000</v>
      </c>
      <c r="S197" s="147">
        <f>IFERROR(INDEX(Tableau2[[DATE]:[DELAIS DE PAIEMENT FACTURES EN JOUR]],MATCH(Tableau6[[#This Row],[N° BC]],Tableau2[ID BC UNIQUE],0),5),0)</f>
        <v>30</v>
      </c>
      <c r="T197" s="143">
        <f>IF(ISBLANK(Tableau6[[#This Row],[DATE DE DEPOT]]),"",Tableau6[[#This Row],[DATE DE DEPOT]]+Tableau6[[#This Row],[DELAI]])</f>
        <v>45869</v>
      </c>
      <c r="U197" s="147">
        <f ca="1">+IF(AND(W197=0,Tableau6[[#This Row],[DATE LIMITE]]&lt;TODAY()),TODAY()-Tableau6[[#This Row],[DATE LIMITE]],0)</f>
        <v>0</v>
      </c>
      <c r="V197"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97" s="144">
        <f>SUMIF(Tableau3[FACTURE],Tableau6[[#This Row],[NUM DE FACTURE]],Tableau3[MONTANT TTC])</f>
        <v>1327500</v>
      </c>
      <c r="X197" s="143"/>
      <c r="Y197" s="154">
        <f>+Tableau6[[#This Row],[NET A PAYER]]-Tableau6[[#This Row],[MONTANT PAYE]]</f>
        <v>0</v>
      </c>
      <c r="Z197" s="141"/>
    </row>
    <row r="198" spans="1:26" x14ac:dyDescent="0.2">
      <c r="A198" t="s">
        <v>100</v>
      </c>
      <c r="B198" s="142">
        <v>45839</v>
      </c>
      <c r="C198" s="142">
        <v>45839</v>
      </c>
      <c r="D198" s="351">
        <v>46</v>
      </c>
      <c r="E198" s="6" t="s">
        <v>138</v>
      </c>
      <c r="F198" t="s">
        <v>111</v>
      </c>
      <c r="G198" s="6" t="s">
        <v>182</v>
      </c>
      <c r="H198" t="s">
        <v>116</v>
      </c>
      <c r="I198" s="191"/>
      <c r="J198" s="245">
        <v>1990994.9152542374</v>
      </c>
      <c r="K198" s="191">
        <f>+Tableau6[[#This Row],[MONTANT HT BIEN]]+Tableau6[[#This Row],[MONTANT HT SERVICE]]</f>
        <v>1990994.9152542374</v>
      </c>
      <c r="L198" s="153">
        <v>0</v>
      </c>
      <c r="M198" s="152">
        <f>+IFERROR(IF(Tableau6[[#This Row],[CODE TVA]]="TVAF",Tableau6[[#This Row],[MONTANT HT]]*0.18,0),0)</f>
        <v>358379.0847457627</v>
      </c>
      <c r="N198" s="152">
        <f>Tableau6[[#This Row],[MONTANT HT]]+Tableau6[[#This Row],[TVA]]-Tableau6[[#This Row],[ACOMPTE SUR HT]]</f>
        <v>2349374</v>
      </c>
      <c r="O198" s="152"/>
      <c r="P198" s="152">
        <f>+ROUND(Tableau6[[#This Row],[MONTANT TTC]]-Tableau6[[#This Row],[ACOMPTE SUR TTC]],0)</f>
        <v>2349374</v>
      </c>
      <c r="Q198" s="33" t="s">
        <v>594</v>
      </c>
      <c r="R198" s="145">
        <f>IFERROR(INDEX(Tableau2[[ID BC UNIQUE]:[MONTANT HT VALIDE]],MATCH(Tableau6[[#This Row],[N° BC]],Tableau2[ID BC UNIQUE],0),6),0)</f>
        <v>1990994.9152542374</v>
      </c>
      <c r="S198" s="147">
        <f>IFERROR(INDEX(Tableau2[[DATE]:[DELAIS DE PAIEMENT FACTURES EN JOUR]],MATCH(Tableau6[[#This Row],[N° BC]],Tableau2[ID BC UNIQUE],0),5),0)</f>
        <v>30</v>
      </c>
      <c r="T198" s="143">
        <f>IF(ISBLANK(Tableau6[[#This Row],[DATE DE DEPOT]]),"",Tableau6[[#This Row],[DATE DE DEPOT]]+Tableau6[[#This Row],[DELAI]])</f>
        <v>45869</v>
      </c>
      <c r="U198" s="147">
        <f ca="1">+IF(AND(W198=0,Tableau6[[#This Row],[DATE LIMITE]]&lt;TODAY()),TODAY()-Tableau6[[#This Row],[DATE LIMITE]],0)</f>
        <v>0</v>
      </c>
      <c r="V198"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98" s="144">
        <f>SUMIF(Tableau3[FACTURE],Tableau6[[#This Row],[NUM DE FACTURE]],Tableau3[MONTANT TTC])</f>
        <v>2349374</v>
      </c>
      <c r="X198" s="143"/>
      <c r="Y198" s="154">
        <f>+Tableau6[[#This Row],[NET A PAYER]]-Tableau6[[#This Row],[MONTANT PAYE]]</f>
        <v>0</v>
      </c>
      <c r="Z198" s="141"/>
    </row>
    <row r="199" spans="1:26" x14ac:dyDescent="0.2">
      <c r="A199" t="s">
        <v>100</v>
      </c>
      <c r="B199" s="142">
        <v>45840</v>
      </c>
      <c r="C199" s="143">
        <v>45840</v>
      </c>
      <c r="D199" s="351">
        <v>47</v>
      </c>
      <c r="E199" s="6" t="s">
        <v>138</v>
      </c>
      <c r="F199" t="s">
        <v>111</v>
      </c>
      <c r="G199" s="6" t="s">
        <v>178</v>
      </c>
      <c r="H199" t="s">
        <v>116</v>
      </c>
      <c r="I199" s="191"/>
      <c r="J199" s="245">
        <v>7500015.2542372886</v>
      </c>
      <c r="K199" s="191">
        <f>+Tableau6[[#This Row],[MONTANT HT BIEN]]+Tableau6[[#This Row],[MONTANT HT SERVICE]]</f>
        <v>7500015.2542372886</v>
      </c>
      <c r="L199" s="153">
        <v>0</v>
      </c>
      <c r="M199" s="152">
        <f>+IFERROR(IF(Tableau6[[#This Row],[CODE TVA]]="TVAF",Tableau6[[#This Row],[MONTANT HT]]*0.18,0),0)</f>
        <v>1350002.7457627119</v>
      </c>
      <c r="N199" s="152">
        <f>Tableau6[[#This Row],[MONTANT HT]]+Tableau6[[#This Row],[TVA]]-Tableau6[[#This Row],[ACOMPTE SUR HT]]</f>
        <v>8850018</v>
      </c>
      <c r="O199" s="152"/>
      <c r="P199" s="152">
        <f>+ROUND(Tableau6[[#This Row],[MONTANT TTC]]-Tableau6[[#This Row],[ACOMPTE SUR TTC]],0)</f>
        <v>8850018</v>
      </c>
      <c r="Q199" s="33" t="s">
        <v>595</v>
      </c>
      <c r="R199" s="145">
        <f>IFERROR(INDEX(Tableau2[[ID BC UNIQUE]:[MONTANT HT VALIDE]],MATCH(Tableau6[[#This Row],[N° BC]],Tableau2[ID BC UNIQUE],0),6),0)</f>
        <v>7500015.2542372886</v>
      </c>
      <c r="S199" s="147">
        <f>IFERROR(INDEX(Tableau2[[DATE]:[DELAIS DE PAIEMENT FACTURES EN JOUR]],MATCH(Tableau6[[#This Row],[N° BC]],Tableau2[ID BC UNIQUE],0),5),0)</f>
        <v>30</v>
      </c>
      <c r="T199" s="143">
        <f>IF(ISBLANK(Tableau6[[#This Row],[DATE DE DEPOT]]),"",Tableau6[[#This Row],[DATE DE DEPOT]]+Tableau6[[#This Row],[DELAI]])</f>
        <v>45870</v>
      </c>
      <c r="U199" s="147">
        <f ca="1">+IF(AND(W199=0,Tableau6[[#This Row],[DATE LIMITE]]&lt;TODAY()),TODAY()-Tableau6[[#This Row],[DATE LIMITE]],0)</f>
        <v>0</v>
      </c>
      <c r="V199"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199" s="144">
        <f>SUMIF(Tableau3[FACTURE],Tableau6[[#This Row],[NUM DE FACTURE]],Tableau3[MONTANT TTC])</f>
        <v>8850018</v>
      </c>
      <c r="X199" s="143"/>
      <c r="Y199" s="154">
        <f>+Tableau6[[#This Row],[NET A PAYER]]-Tableau6[[#This Row],[MONTANT PAYE]]</f>
        <v>0</v>
      </c>
      <c r="Z199" s="141"/>
    </row>
    <row r="200" spans="1:26" x14ac:dyDescent="0.2">
      <c r="A200" t="s">
        <v>100</v>
      </c>
      <c r="B200" s="142">
        <v>45841</v>
      </c>
      <c r="C200" s="143">
        <v>45841</v>
      </c>
      <c r="D200" s="351">
        <v>48</v>
      </c>
      <c r="E200" s="6" t="s">
        <v>138</v>
      </c>
      <c r="F200" t="s">
        <v>111</v>
      </c>
      <c r="G200" s="6" t="s">
        <v>180</v>
      </c>
      <c r="H200" t="s">
        <v>116</v>
      </c>
      <c r="I200" s="191"/>
      <c r="J200" s="245">
        <v>12760000</v>
      </c>
      <c r="K200" s="191">
        <f>+Tableau6[[#This Row],[MONTANT HT BIEN]]+Tableau6[[#This Row],[MONTANT HT SERVICE]]</f>
        <v>12760000</v>
      </c>
      <c r="L200" s="153">
        <v>0</v>
      </c>
      <c r="M200" s="152">
        <f>+IFERROR(IF(Tableau6[[#This Row],[CODE TVA]]="TVAF",Tableau6[[#This Row],[MONTANT HT]]*0.18,0),0)</f>
        <v>2296800</v>
      </c>
      <c r="N200" s="152">
        <f>Tableau6[[#This Row],[MONTANT HT]]+Tableau6[[#This Row],[TVA]]-Tableau6[[#This Row],[ACOMPTE SUR HT]]</f>
        <v>15056800</v>
      </c>
      <c r="O200" s="152"/>
      <c r="P200" s="152">
        <f>+ROUND(Tableau6[[#This Row],[MONTANT TTC]]-Tableau6[[#This Row],[ACOMPTE SUR TTC]],0)</f>
        <v>15056800</v>
      </c>
      <c r="Q200" s="33" t="s">
        <v>596</v>
      </c>
      <c r="R200" s="145">
        <f>IFERROR(INDEX(Tableau2[[ID BC UNIQUE]:[MONTANT HT VALIDE]],MATCH(Tableau6[[#This Row],[N° BC]],Tableau2[ID BC UNIQUE],0),6),0)</f>
        <v>12760000</v>
      </c>
      <c r="S200" s="147">
        <f>IFERROR(INDEX(Tableau2[[DATE]:[DELAIS DE PAIEMENT FACTURES EN JOUR]],MATCH(Tableau6[[#This Row],[N° BC]],Tableau2[ID BC UNIQUE],0),5),0)</f>
        <v>30</v>
      </c>
      <c r="T200" s="143">
        <f>IF(ISBLANK(Tableau6[[#This Row],[DATE DE DEPOT]]),"",Tableau6[[#This Row],[DATE DE DEPOT]]+Tableau6[[#This Row],[DELAI]])</f>
        <v>45871</v>
      </c>
      <c r="U200" s="147">
        <f ca="1">+IF(AND(W200=0,Tableau6[[#This Row],[DATE LIMITE]]&lt;TODAY()),TODAY()-Tableau6[[#This Row],[DATE LIMITE]],0)</f>
        <v>0</v>
      </c>
      <c r="V200"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00" s="144">
        <f>SUMIF(Tableau3[FACTURE],Tableau6[[#This Row],[NUM DE FACTURE]],Tableau3[MONTANT TTC])</f>
        <v>15056800</v>
      </c>
      <c r="X200" s="143"/>
      <c r="Y200" s="154">
        <f>+Tableau6[[#This Row],[NET A PAYER]]-Tableau6[[#This Row],[MONTANT PAYE]]</f>
        <v>0</v>
      </c>
      <c r="Z200" s="141"/>
    </row>
    <row r="201" spans="1:26" x14ac:dyDescent="0.2">
      <c r="A201" t="s">
        <v>100</v>
      </c>
      <c r="B201" s="142">
        <v>45841</v>
      </c>
      <c r="C201" s="143">
        <v>45841</v>
      </c>
      <c r="D201" s="351">
        <v>49</v>
      </c>
      <c r="E201" s="6" t="s">
        <v>102</v>
      </c>
      <c r="F201" t="s">
        <v>111</v>
      </c>
      <c r="G201" s="6" t="s">
        <v>426</v>
      </c>
      <c r="H201" t="s">
        <v>116</v>
      </c>
      <c r="I201" s="191"/>
      <c r="J201" s="245">
        <v>11976544.06779661</v>
      </c>
      <c r="K201" s="191">
        <f>+Tableau6[[#This Row],[MONTANT HT BIEN]]+Tableau6[[#This Row],[MONTANT HT SERVICE]]</f>
        <v>11976544.06779661</v>
      </c>
      <c r="L201" s="153">
        <v>0</v>
      </c>
      <c r="M201" s="152">
        <f>+IFERROR(IF(Tableau6[[#This Row],[CODE TVA]]="TVAF",Tableau6[[#This Row],[MONTANT HT]]*0.18,0),0)</f>
        <v>2155777.9322033897</v>
      </c>
      <c r="N201" s="152">
        <f>Tableau6[[#This Row],[MONTANT HT]]+Tableau6[[#This Row],[TVA]]-Tableau6[[#This Row],[ACOMPTE SUR HT]]</f>
        <v>14132322</v>
      </c>
      <c r="O201" s="152"/>
      <c r="P201" s="152">
        <f>+ROUND(Tableau6[[#This Row],[MONTANT TTC]]-Tableau6[[#This Row],[ACOMPTE SUR TTC]],0)</f>
        <v>14132322</v>
      </c>
      <c r="Q201" s="33" t="s">
        <v>597</v>
      </c>
      <c r="R201" s="145">
        <f>IFERROR(INDEX(Tableau2[[ID BC UNIQUE]:[MONTANT HT VALIDE]],MATCH(Tableau6[[#This Row],[N° BC]],Tableau2[ID BC UNIQUE],0),6),0)</f>
        <v>11976544</v>
      </c>
      <c r="S201" s="147">
        <f>IFERROR(INDEX(Tableau2[[DATE]:[DELAIS DE PAIEMENT FACTURES EN JOUR]],MATCH(Tableau6[[#This Row],[N° BC]],Tableau2[ID BC UNIQUE],0),5),0)</f>
        <v>30</v>
      </c>
      <c r="T201" s="143">
        <f>IF(ISBLANK(Tableau6[[#This Row],[DATE DE DEPOT]]),"",Tableau6[[#This Row],[DATE DE DEPOT]]+Tableau6[[#This Row],[DELAI]])</f>
        <v>45871</v>
      </c>
      <c r="U201" s="147">
        <f ca="1">+IF(AND(W201=0,Tableau6[[#This Row],[DATE LIMITE]]&lt;TODAY()),TODAY()-Tableau6[[#This Row],[DATE LIMITE]],0)</f>
        <v>0</v>
      </c>
      <c r="V201"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01" s="144">
        <f>SUMIF(Tableau3[FACTURE],Tableau6[[#This Row],[NUM DE FACTURE]],Tableau3[MONTANT TTC])</f>
        <v>14132322</v>
      </c>
      <c r="X201" s="143"/>
      <c r="Y201" s="154">
        <f>+Tableau6[[#This Row],[NET A PAYER]]-Tableau6[[#This Row],[MONTANT PAYE]]</f>
        <v>0</v>
      </c>
      <c r="Z201" s="141"/>
    </row>
    <row r="202" spans="1:26" x14ac:dyDescent="0.2">
      <c r="A202" t="s">
        <v>100</v>
      </c>
      <c r="B202" s="142">
        <v>45852</v>
      </c>
      <c r="C202" s="143">
        <v>45852</v>
      </c>
      <c r="D202" s="351">
        <v>50</v>
      </c>
      <c r="E202" s="6" t="s">
        <v>138</v>
      </c>
      <c r="F202" s="141" t="s">
        <v>111</v>
      </c>
      <c r="G202" s="6" t="s">
        <v>185</v>
      </c>
      <c r="H202" t="s">
        <v>116</v>
      </c>
      <c r="I202" s="191"/>
      <c r="J202" s="245">
        <v>650000</v>
      </c>
      <c r="K202" s="191">
        <f>+Tableau6[[#This Row],[MONTANT HT BIEN]]+Tableau6[[#This Row],[MONTANT HT SERVICE]]</f>
        <v>650000</v>
      </c>
      <c r="L202" s="153">
        <v>0</v>
      </c>
      <c r="M202" s="152">
        <f>+IFERROR(IF(Tableau6[[#This Row],[CODE TVA]]="TVAF",Tableau6[[#This Row],[MONTANT HT]]*0.18,0),0)</f>
        <v>117000</v>
      </c>
      <c r="N202" s="152">
        <f>Tableau6[[#This Row],[MONTANT HT]]+Tableau6[[#This Row],[TVA]]-Tableau6[[#This Row],[ACOMPTE SUR HT]]</f>
        <v>767000</v>
      </c>
      <c r="O202" s="152"/>
      <c r="P202" s="152">
        <f>+ROUND(Tableau6[[#This Row],[MONTANT TTC]]-Tableau6[[#This Row],[ACOMPTE SUR TTC]],0)</f>
        <v>767000</v>
      </c>
      <c r="Q202" s="33" t="s">
        <v>598</v>
      </c>
      <c r="R202" s="145">
        <f>IFERROR(INDEX(Tableau2[[ID BC UNIQUE]:[MONTANT HT VALIDE]],MATCH(Tableau6[[#This Row],[N° BC]],Tableau2[ID BC UNIQUE],0),6),0)</f>
        <v>650000</v>
      </c>
      <c r="S202" s="147">
        <f>IFERROR(INDEX(Tableau2[[DATE]:[DELAIS DE PAIEMENT FACTURES EN JOUR]],MATCH(Tableau6[[#This Row],[N° BC]],Tableau2[ID BC UNIQUE],0),5),0)</f>
        <v>30</v>
      </c>
      <c r="T202" s="143">
        <f>IF(ISBLANK(Tableau6[[#This Row],[DATE DE DEPOT]]),"",Tableau6[[#This Row],[DATE DE DEPOT]]+Tableau6[[#This Row],[DELAI]])</f>
        <v>45882</v>
      </c>
      <c r="U202" s="147">
        <f ca="1">+IF(AND(W202=0,Tableau6[[#This Row],[DATE LIMITE]]&lt;TODAY()),TODAY()-Tableau6[[#This Row],[DATE LIMITE]],0)</f>
        <v>0</v>
      </c>
      <c r="V202"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02" s="144">
        <f>SUMIF(Tableau3[FACTURE],Tableau6[[#This Row],[NUM DE FACTURE]],Tableau3[MONTANT TTC])</f>
        <v>767000</v>
      </c>
      <c r="X202" s="143"/>
      <c r="Y202" s="154">
        <f>+Tableau6[[#This Row],[NET A PAYER]]-Tableau6[[#This Row],[MONTANT PAYE]]</f>
        <v>0</v>
      </c>
      <c r="Z202" s="141"/>
    </row>
    <row r="203" spans="1:26" x14ac:dyDescent="0.2">
      <c r="A203" t="s">
        <v>100</v>
      </c>
      <c r="B203" s="142">
        <v>45852</v>
      </c>
      <c r="C203" s="143">
        <v>45852</v>
      </c>
      <c r="D203" s="351">
        <v>51</v>
      </c>
      <c r="E203" s="6" t="s">
        <v>138</v>
      </c>
      <c r="F203" t="s">
        <v>111</v>
      </c>
      <c r="G203" s="6" t="s">
        <v>183</v>
      </c>
      <c r="H203" t="s">
        <v>116</v>
      </c>
      <c r="I203" s="191"/>
      <c r="J203" s="245">
        <v>13185000</v>
      </c>
      <c r="K203" s="191">
        <f>+Tableau6[[#This Row],[MONTANT HT BIEN]]+Tableau6[[#This Row],[MONTANT HT SERVICE]]</f>
        <v>13185000</v>
      </c>
      <c r="L203" s="153">
        <v>0</v>
      </c>
      <c r="M203" s="152">
        <f>+IFERROR(IF(Tableau6[[#This Row],[CODE TVA]]="TVAF",Tableau6[[#This Row],[MONTANT HT]]*0.18,0),0)</f>
        <v>2373300</v>
      </c>
      <c r="N203" s="152">
        <f>Tableau6[[#This Row],[MONTANT HT]]+Tableau6[[#This Row],[TVA]]-Tableau6[[#This Row],[ACOMPTE SUR HT]]</f>
        <v>15558300</v>
      </c>
      <c r="O203" s="152"/>
      <c r="P203" s="152">
        <f>+ROUND(Tableau6[[#This Row],[MONTANT TTC]]-Tableau6[[#This Row],[ACOMPTE SUR TTC]],0)</f>
        <v>15558300</v>
      </c>
      <c r="Q203" s="33" t="s">
        <v>599</v>
      </c>
      <c r="R203" s="145">
        <f>IFERROR(INDEX(Tableau2[[ID BC UNIQUE]:[MONTANT HT VALIDE]],MATCH(Tableau6[[#This Row],[N° BC]],Tableau2[ID BC UNIQUE],0),6),0)</f>
        <v>13185000</v>
      </c>
      <c r="S203" s="147">
        <f>IFERROR(INDEX(Tableau2[[DATE]:[DELAIS DE PAIEMENT FACTURES EN JOUR]],MATCH(Tableau6[[#This Row],[N° BC]],Tableau2[ID BC UNIQUE],0),5),0)</f>
        <v>30</v>
      </c>
      <c r="T203" s="143">
        <f>IF(ISBLANK(Tableau6[[#This Row],[DATE DE DEPOT]]),"",Tableau6[[#This Row],[DATE DE DEPOT]]+Tableau6[[#This Row],[DELAI]])</f>
        <v>45882</v>
      </c>
      <c r="U203" s="147">
        <f ca="1">+IF(AND(W203=0,Tableau6[[#This Row],[DATE LIMITE]]&lt;TODAY()),TODAY()-Tableau6[[#This Row],[DATE LIMITE]],0)</f>
        <v>0</v>
      </c>
      <c r="V203"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03" s="144">
        <f>SUMIF(Tableau3[FACTURE],Tableau6[[#This Row],[NUM DE FACTURE]],Tableau3[MONTANT TTC])</f>
        <v>15558300</v>
      </c>
      <c r="X203" s="143"/>
      <c r="Y203" s="154">
        <f>+Tableau6[[#This Row],[NET A PAYER]]-Tableau6[[#This Row],[MONTANT PAYE]]</f>
        <v>0</v>
      </c>
      <c r="Z203" s="141"/>
    </row>
    <row r="204" spans="1:26" x14ac:dyDescent="0.2">
      <c r="A204" t="s">
        <v>100</v>
      </c>
      <c r="B204" s="142">
        <v>45856</v>
      </c>
      <c r="C204" s="143">
        <v>45856</v>
      </c>
      <c r="D204" s="351">
        <v>52</v>
      </c>
      <c r="E204" s="6" t="s">
        <v>138</v>
      </c>
      <c r="F204" t="s">
        <v>111</v>
      </c>
      <c r="G204" s="6" t="s">
        <v>182</v>
      </c>
      <c r="H204" t="s">
        <v>116</v>
      </c>
      <c r="I204" s="191"/>
      <c r="J204" s="245">
        <v>1340000</v>
      </c>
      <c r="K204" s="191">
        <f>+Tableau6[[#This Row],[MONTANT HT BIEN]]+Tableau6[[#This Row],[MONTANT HT SERVICE]]</f>
        <v>1340000</v>
      </c>
      <c r="L204" s="153">
        <v>0</v>
      </c>
      <c r="M204" s="152">
        <f>+IFERROR(IF(Tableau6[[#This Row],[CODE TVA]]="TVAF",Tableau6[[#This Row],[MONTANT HT]]*0.18,0),0)</f>
        <v>241200</v>
      </c>
      <c r="N204" s="152">
        <f>Tableau6[[#This Row],[MONTANT HT]]+Tableau6[[#This Row],[TVA]]-Tableau6[[#This Row],[ACOMPTE SUR HT]]</f>
        <v>1581200</v>
      </c>
      <c r="O204" s="152"/>
      <c r="P204" s="152">
        <f>+ROUND(Tableau6[[#This Row],[MONTANT TTC]]-Tableau6[[#This Row],[ACOMPTE SUR TTC]],0)</f>
        <v>1581200</v>
      </c>
      <c r="Q204" s="33" t="s">
        <v>600</v>
      </c>
      <c r="R204" s="145">
        <f>IFERROR(INDEX(Tableau2[[ID BC UNIQUE]:[MONTANT HT VALIDE]],MATCH(Tableau6[[#This Row],[N° BC]],Tableau2[ID BC UNIQUE],0),6),0)</f>
        <v>1340000</v>
      </c>
      <c r="S204" s="147">
        <f>IFERROR(INDEX(Tableau2[[DATE]:[DELAIS DE PAIEMENT FACTURES EN JOUR]],MATCH(Tableau6[[#This Row],[N° BC]],Tableau2[ID BC UNIQUE],0),5),0)</f>
        <v>30</v>
      </c>
      <c r="T204" s="143">
        <f>IF(ISBLANK(Tableau6[[#This Row],[DATE DE DEPOT]]),"",Tableau6[[#This Row],[DATE DE DEPOT]]+Tableau6[[#This Row],[DELAI]])</f>
        <v>45886</v>
      </c>
      <c r="U204" s="147">
        <f ca="1">+IF(AND(W204=0,Tableau6[[#This Row],[DATE LIMITE]]&lt;TODAY()),TODAY()-Tableau6[[#This Row],[DATE LIMITE]],0)</f>
        <v>0</v>
      </c>
      <c r="V204"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04" s="144">
        <f>SUMIF(Tableau3[FACTURE],Tableau6[[#This Row],[NUM DE FACTURE]],Tableau3[MONTANT TTC])</f>
        <v>1581200</v>
      </c>
      <c r="X204" s="143"/>
      <c r="Y204" s="154">
        <f>+Tableau6[[#This Row],[NET A PAYER]]-Tableau6[[#This Row],[MONTANT PAYE]]</f>
        <v>0</v>
      </c>
      <c r="Z204" s="141"/>
    </row>
    <row r="205" spans="1:26" x14ac:dyDescent="0.2">
      <c r="A205" t="s">
        <v>100</v>
      </c>
      <c r="B205" s="142">
        <v>45858</v>
      </c>
      <c r="C205" s="143">
        <v>45858</v>
      </c>
      <c r="D205" s="351">
        <v>53</v>
      </c>
      <c r="E205" s="6" t="s">
        <v>138</v>
      </c>
      <c r="F205" t="s">
        <v>111</v>
      </c>
      <c r="G205" s="6" t="s">
        <v>188</v>
      </c>
      <c r="H205" t="s">
        <v>116</v>
      </c>
      <c r="I205" s="191"/>
      <c r="J205" s="245">
        <v>5060000</v>
      </c>
      <c r="K205" s="191">
        <f>+Tableau6[[#This Row],[MONTANT HT BIEN]]+Tableau6[[#This Row],[MONTANT HT SERVICE]]</f>
        <v>5060000</v>
      </c>
      <c r="L205" s="153">
        <v>0</v>
      </c>
      <c r="M205" s="152">
        <f>+IFERROR(IF(Tableau6[[#This Row],[CODE TVA]]="TVAF",Tableau6[[#This Row],[MONTANT HT]]*0.18,0),0)</f>
        <v>910800</v>
      </c>
      <c r="N205" s="152">
        <f>Tableau6[[#This Row],[MONTANT HT]]+Tableau6[[#This Row],[TVA]]-Tableau6[[#This Row],[ACOMPTE SUR HT]]</f>
        <v>5970800</v>
      </c>
      <c r="O205" s="152"/>
      <c r="P205" s="152">
        <f>+ROUND(Tableau6[[#This Row],[MONTANT TTC]]-Tableau6[[#This Row],[ACOMPTE SUR TTC]],0)</f>
        <v>5970800</v>
      </c>
      <c r="Q205" s="33" t="s">
        <v>601</v>
      </c>
      <c r="R205" s="145">
        <f>IFERROR(INDEX(Tableau2[[ID BC UNIQUE]:[MONTANT HT VALIDE]],MATCH(Tableau6[[#This Row],[N° BC]],Tableau2[ID BC UNIQUE],0),6),0)</f>
        <v>5060000</v>
      </c>
      <c r="S205" s="147">
        <f>IFERROR(INDEX(Tableau2[[DATE]:[DELAIS DE PAIEMENT FACTURES EN JOUR]],MATCH(Tableau6[[#This Row],[N° BC]],Tableau2[ID BC UNIQUE],0),5),0)</f>
        <v>30</v>
      </c>
      <c r="T205" s="143">
        <f>IF(ISBLANK(Tableau6[[#This Row],[DATE DE DEPOT]]),"",Tableau6[[#This Row],[DATE DE DEPOT]]+Tableau6[[#This Row],[DELAI]])</f>
        <v>45888</v>
      </c>
      <c r="U205" s="147">
        <f ca="1">+IF(AND(W205=0,Tableau6[[#This Row],[DATE LIMITE]]&lt;TODAY()),TODAY()-Tableau6[[#This Row],[DATE LIMITE]],0)</f>
        <v>0</v>
      </c>
      <c r="V205"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05" s="144">
        <f>SUMIF(Tableau3[FACTURE],Tableau6[[#This Row],[NUM DE FACTURE]],Tableau3[MONTANT TTC])</f>
        <v>5970800</v>
      </c>
      <c r="X205" s="143"/>
      <c r="Y205" s="154">
        <f>+Tableau6[[#This Row],[NET A PAYER]]-Tableau6[[#This Row],[MONTANT PAYE]]</f>
        <v>0</v>
      </c>
      <c r="Z205" s="141"/>
    </row>
    <row r="206" spans="1:26" x14ac:dyDescent="0.2">
      <c r="A206" t="s">
        <v>100</v>
      </c>
      <c r="B206" s="142">
        <v>45858</v>
      </c>
      <c r="C206" s="143">
        <v>45858</v>
      </c>
      <c r="D206" s="351">
        <v>54</v>
      </c>
      <c r="E206" s="6" t="s">
        <v>138</v>
      </c>
      <c r="F206" t="s">
        <v>111</v>
      </c>
      <c r="G206" s="6" t="s">
        <v>182</v>
      </c>
      <c r="H206" t="s">
        <v>116</v>
      </c>
      <c r="I206" s="191"/>
      <c r="J206" s="245">
        <v>210000</v>
      </c>
      <c r="K206" s="191">
        <f>+Tableau6[[#This Row],[MONTANT HT BIEN]]+Tableau6[[#This Row],[MONTANT HT SERVICE]]</f>
        <v>210000</v>
      </c>
      <c r="L206" s="153">
        <v>0</v>
      </c>
      <c r="M206" s="152">
        <f>+IFERROR(IF(Tableau6[[#This Row],[CODE TVA]]="TVAF",Tableau6[[#This Row],[MONTANT HT]]*0.18,0),0)</f>
        <v>37800</v>
      </c>
      <c r="N206" s="152">
        <f>Tableau6[[#This Row],[MONTANT HT]]+Tableau6[[#This Row],[TVA]]-Tableau6[[#This Row],[ACOMPTE SUR HT]]</f>
        <v>247800</v>
      </c>
      <c r="O206" s="152"/>
      <c r="P206" s="152">
        <f>+ROUND(Tableau6[[#This Row],[MONTANT TTC]]-Tableau6[[#This Row],[ACOMPTE SUR TTC]],0)</f>
        <v>247800</v>
      </c>
      <c r="Q206" s="33" t="s">
        <v>602</v>
      </c>
      <c r="R206" s="145">
        <f>IFERROR(INDEX(Tableau2[[ID BC UNIQUE]:[MONTANT HT VALIDE]],MATCH(Tableau6[[#This Row],[N° BC]],Tableau2[ID BC UNIQUE],0),6),0)</f>
        <v>210000</v>
      </c>
      <c r="S206" s="147">
        <f>IFERROR(INDEX(Tableau2[[DATE]:[DELAIS DE PAIEMENT FACTURES EN JOUR]],MATCH(Tableau6[[#This Row],[N° BC]],Tableau2[ID BC UNIQUE],0),5),0)</f>
        <v>30</v>
      </c>
      <c r="T206" s="143">
        <f>IF(ISBLANK(Tableau6[[#This Row],[DATE DE DEPOT]]),"",Tableau6[[#This Row],[DATE DE DEPOT]]+Tableau6[[#This Row],[DELAI]])</f>
        <v>45888</v>
      </c>
      <c r="U206" s="147">
        <f ca="1">+IF(AND(W206=0,Tableau6[[#This Row],[DATE LIMITE]]&lt;TODAY()),TODAY()-Tableau6[[#This Row],[DATE LIMITE]],0)</f>
        <v>0</v>
      </c>
      <c r="V206"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06" s="144">
        <f>SUMIF(Tableau3[FACTURE],Tableau6[[#This Row],[NUM DE FACTURE]],Tableau3[MONTANT TTC])</f>
        <v>247800</v>
      </c>
      <c r="X206" s="143"/>
      <c r="Y206" s="154">
        <f>+Tableau6[[#This Row],[NET A PAYER]]-Tableau6[[#This Row],[MONTANT PAYE]]</f>
        <v>0</v>
      </c>
      <c r="Z206" s="141"/>
    </row>
    <row r="207" spans="1:26" x14ac:dyDescent="0.2">
      <c r="A207" t="s">
        <v>100</v>
      </c>
      <c r="B207" s="142">
        <v>45858</v>
      </c>
      <c r="C207" s="143">
        <v>45858</v>
      </c>
      <c r="D207" s="351">
        <v>56</v>
      </c>
      <c r="E207" s="6" t="s">
        <v>102</v>
      </c>
      <c r="F207" t="s">
        <v>111</v>
      </c>
      <c r="G207" s="6" t="s">
        <v>426</v>
      </c>
      <c r="H207" t="s">
        <v>116</v>
      </c>
      <c r="I207" s="191"/>
      <c r="J207" s="245">
        <v>8510000</v>
      </c>
      <c r="K207" s="191">
        <f>+Tableau6[[#This Row],[MONTANT HT BIEN]]+Tableau6[[#This Row],[MONTANT HT SERVICE]]</f>
        <v>8510000</v>
      </c>
      <c r="L207" s="153">
        <v>0</v>
      </c>
      <c r="M207" s="152">
        <f>+IFERROR(IF(Tableau6[[#This Row],[CODE TVA]]="TVAF",Tableau6[[#This Row],[MONTANT HT]]*0.18,0),0)</f>
        <v>1531800</v>
      </c>
      <c r="N207" s="152">
        <f>Tableau6[[#This Row],[MONTANT HT]]+Tableau6[[#This Row],[TVA]]-Tableau6[[#This Row],[ACOMPTE SUR HT]]</f>
        <v>10041800</v>
      </c>
      <c r="O207" s="152"/>
      <c r="P207" s="152">
        <f>+ROUND(Tableau6[[#This Row],[MONTANT TTC]]-Tableau6[[#This Row],[ACOMPTE SUR TTC]],0)</f>
        <v>10041800</v>
      </c>
      <c r="Q207" s="33" t="s">
        <v>603</v>
      </c>
      <c r="R207" s="145">
        <f>IFERROR(INDEX(Tableau2[[ID BC UNIQUE]:[MONTANT HT VALIDE]],MATCH(Tableau6[[#This Row],[N° BC]],Tableau2[ID BC UNIQUE],0),6),0)</f>
        <v>8510000</v>
      </c>
      <c r="S207" s="147">
        <f>IFERROR(INDEX(Tableau2[[DATE]:[DELAIS DE PAIEMENT FACTURES EN JOUR]],MATCH(Tableau6[[#This Row],[N° BC]],Tableau2[ID BC UNIQUE],0),5),0)</f>
        <v>30</v>
      </c>
      <c r="T207" s="143">
        <f>IF(ISBLANK(Tableau6[[#This Row],[DATE DE DEPOT]]),"",Tableau6[[#This Row],[DATE DE DEPOT]]+Tableau6[[#This Row],[DELAI]])</f>
        <v>45888</v>
      </c>
      <c r="U207" s="147">
        <f ca="1">+IF(AND(W207=0,Tableau6[[#This Row],[DATE LIMITE]]&lt;TODAY()),TODAY()-Tableau6[[#This Row],[DATE LIMITE]],0)</f>
        <v>0</v>
      </c>
      <c r="V207"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07" s="144">
        <f>SUMIF(Tableau3[FACTURE],Tableau6[[#This Row],[NUM DE FACTURE]],Tableau3[MONTANT TTC])</f>
        <v>10041800</v>
      </c>
      <c r="X207" s="143"/>
      <c r="Y207" s="154">
        <f>+Tableau6[[#This Row],[NET A PAYER]]-Tableau6[[#This Row],[MONTANT PAYE]]</f>
        <v>0</v>
      </c>
      <c r="Z207" s="141"/>
    </row>
    <row r="208" spans="1:26" x14ac:dyDescent="0.2">
      <c r="A208" t="s">
        <v>100</v>
      </c>
      <c r="B208" s="142">
        <v>45863</v>
      </c>
      <c r="C208" s="143">
        <v>45887</v>
      </c>
      <c r="D208" s="351">
        <v>58</v>
      </c>
      <c r="E208" s="6" t="s">
        <v>138</v>
      </c>
      <c r="F208" t="s">
        <v>111</v>
      </c>
      <c r="G208" s="6" t="s">
        <v>161</v>
      </c>
      <c r="H208" t="s">
        <v>116</v>
      </c>
      <c r="I208" s="191"/>
      <c r="J208" s="245">
        <v>4320000</v>
      </c>
      <c r="K208" s="191">
        <f>+Tableau6[[#This Row],[MONTANT HT BIEN]]+Tableau6[[#This Row],[MONTANT HT SERVICE]]</f>
        <v>4320000</v>
      </c>
      <c r="L208" s="153">
        <v>0</v>
      </c>
      <c r="M208" s="152">
        <f>+IFERROR(IF(Tableau6[[#This Row],[CODE TVA]]="TVAF",Tableau6[[#This Row],[MONTANT HT]]*0.18,0),0)</f>
        <v>777600</v>
      </c>
      <c r="N208" s="152">
        <f>Tableau6[[#This Row],[MONTANT HT]]+Tableau6[[#This Row],[TVA]]-Tableau6[[#This Row],[ACOMPTE SUR HT]]</f>
        <v>5097600</v>
      </c>
      <c r="O208" s="152"/>
      <c r="P208" s="152">
        <f>+ROUND(Tableau6[[#This Row],[MONTANT TTC]]-Tableau6[[#This Row],[ACOMPTE SUR TTC]],0)</f>
        <v>5097600</v>
      </c>
      <c r="Q208" s="33" t="s">
        <v>605</v>
      </c>
      <c r="R208" s="145">
        <f>IFERROR(INDEX(Tableau2[[ID BC UNIQUE]:[MONTANT HT VALIDE]],MATCH(Tableau6[[#This Row],[N° BC]],Tableau2[ID BC UNIQUE],0),6),0)</f>
        <v>4320000</v>
      </c>
      <c r="S208" s="147">
        <f>IFERROR(INDEX(Tableau2[[DATE]:[DELAIS DE PAIEMENT FACTURES EN JOUR]],MATCH(Tableau6[[#This Row],[N° BC]],Tableau2[ID BC UNIQUE],0),5),0)</f>
        <v>30</v>
      </c>
      <c r="T208" s="143">
        <f>IF(ISBLANK(Tableau6[[#This Row],[DATE DE DEPOT]]),"",Tableau6[[#This Row],[DATE DE DEPOT]]+Tableau6[[#This Row],[DELAI]])</f>
        <v>45917</v>
      </c>
      <c r="U208" s="147">
        <f ca="1">+IF(AND(W208=0,Tableau6[[#This Row],[DATE LIMITE]]&lt;TODAY()),TODAY()-Tableau6[[#This Row],[DATE LIMITE]],0)</f>
        <v>0</v>
      </c>
      <c r="V208"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08" s="144">
        <f>SUMIF(Tableau3[FACTURE],Tableau6[[#This Row],[NUM DE FACTURE]],Tableau3[MONTANT TTC])</f>
        <v>5097600</v>
      </c>
      <c r="X208" s="143"/>
      <c r="Y208" s="154">
        <f>+Tableau6[[#This Row],[NET A PAYER]]-Tableau6[[#This Row],[MONTANT PAYE]]</f>
        <v>0</v>
      </c>
      <c r="Z208" s="141"/>
    </row>
    <row r="209" spans="1:26" x14ac:dyDescent="0.2">
      <c r="A209" t="s">
        <v>100</v>
      </c>
      <c r="B209" s="142">
        <v>45863</v>
      </c>
      <c r="C209" s="143">
        <v>45887</v>
      </c>
      <c r="D209" s="351">
        <v>59</v>
      </c>
      <c r="E209" s="6" t="s">
        <v>138</v>
      </c>
      <c r="F209" t="s">
        <v>111</v>
      </c>
      <c r="G209" s="6" t="s">
        <v>161</v>
      </c>
      <c r="H209" t="s">
        <v>116</v>
      </c>
      <c r="I209" s="191"/>
      <c r="J209" s="245">
        <v>990000</v>
      </c>
      <c r="K209" s="191">
        <f>+Tableau6[[#This Row],[MONTANT HT BIEN]]+Tableau6[[#This Row],[MONTANT HT SERVICE]]</f>
        <v>990000</v>
      </c>
      <c r="L209" s="153">
        <v>0</v>
      </c>
      <c r="M209" s="152">
        <f>+IFERROR(IF(Tableau6[[#This Row],[CODE TVA]]="TVAF",Tableau6[[#This Row],[MONTANT HT]]*0.18,0),0)</f>
        <v>178200</v>
      </c>
      <c r="N209" s="152">
        <f>Tableau6[[#This Row],[MONTANT HT]]+Tableau6[[#This Row],[TVA]]-Tableau6[[#This Row],[ACOMPTE SUR HT]]</f>
        <v>1168200</v>
      </c>
      <c r="O209" s="152"/>
      <c r="P209" s="152">
        <f>+ROUND(Tableau6[[#This Row],[MONTANT TTC]]-Tableau6[[#This Row],[ACOMPTE SUR TTC]],0)</f>
        <v>1168200</v>
      </c>
      <c r="Q209" s="33" t="s">
        <v>606</v>
      </c>
      <c r="R209" s="145">
        <f>IFERROR(INDEX(Tableau2[[ID BC UNIQUE]:[MONTANT HT VALIDE]],MATCH(Tableau6[[#This Row],[N° BC]],Tableau2[ID BC UNIQUE],0),6),0)</f>
        <v>990000</v>
      </c>
      <c r="S209" s="147">
        <f>IFERROR(INDEX(Tableau2[[DATE]:[DELAIS DE PAIEMENT FACTURES EN JOUR]],MATCH(Tableau6[[#This Row],[N° BC]],Tableau2[ID BC UNIQUE],0),5),0)</f>
        <v>30</v>
      </c>
      <c r="T209" s="143">
        <f>IF(ISBLANK(Tableau6[[#This Row],[DATE DE DEPOT]]),"",Tableau6[[#This Row],[DATE DE DEPOT]]+Tableau6[[#This Row],[DELAI]])</f>
        <v>45917</v>
      </c>
      <c r="U209" s="147">
        <f ca="1">+IF(AND(W209=0,Tableau6[[#This Row],[DATE LIMITE]]&lt;TODAY()),TODAY()-Tableau6[[#This Row],[DATE LIMITE]],0)</f>
        <v>0</v>
      </c>
      <c r="V209"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09" s="144">
        <f>SUMIF(Tableau3[FACTURE],Tableau6[[#This Row],[NUM DE FACTURE]],Tableau3[MONTANT TTC])</f>
        <v>1168200</v>
      </c>
      <c r="X209" s="143"/>
      <c r="Y209" s="154">
        <f>+Tableau6[[#This Row],[NET A PAYER]]-Tableau6[[#This Row],[MONTANT PAYE]]</f>
        <v>0</v>
      </c>
      <c r="Z209" s="141"/>
    </row>
    <row r="210" spans="1:26" x14ac:dyDescent="0.2">
      <c r="A210" t="s">
        <v>100</v>
      </c>
      <c r="B210" s="142">
        <v>45863</v>
      </c>
      <c r="C210" s="143">
        <v>45887</v>
      </c>
      <c r="D210" s="351">
        <v>60</v>
      </c>
      <c r="E210" s="6" t="s">
        <v>138</v>
      </c>
      <c r="F210" t="s">
        <v>111</v>
      </c>
      <c r="G210" s="6" t="s">
        <v>161</v>
      </c>
      <c r="H210" t="s">
        <v>116</v>
      </c>
      <c r="I210" s="191"/>
      <c r="J210" s="245">
        <v>1980000</v>
      </c>
      <c r="K210" s="191">
        <f>+Tableau6[[#This Row],[MONTANT HT BIEN]]+Tableau6[[#This Row],[MONTANT HT SERVICE]]</f>
        <v>1980000</v>
      </c>
      <c r="L210" s="153">
        <v>0</v>
      </c>
      <c r="M210" s="152">
        <f>+IFERROR(IF(Tableau6[[#This Row],[CODE TVA]]="TVAF",Tableau6[[#This Row],[MONTANT HT]]*0.18,0),0)</f>
        <v>356400</v>
      </c>
      <c r="N210" s="152">
        <f>Tableau6[[#This Row],[MONTANT HT]]+Tableau6[[#This Row],[TVA]]-Tableau6[[#This Row],[ACOMPTE SUR HT]]</f>
        <v>2336400</v>
      </c>
      <c r="O210" s="152"/>
      <c r="P210" s="152">
        <f>+ROUND(Tableau6[[#This Row],[MONTANT TTC]]-Tableau6[[#This Row],[ACOMPTE SUR TTC]],0)</f>
        <v>2336400</v>
      </c>
      <c r="Q210" s="33" t="s">
        <v>607</v>
      </c>
      <c r="R210" s="145">
        <f>IFERROR(INDEX(Tableau2[[ID BC UNIQUE]:[MONTANT HT VALIDE]],MATCH(Tableau6[[#This Row],[N° BC]],Tableau2[ID BC UNIQUE],0),6),0)</f>
        <v>1980000</v>
      </c>
      <c r="S210" s="147">
        <f>IFERROR(INDEX(Tableau2[[DATE]:[DELAIS DE PAIEMENT FACTURES EN JOUR]],MATCH(Tableau6[[#This Row],[N° BC]],Tableau2[ID BC UNIQUE],0),5),0)</f>
        <v>30</v>
      </c>
      <c r="T210" s="143">
        <f>IF(ISBLANK(Tableau6[[#This Row],[DATE DE DEPOT]]),"",Tableau6[[#This Row],[DATE DE DEPOT]]+Tableau6[[#This Row],[DELAI]])</f>
        <v>45917</v>
      </c>
      <c r="U210" s="147">
        <f ca="1">+IF(AND(W210=0,Tableau6[[#This Row],[DATE LIMITE]]&lt;TODAY()),TODAY()-Tableau6[[#This Row],[DATE LIMITE]],0)</f>
        <v>0</v>
      </c>
      <c r="V210"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10" s="144">
        <f>SUMIF(Tableau3[FACTURE],Tableau6[[#This Row],[NUM DE FACTURE]],Tableau3[MONTANT TTC])</f>
        <v>2336400</v>
      </c>
      <c r="X210" s="143"/>
      <c r="Y210" s="154">
        <f>+Tableau6[[#This Row],[NET A PAYER]]-Tableau6[[#This Row],[MONTANT PAYE]]</f>
        <v>0</v>
      </c>
      <c r="Z210" s="141"/>
    </row>
    <row r="211" spans="1:26" x14ac:dyDescent="0.2">
      <c r="A211" t="s">
        <v>100</v>
      </c>
      <c r="B211" s="142">
        <v>45866</v>
      </c>
      <c r="C211" s="143">
        <v>45866</v>
      </c>
      <c r="D211" s="351">
        <v>57</v>
      </c>
      <c r="E211" s="6" t="s">
        <v>138</v>
      </c>
      <c r="F211" s="141" t="s">
        <v>111</v>
      </c>
      <c r="G211" s="6" t="s">
        <v>182</v>
      </c>
      <c r="H211" t="s">
        <v>116</v>
      </c>
      <c r="I211" s="191"/>
      <c r="J211" s="245">
        <v>6490000</v>
      </c>
      <c r="K211" s="191">
        <f>+Tableau6[[#This Row],[MONTANT HT BIEN]]+Tableau6[[#This Row],[MONTANT HT SERVICE]]</f>
        <v>6490000</v>
      </c>
      <c r="L211" s="153">
        <v>0</v>
      </c>
      <c r="M211" s="152">
        <f>+IFERROR(IF(Tableau6[[#This Row],[CODE TVA]]="TVAF",Tableau6[[#This Row],[MONTANT HT]]*0.18,0),0)</f>
        <v>1168200</v>
      </c>
      <c r="N211" s="152">
        <f>Tableau6[[#This Row],[MONTANT HT]]+Tableau6[[#This Row],[TVA]]-Tableau6[[#This Row],[ACOMPTE SUR HT]]</f>
        <v>7658200</v>
      </c>
      <c r="O211" s="152"/>
      <c r="P211" s="152">
        <f>+ROUND(Tableau6[[#This Row],[MONTANT TTC]]-Tableau6[[#This Row],[ACOMPTE SUR TTC]],0)</f>
        <v>7658200</v>
      </c>
      <c r="Q211" s="33" t="s">
        <v>604</v>
      </c>
      <c r="R211" s="145">
        <f>IFERROR(INDEX(Tableau2[[ID BC UNIQUE]:[MONTANT HT VALIDE]],MATCH(Tableau6[[#This Row],[N° BC]],Tableau2[ID BC UNIQUE],0),6),0)</f>
        <v>6490000</v>
      </c>
      <c r="S211" s="147">
        <f>IFERROR(INDEX(Tableau2[[DATE]:[DELAIS DE PAIEMENT FACTURES EN JOUR]],MATCH(Tableau6[[#This Row],[N° BC]],Tableau2[ID BC UNIQUE],0),5),0)</f>
        <v>30</v>
      </c>
      <c r="T211" s="143">
        <f>IF(ISBLANK(Tableau6[[#This Row],[DATE DE DEPOT]]),"",Tableau6[[#This Row],[DATE DE DEPOT]]+Tableau6[[#This Row],[DELAI]])</f>
        <v>45896</v>
      </c>
      <c r="U211" s="147">
        <f ca="1">+IF(AND(W211=0,Tableau6[[#This Row],[DATE LIMITE]]&lt;TODAY()),TODAY()-Tableau6[[#This Row],[DATE LIMITE]],0)</f>
        <v>0</v>
      </c>
      <c r="V211"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11" s="144">
        <f>SUMIF(Tableau3[FACTURE],Tableau6[[#This Row],[NUM DE FACTURE]],Tableau3[MONTANT TTC])</f>
        <v>7658200</v>
      </c>
      <c r="X211" s="143"/>
      <c r="Y211" s="154">
        <f>+Tableau6[[#This Row],[NET A PAYER]]-Tableau6[[#This Row],[MONTANT PAYE]]</f>
        <v>0</v>
      </c>
      <c r="Z211" s="141"/>
    </row>
    <row r="212" spans="1:26" x14ac:dyDescent="0.2">
      <c r="A212" t="s">
        <v>100</v>
      </c>
      <c r="B212" s="142">
        <v>45867</v>
      </c>
      <c r="C212" s="143">
        <v>45869</v>
      </c>
      <c r="D212" s="351">
        <v>61</v>
      </c>
      <c r="E212" s="6" t="s">
        <v>138</v>
      </c>
      <c r="F212" t="s">
        <v>111</v>
      </c>
      <c r="G212" s="6" t="s">
        <v>189</v>
      </c>
      <c r="H212" t="s">
        <v>305</v>
      </c>
      <c r="I212" s="191"/>
      <c r="J212" s="245">
        <v>2880000</v>
      </c>
      <c r="K212" s="191">
        <f>+Tableau6[[#This Row],[MONTANT HT BIEN]]+Tableau6[[#This Row],[MONTANT HT SERVICE]]</f>
        <v>2880000</v>
      </c>
      <c r="L212" s="153">
        <v>0</v>
      </c>
      <c r="M212" s="152">
        <f>+IFERROR(IF(Tableau6[[#This Row],[CODE TVA]]="TVAF",Tableau6[[#This Row],[MONTANT HT]]*0.18,0),0)</f>
        <v>0</v>
      </c>
      <c r="N212" s="152">
        <f>Tableau6[[#This Row],[MONTANT HT]]+Tableau6[[#This Row],[TVA]]-Tableau6[[#This Row],[ACOMPTE SUR HT]]</f>
        <v>2880000</v>
      </c>
      <c r="O212" s="152"/>
      <c r="P212" s="152">
        <f>+ROUND(Tableau6[[#This Row],[MONTANT TTC]]-Tableau6[[#This Row],[ACOMPTE SUR TTC]],0)</f>
        <v>2880000</v>
      </c>
      <c r="Q212" s="33" t="s">
        <v>608</v>
      </c>
      <c r="R212" s="145">
        <f>IFERROR(INDEX(Tableau2[[ID BC UNIQUE]:[MONTANT HT VALIDE]],MATCH(Tableau6[[#This Row],[N° BC]],Tableau2[ID BC UNIQUE],0),6),0)</f>
        <v>2880000</v>
      </c>
      <c r="S212" s="147">
        <f>IFERROR(INDEX(Tableau2[[DATE]:[DELAIS DE PAIEMENT FACTURES EN JOUR]],MATCH(Tableau6[[#This Row],[N° BC]],Tableau2[ID BC UNIQUE],0),5),0)</f>
        <v>30</v>
      </c>
      <c r="T212" s="143">
        <f>IF(ISBLANK(Tableau6[[#This Row],[DATE DE DEPOT]]),"",Tableau6[[#This Row],[DATE DE DEPOT]]+Tableau6[[#This Row],[DELAI]])</f>
        <v>45899</v>
      </c>
      <c r="U212" s="147">
        <f ca="1">+IF(AND(W212=0,Tableau6[[#This Row],[DATE LIMITE]]&lt;TODAY()),TODAY()-Tableau6[[#This Row],[DATE LIMITE]],0)</f>
        <v>0</v>
      </c>
      <c r="V212"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12" s="144">
        <f>SUMIF(Tableau3[FACTURE],Tableau6[[#This Row],[NUM DE FACTURE]],Tableau3[MONTANT TTC])</f>
        <v>2880000</v>
      </c>
      <c r="X212" s="143"/>
      <c r="Y212" s="154">
        <f>+Tableau6[[#This Row],[NET A PAYER]]-Tableau6[[#This Row],[MONTANT PAYE]]</f>
        <v>0</v>
      </c>
      <c r="Z212" s="141"/>
    </row>
    <row r="213" spans="1:26" x14ac:dyDescent="0.2">
      <c r="A213" t="s">
        <v>100</v>
      </c>
      <c r="B213" s="142">
        <v>45867</v>
      </c>
      <c r="C213" s="132">
        <v>45869</v>
      </c>
      <c r="D213" s="351">
        <v>63</v>
      </c>
      <c r="E213" s="6" t="s">
        <v>138</v>
      </c>
      <c r="F213" s="130" t="s">
        <v>111</v>
      </c>
      <c r="G213" s="6" t="s">
        <v>189</v>
      </c>
      <c r="H213" t="s">
        <v>305</v>
      </c>
      <c r="I213" s="187"/>
      <c r="J213" s="241">
        <v>2880000</v>
      </c>
      <c r="K213" s="191">
        <f>+Tableau6[[#This Row],[MONTANT HT BIEN]]+Tableau6[[#This Row],[MONTANT HT SERVICE]]</f>
        <v>2880000</v>
      </c>
      <c r="L213" s="153">
        <v>0</v>
      </c>
      <c r="M213" s="172">
        <f>+IFERROR(IF(Tableau6[[#This Row],[CODE TVA]]="TVAF",Tableau6[[#This Row],[MONTANT HT]]*0.18,0),0)</f>
        <v>0</v>
      </c>
      <c r="N213" s="172">
        <f>Tableau6[[#This Row],[MONTANT HT]]+Tableau6[[#This Row],[TVA]]-Tableau6[[#This Row],[ACOMPTE SUR HT]]</f>
        <v>2880000</v>
      </c>
      <c r="O213" s="172"/>
      <c r="P213" s="172">
        <f>+ROUND(Tableau6[[#This Row],[MONTANT TTC]]-Tableau6[[#This Row],[ACOMPTE SUR TTC]],0)</f>
        <v>2880000</v>
      </c>
      <c r="Q213" s="33" t="s">
        <v>609</v>
      </c>
      <c r="R213" s="134">
        <f>IFERROR(INDEX(Tableau2[[ID BC UNIQUE]:[MONTANT HT VALIDE]],MATCH(Tableau6[[#This Row],[N° BC]],Tableau2[ID BC UNIQUE],0),6),0)</f>
        <v>2880000</v>
      </c>
      <c r="S213" s="135">
        <f>IFERROR(INDEX(Tableau2[[DATE]:[DELAIS DE PAIEMENT FACTURES EN JOUR]],MATCH(Tableau6[[#This Row],[N° BC]],Tableau2[ID BC UNIQUE],0),5),0)</f>
        <v>30</v>
      </c>
      <c r="T213" s="132">
        <f>IF(ISBLANK(Tableau6[[#This Row],[DATE DE DEPOT]]),"",Tableau6[[#This Row],[DATE DE DEPOT]]+Tableau6[[#This Row],[DELAI]])</f>
        <v>45899</v>
      </c>
      <c r="U213" s="135">
        <f ca="1">+IF(AND(W213=0,Tableau6[[#This Row],[DATE LIMITE]]&lt;TODAY()),TODAY()-Tableau6[[#This Row],[DATE LIMITE]],0)</f>
        <v>0</v>
      </c>
      <c r="V213" s="136"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13" s="133">
        <f>SUMIF(Tableau3[FACTURE],Tableau6[[#This Row],[NUM DE FACTURE]],Tableau3[MONTANT TTC])</f>
        <v>2880000</v>
      </c>
      <c r="X213" s="132"/>
      <c r="Y213" s="164">
        <f>+Tableau6[[#This Row],[NET A PAYER]]-Tableau6[[#This Row],[MONTANT PAYE]]</f>
        <v>0</v>
      </c>
      <c r="Z213" s="130"/>
    </row>
    <row r="214" spans="1:26" x14ac:dyDescent="0.2">
      <c r="A214" t="s">
        <v>100</v>
      </c>
      <c r="B214" s="142">
        <v>45867</v>
      </c>
      <c r="C214" s="143">
        <v>45869</v>
      </c>
      <c r="D214" s="351">
        <v>64</v>
      </c>
      <c r="E214" s="6" t="s">
        <v>138</v>
      </c>
      <c r="F214" s="141" t="s">
        <v>111</v>
      </c>
      <c r="G214" s="6" t="s">
        <v>189</v>
      </c>
      <c r="H214" t="s">
        <v>305</v>
      </c>
      <c r="I214" s="191"/>
      <c r="J214" s="245">
        <v>1440000</v>
      </c>
      <c r="K214" s="191">
        <f>+Tableau6[[#This Row],[MONTANT HT BIEN]]+Tableau6[[#This Row],[MONTANT HT SERVICE]]</f>
        <v>1440000</v>
      </c>
      <c r="L214" s="153">
        <v>0</v>
      </c>
      <c r="M214" s="152">
        <f>+IFERROR(IF(Tableau6[[#This Row],[CODE TVA]]="TVAF",Tableau6[[#This Row],[MONTANT HT]]*0.18,0),0)</f>
        <v>0</v>
      </c>
      <c r="N214" s="152">
        <f>Tableau6[[#This Row],[MONTANT HT]]+Tableau6[[#This Row],[TVA]]-Tableau6[[#This Row],[ACOMPTE SUR HT]]</f>
        <v>1440000</v>
      </c>
      <c r="O214" s="152"/>
      <c r="P214" s="152">
        <f>+ROUND(Tableau6[[#This Row],[MONTANT TTC]]-Tableau6[[#This Row],[ACOMPTE SUR TTC]],0)</f>
        <v>1440000</v>
      </c>
      <c r="Q214" s="33" t="s">
        <v>610</v>
      </c>
      <c r="R214" s="145">
        <f>IFERROR(INDEX(Tableau2[[ID BC UNIQUE]:[MONTANT HT VALIDE]],MATCH(Tableau6[[#This Row],[N° BC]],Tableau2[ID BC UNIQUE],0),6),0)</f>
        <v>1440000</v>
      </c>
      <c r="S214" s="147">
        <f>IFERROR(INDEX(Tableau2[[DATE]:[DELAIS DE PAIEMENT FACTURES EN JOUR]],MATCH(Tableau6[[#This Row],[N° BC]],Tableau2[ID BC UNIQUE],0),5),0)</f>
        <v>30</v>
      </c>
      <c r="T214" s="143">
        <f>IF(ISBLANK(Tableau6[[#This Row],[DATE DE DEPOT]]),"",Tableau6[[#This Row],[DATE DE DEPOT]]+Tableau6[[#This Row],[DELAI]])</f>
        <v>45899</v>
      </c>
      <c r="U214" s="147">
        <f ca="1">+IF(AND(W214=0,Tableau6[[#This Row],[DATE LIMITE]]&lt;TODAY()),TODAY()-Tableau6[[#This Row],[DATE LIMITE]],0)</f>
        <v>0</v>
      </c>
      <c r="V214"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14" s="144">
        <f>SUMIF(Tableau3[FACTURE],Tableau6[[#This Row],[NUM DE FACTURE]],Tableau3[MONTANT TTC])</f>
        <v>1440000</v>
      </c>
      <c r="X214" s="143"/>
      <c r="Y214" s="154">
        <f>+Tableau6[[#This Row],[NET A PAYER]]-Tableau6[[#This Row],[MONTANT PAYE]]</f>
        <v>0</v>
      </c>
      <c r="Z214" s="141"/>
    </row>
    <row r="215" spans="1:26" x14ac:dyDescent="0.2">
      <c r="A215" t="s">
        <v>100</v>
      </c>
      <c r="B215" s="142">
        <v>45867</v>
      </c>
      <c r="C215" s="143">
        <v>45869</v>
      </c>
      <c r="D215" s="351">
        <v>65</v>
      </c>
      <c r="E215" s="6" t="s">
        <v>138</v>
      </c>
      <c r="F215" t="s">
        <v>111</v>
      </c>
      <c r="G215" s="6" t="s">
        <v>189</v>
      </c>
      <c r="H215" t="s">
        <v>305</v>
      </c>
      <c r="I215" s="191"/>
      <c r="J215" s="245">
        <v>1440000</v>
      </c>
      <c r="K215" s="191">
        <f>+Tableau6[[#This Row],[MONTANT HT BIEN]]+Tableau6[[#This Row],[MONTANT HT SERVICE]]</f>
        <v>1440000</v>
      </c>
      <c r="L215" s="153">
        <v>0</v>
      </c>
      <c r="M215" s="152">
        <f>+IFERROR(IF(Tableau6[[#This Row],[CODE TVA]]="TVAF",Tableau6[[#This Row],[MONTANT HT]]*0.18,0),0)</f>
        <v>0</v>
      </c>
      <c r="N215" s="152">
        <f>Tableau6[[#This Row],[MONTANT HT]]+Tableau6[[#This Row],[TVA]]-Tableau6[[#This Row],[ACOMPTE SUR HT]]</f>
        <v>1440000</v>
      </c>
      <c r="O215" s="152"/>
      <c r="P215" s="152">
        <f>+ROUND(Tableau6[[#This Row],[MONTANT TTC]]-Tableau6[[#This Row],[ACOMPTE SUR TTC]],0)</f>
        <v>1440000</v>
      </c>
      <c r="Q215" s="33" t="s">
        <v>611</v>
      </c>
      <c r="R215" s="145">
        <f>IFERROR(INDEX(Tableau2[[ID BC UNIQUE]:[MONTANT HT VALIDE]],MATCH(Tableau6[[#This Row],[N° BC]],Tableau2[ID BC UNIQUE],0),6),0)</f>
        <v>1440000</v>
      </c>
      <c r="S215" s="147">
        <f>IFERROR(INDEX(Tableau2[[DATE]:[DELAIS DE PAIEMENT FACTURES EN JOUR]],MATCH(Tableau6[[#This Row],[N° BC]],Tableau2[ID BC UNIQUE],0),5),0)</f>
        <v>30</v>
      </c>
      <c r="T215" s="143">
        <f>IF(ISBLANK(Tableau6[[#This Row],[DATE DE DEPOT]]),"",Tableau6[[#This Row],[DATE DE DEPOT]]+Tableau6[[#This Row],[DELAI]])</f>
        <v>45899</v>
      </c>
      <c r="U215" s="147">
        <f ca="1">+IF(AND(W215=0,Tableau6[[#This Row],[DATE LIMITE]]&lt;TODAY()),TODAY()-Tableau6[[#This Row],[DATE LIMITE]],0)</f>
        <v>0</v>
      </c>
      <c r="V215"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15" s="144">
        <f>SUMIF(Tableau3[FACTURE],Tableau6[[#This Row],[NUM DE FACTURE]],Tableau3[MONTANT TTC])</f>
        <v>1440000</v>
      </c>
      <c r="X215" s="143"/>
      <c r="Y215" s="154">
        <f>+Tableau6[[#This Row],[NET A PAYER]]-Tableau6[[#This Row],[MONTANT PAYE]]</f>
        <v>0</v>
      </c>
      <c r="Z215" s="141"/>
    </row>
    <row r="216" spans="1:26" x14ac:dyDescent="0.2">
      <c r="A216" t="s">
        <v>100</v>
      </c>
      <c r="B216" s="142">
        <v>45867</v>
      </c>
      <c r="C216" s="143">
        <v>45869</v>
      </c>
      <c r="D216" s="351">
        <v>66</v>
      </c>
      <c r="E216" s="6" t="s">
        <v>138</v>
      </c>
      <c r="F216" t="s">
        <v>111</v>
      </c>
      <c r="G216" s="6" t="s">
        <v>189</v>
      </c>
      <c r="H216" t="s">
        <v>305</v>
      </c>
      <c r="I216" s="191"/>
      <c r="J216" s="245">
        <v>2880000</v>
      </c>
      <c r="K216" s="191">
        <f>+Tableau6[[#This Row],[MONTANT HT BIEN]]+Tableau6[[#This Row],[MONTANT HT SERVICE]]</f>
        <v>2880000</v>
      </c>
      <c r="L216" s="153">
        <v>0</v>
      </c>
      <c r="M216" s="152">
        <f>+IFERROR(IF(Tableau6[[#This Row],[CODE TVA]]="TVAF",Tableau6[[#This Row],[MONTANT HT]]*0.18,0),0)</f>
        <v>0</v>
      </c>
      <c r="N216" s="152">
        <f>Tableau6[[#This Row],[MONTANT HT]]+Tableau6[[#This Row],[TVA]]-Tableau6[[#This Row],[ACOMPTE SUR HT]]</f>
        <v>2880000</v>
      </c>
      <c r="O216" s="152"/>
      <c r="P216" s="152">
        <f>+ROUND(Tableau6[[#This Row],[MONTANT TTC]]-Tableau6[[#This Row],[ACOMPTE SUR TTC]],0)</f>
        <v>2880000</v>
      </c>
      <c r="Q216" s="33" t="s">
        <v>612</v>
      </c>
      <c r="R216" s="145">
        <f>IFERROR(INDEX(Tableau2[[ID BC UNIQUE]:[MONTANT HT VALIDE]],MATCH(Tableau6[[#This Row],[N° BC]],Tableau2[ID BC UNIQUE],0),6),0)</f>
        <v>2880000</v>
      </c>
      <c r="S216" s="147">
        <f>IFERROR(INDEX(Tableau2[[DATE]:[DELAIS DE PAIEMENT FACTURES EN JOUR]],MATCH(Tableau6[[#This Row],[N° BC]],Tableau2[ID BC UNIQUE],0),5),0)</f>
        <v>30</v>
      </c>
      <c r="T216" s="143">
        <f>IF(ISBLANK(Tableau6[[#This Row],[DATE DE DEPOT]]),"",Tableau6[[#This Row],[DATE DE DEPOT]]+Tableau6[[#This Row],[DELAI]])</f>
        <v>45899</v>
      </c>
      <c r="U216" s="147">
        <f ca="1">+IF(AND(W216=0,Tableau6[[#This Row],[DATE LIMITE]]&lt;TODAY()),TODAY()-Tableau6[[#This Row],[DATE LIMITE]],0)</f>
        <v>0</v>
      </c>
      <c r="V216"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16" s="144">
        <f>SUMIF(Tableau3[FACTURE],Tableau6[[#This Row],[NUM DE FACTURE]],Tableau3[MONTANT TTC])</f>
        <v>2880000</v>
      </c>
      <c r="X216" s="143"/>
      <c r="Y216" s="154">
        <f>+Tableau6[[#This Row],[NET A PAYER]]-Tableau6[[#This Row],[MONTANT PAYE]]</f>
        <v>0</v>
      </c>
      <c r="Z216" s="141"/>
    </row>
    <row r="217" spans="1:26" x14ac:dyDescent="0.2">
      <c r="A217" t="s">
        <v>100</v>
      </c>
      <c r="B217" s="142">
        <v>45867</v>
      </c>
      <c r="C217" s="143">
        <v>45869</v>
      </c>
      <c r="D217" s="351">
        <v>67</v>
      </c>
      <c r="E217" s="6" t="s">
        <v>138</v>
      </c>
      <c r="F217" t="s">
        <v>111</v>
      </c>
      <c r="G217" s="6" t="s">
        <v>189</v>
      </c>
      <c r="H217" t="s">
        <v>305</v>
      </c>
      <c r="I217" s="191"/>
      <c r="J217" s="245">
        <v>1440000</v>
      </c>
      <c r="K217" s="191">
        <f>+Tableau6[[#This Row],[MONTANT HT BIEN]]+Tableau6[[#This Row],[MONTANT HT SERVICE]]</f>
        <v>1440000</v>
      </c>
      <c r="L217" s="153">
        <v>0</v>
      </c>
      <c r="M217" s="152">
        <f>+IFERROR(IF(Tableau6[[#This Row],[CODE TVA]]="TVAF",Tableau6[[#This Row],[MONTANT HT]]*0.18,0),0)</f>
        <v>0</v>
      </c>
      <c r="N217" s="152">
        <f>Tableau6[[#This Row],[MONTANT HT]]+Tableau6[[#This Row],[TVA]]-Tableau6[[#This Row],[ACOMPTE SUR HT]]</f>
        <v>1440000</v>
      </c>
      <c r="O217" s="153"/>
      <c r="P217" s="152">
        <f>+ROUND(Tableau6[[#This Row],[MONTANT TTC]]-Tableau6[[#This Row],[ACOMPTE SUR TTC]],0)</f>
        <v>1440000</v>
      </c>
      <c r="Q217" s="33" t="s">
        <v>613</v>
      </c>
      <c r="R217" s="145">
        <f>IFERROR(INDEX(Tableau2[[ID BC UNIQUE]:[MONTANT HT VALIDE]],MATCH(Tableau6[[#This Row],[N° BC]],Tableau2[ID BC UNIQUE],0),6),0)</f>
        <v>1440000</v>
      </c>
      <c r="S217" s="147">
        <f>IFERROR(INDEX(Tableau2[[DATE]:[DELAIS DE PAIEMENT FACTURES EN JOUR]],MATCH(Tableau6[[#This Row],[N° BC]],Tableau2[ID BC UNIQUE],0),5),0)</f>
        <v>30</v>
      </c>
      <c r="T217" s="143">
        <f>IF(ISBLANK(Tableau6[[#This Row],[DATE DE DEPOT]]),"",Tableau6[[#This Row],[DATE DE DEPOT]]+Tableau6[[#This Row],[DELAI]])</f>
        <v>45899</v>
      </c>
      <c r="U217" s="147">
        <f ca="1">+IF(AND(W217=0,Tableau6[[#This Row],[DATE LIMITE]]&lt;TODAY()),TODAY()-Tableau6[[#This Row],[DATE LIMITE]],0)</f>
        <v>0</v>
      </c>
      <c r="V217"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17" s="144">
        <f>SUMIF(Tableau3[FACTURE],Tableau6[[#This Row],[NUM DE FACTURE]],Tableau3[MONTANT TTC])</f>
        <v>1440000</v>
      </c>
      <c r="X217" s="143"/>
      <c r="Y217" s="154">
        <f>+Tableau6[[#This Row],[NET A PAYER]]-Tableau6[[#This Row],[MONTANT PAYE]]</f>
        <v>0</v>
      </c>
      <c r="Z217" s="141"/>
    </row>
    <row r="218" spans="1:26" x14ac:dyDescent="0.2">
      <c r="A218" t="s">
        <v>100</v>
      </c>
      <c r="B218" s="194">
        <v>45867</v>
      </c>
      <c r="C218" s="195">
        <v>45908</v>
      </c>
      <c r="D218" s="351">
        <v>74</v>
      </c>
      <c r="E218" s="6" t="s">
        <v>102</v>
      </c>
      <c r="F218" s="193" t="s">
        <v>111</v>
      </c>
      <c r="G218" s="6" t="s">
        <v>426</v>
      </c>
      <c r="H218" t="s">
        <v>116</v>
      </c>
      <c r="I218" s="196"/>
      <c r="J218" s="246">
        <v>2715000</v>
      </c>
      <c r="K218" s="196">
        <f>+Tableau6[[#This Row],[MONTANT HT BIEN]]+Tableau6[[#This Row],[MONTANT HT SERVICE]]</f>
        <v>2715000</v>
      </c>
      <c r="L218" s="153">
        <v>0</v>
      </c>
      <c r="M218" s="197">
        <f>+IFERROR(IF(Tableau6[[#This Row],[CODE TVA]]="TVAF",Tableau6[[#This Row],[MONTANT HT]]*0.18,0),0)</f>
        <v>488700</v>
      </c>
      <c r="N218" s="197">
        <f>Tableau6[[#This Row],[MONTANT HT]]+Tableau6[[#This Row],[TVA]]-Tableau6[[#This Row],[ACOMPTE SUR HT]]</f>
        <v>3203700</v>
      </c>
      <c r="O218" s="197"/>
      <c r="P218" s="197">
        <f>+ROUND(Tableau6[[#This Row],[MONTANT TTC]]-Tableau6[[#This Row],[ACOMPTE SUR TTC]],0)</f>
        <v>3203700</v>
      </c>
      <c r="Q218" s="33" t="s">
        <v>614</v>
      </c>
      <c r="R218" s="199">
        <f>IFERROR(INDEX(Tableau2[[ID BC UNIQUE]:[MONTANT HT VALIDE]],MATCH(Tableau6[[#This Row],[N° BC]],Tableau2[ID BC UNIQUE],0),6),0)</f>
        <v>2715000</v>
      </c>
      <c r="S218" s="200">
        <f>IFERROR(INDEX(Tableau2[[DATE]:[DELAIS DE PAIEMENT FACTURES EN JOUR]],MATCH(Tableau6[[#This Row],[N° BC]],Tableau2[ID BC UNIQUE],0),5),0)</f>
        <v>30</v>
      </c>
      <c r="T218" s="195">
        <f>IF(ISBLANK(Tableau6[[#This Row],[DATE DE DEPOT]]),"",Tableau6[[#This Row],[DATE DE DEPOT]]+Tableau6[[#This Row],[DELAI]])</f>
        <v>45938</v>
      </c>
      <c r="U218" s="200">
        <f ca="1">+IF(AND(W218=0,Tableau6[[#This Row],[DATE LIMITE]]&lt;TODAY()),TODAY()-Tableau6[[#This Row],[DATE LIMITE]],0)</f>
        <v>0</v>
      </c>
      <c r="V218" s="20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18" s="202">
        <f>SUMIF(Tableau3[FACTURE],Tableau6[[#This Row],[NUM DE FACTURE]],Tableau3[MONTANT TTC])</f>
        <v>3203700</v>
      </c>
      <c r="X218" s="195"/>
      <c r="Y218" s="203">
        <f>+Tableau6[[#This Row],[NET A PAYER]]-Tableau6[[#This Row],[MONTANT PAYE]]</f>
        <v>0</v>
      </c>
      <c r="Z218" s="193"/>
    </row>
    <row r="219" spans="1:26" x14ac:dyDescent="0.2">
      <c r="A219" t="s">
        <v>100</v>
      </c>
      <c r="B219" s="142">
        <v>45882</v>
      </c>
      <c r="C219" s="143">
        <v>45882</v>
      </c>
      <c r="D219" s="351">
        <v>68</v>
      </c>
      <c r="E219" s="6" t="s">
        <v>138</v>
      </c>
      <c r="F219" t="s">
        <v>111</v>
      </c>
      <c r="G219" s="6" t="s">
        <v>190</v>
      </c>
      <c r="H219" t="s">
        <v>116</v>
      </c>
      <c r="I219" s="191"/>
      <c r="J219" s="245">
        <v>7714998.3050847463</v>
      </c>
      <c r="K219" s="191">
        <f>+Tableau6[[#This Row],[MONTANT HT BIEN]]+Tableau6[[#This Row],[MONTANT HT SERVICE]]</f>
        <v>7714998.3050847463</v>
      </c>
      <c r="L219" s="153">
        <v>0</v>
      </c>
      <c r="M219" s="152">
        <f>+IFERROR(IF(Tableau6[[#This Row],[CODE TVA]]="TVAF",Tableau6[[#This Row],[MONTANT HT]]*0.18,0),0)</f>
        <v>1388699.6949152544</v>
      </c>
      <c r="N219" s="152">
        <f>Tableau6[[#This Row],[MONTANT HT]]+Tableau6[[#This Row],[TVA]]-Tableau6[[#This Row],[ACOMPTE SUR HT]]</f>
        <v>9103698</v>
      </c>
      <c r="O219" s="152"/>
      <c r="P219" s="152">
        <f>+ROUND(Tableau6[[#This Row],[MONTANT TTC]]-Tableau6[[#This Row],[ACOMPTE SUR TTC]],0)</f>
        <v>9103698</v>
      </c>
      <c r="Q219" s="33" t="s">
        <v>615</v>
      </c>
      <c r="R219" s="145">
        <f>IFERROR(INDEX(Tableau2[[ID BC UNIQUE]:[MONTANT HT VALIDE]],MATCH(Tableau6[[#This Row],[N° BC]],Tableau2[ID BC UNIQUE],0),6),0)</f>
        <v>7714998.3050847463</v>
      </c>
      <c r="S219" s="147">
        <f>IFERROR(INDEX(Tableau2[[DATE]:[DELAIS DE PAIEMENT FACTURES EN JOUR]],MATCH(Tableau6[[#This Row],[N° BC]],Tableau2[ID BC UNIQUE],0),5),0)</f>
        <v>30</v>
      </c>
      <c r="T219" s="143">
        <f>IF(ISBLANK(Tableau6[[#This Row],[DATE DE DEPOT]]),"",Tableau6[[#This Row],[DATE DE DEPOT]]+Tableau6[[#This Row],[DELAI]])</f>
        <v>45912</v>
      </c>
      <c r="U219" s="147">
        <f ca="1">+IF(AND(W219=0,Tableau6[[#This Row],[DATE LIMITE]]&lt;TODAY()),TODAY()-Tableau6[[#This Row],[DATE LIMITE]],0)</f>
        <v>0</v>
      </c>
      <c r="V219"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TROP PAYE</v>
      </c>
      <c r="W219" s="144">
        <f>SUMIF(Tableau3[FACTURE],Tableau6[[#This Row],[NUM DE FACTURE]],Tableau3[MONTANT TTC])</f>
        <v>9103699</v>
      </c>
      <c r="X219" s="143"/>
      <c r="Y219" s="154">
        <f>+Tableau6[[#This Row],[NET A PAYER]]-Tableau6[[#This Row],[MONTANT PAYE]]</f>
        <v>-1</v>
      </c>
      <c r="Z219" s="141"/>
    </row>
    <row r="220" spans="1:26" x14ac:dyDescent="0.2">
      <c r="A220" t="s">
        <v>100</v>
      </c>
      <c r="B220" s="291">
        <v>45882</v>
      </c>
      <c r="C220" s="292">
        <v>45887</v>
      </c>
      <c r="D220" s="353">
        <v>69</v>
      </c>
      <c r="E220" s="254" t="s">
        <v>138</v>
      </c>
      <c r="F220" s="254" t="s">
        <v>338</v>
      </c>
      <c r="G220" s="254" t="s">
        <v>161</v>
      </c>
      <c r="H220" s="254" t="s">
        <v>116</v>
      </c>
      <c r="I220" s="293"/>
      <c r="J220" s="294">
        <v>990000</v>
      </c>
      <c r="K220" s="295">
        <f>+Tableau6[[#This Row],[MONTANT HT BIEN]]+Tableau6[[#This Row],[MONTANT HT SERVICE]]</f>
        <v>990000</v>
      </c>
      <c r="L220" s="153"/>
      <c r="M220" s="296">
        <f>+IFERROR(IF(Tableau6[[#This Row],[CODE TVA]]="TVAF",Tableau6[[#This Row],[MONTANT HT]]*0.18,0),0)</f>
        <v>178200</v>
      </c>
      <c r="N220" s="296">
        <f>Tableau6[[#This Row],[MONTANT HT]]+Tableau6[[#This Row],[TVA]]-Tableau6[[#This Row],[ACOMPTE SUR HT]]</f>
        <v>1168200</v>
      </c>
      <c r="O220" s="296"/>
      <c r="P220" s="296">
        <f>+ROUND(Tableau6[[#This Row],[MONTANT TTC]]-Tableau6[[#This Row],[ACOMPTE SUR TTC]],0)</f>
        <v>1168200</v>
      </c>
      <c r="Q220" s="2" t="s">
        <v>339</v>
      </c>
      <c r="R220" s="298">
        <f>IFERROR(INDEX(Tableau2[[ID BC UNIQUE]:[MONTANT HT VALIDE]],MATCH(Tableau6[[#This Row],[N° BC]],Tableau2[ID BC UNIQUE],0),6),0)</f>
        <v>990000</v>
      </c>
      <c r="S220" s="299">
        <f>IFERROR(INDEX(Tableau2[[DATE]:[DELAIS DE PAIEMENT FACTURES EN JOUR]],MATCH(Tableau6[[#This Row],[N° BC]],Tableau2[ID BC UNIQUE],0),5),0)</f>
        <v>30</v>
      </c>
      <c r="T220" s="292">
        <f>IF(ISBLANK(Tableau6[[#This Row],[DATE DE DEPOT]]),"",Tableau6[[#This Row],[DATE DE DEPOT]]+Tableau6[[#This Row],[DELAI]])</f>
        <v>45917</v>
      </c>
      <c r="U220" s="299">
        <f ca="1">+IF(AND(W220=0,Tableau6[[#This Row],[DATE LIMITE]]&lt;TODAY()),TODAY()-Tableau6[[#This Row],[DATE LIMITE]],0)</f>
        <v>0</v>
      </c>
      <c r="V220" s="297"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20" s="300">
        <f>SUMIF(Tableau3[FACTURE],Tableau6[[#This Row],[NUM DE FACTURE]],Tableau3[MONTANT TTC])</f>
        <v>1168200</v>
      </c>
      <c r="X220" s="292"/>
      <c r="Y220" s="301">
        <f>+Tableau6[[#This Row],[NET A PAYER]]-Tableau6[[#This Row],[MONTANT PAYE]]</f>
        <v>0</v>
      </c>
      <c r="Z220" s="290"/>
    </row>
    <row r="221" spans="1:26" x14ac:dyDescent="0.2">
      <c r="A221" t="s">
        <v>100</v>
      </c>
      <c r="B221" s="3">
        <v>45887</v>
      </c>
      <c r="C221" s="7">
        <v>45916</v>
      </c>
      <c r="D221" s="354">
        <v>86</v>
      </c>
      <c r="E221" s="254" t="s">
        <v>138</v>
      </c>
      <c r="F221" s="254" t="s">
        <v>111</v>
      </c>
      <c r="G221" s="254" t="s">
        <v>178</v>
      </c>
      <c r="H221" s="254" t="s">
        <v>116</v>
      </c>
      <c r="I221" s="260"/>
      <c r="J221" s="233">
        <v>705000</v>
      </c>
      <c r="K221" s="155">
        <f>+Tableau6[[#This Row],[MONTANT HT BIEN]]+Tableau6[[#This Row],[MONTANT HT SERVICE]]</f>
        <v>705000</v>
      </c>
      <c r="L221" s="153">
        <v>0</v>
      </c>
      <c r="M221" s="153">
        <f>+IFERROR(IF(Tableau6[[#This Row],[CODE TVA]]="TVAF",Tableau6[[#This Row],[MONTANT HT]]*0.18,0),0)</f>
        <v>126900</v>
      </c>
      <c r="N221" s="153">
        <f>Tableau6[[#This Row],[MONTANT HT]]+Tableau6[[#This Row],[TVA]]-Tableau6[[#This Row],[ACOMPTE SUR HT]]</f>
        <v>831900</v>
      </c>
      <c r="O221" s="153"/>
      <c r="P221" s="153">
        <f>+ROUND(Tableau6[[#This Row],[MONTANT TTC]]-Tableau6[[#This Row],[ACOMPTE SUR TTC]],0)</f>
        <v>831900</v>
      </c>
      <c r="Q221" s="2" t="s">
        <v>616</v>
      </c>
      <c r="R221" s="5">
        <f>IFERROR(INDEX(Tableau2[[ID BC UNIQUE]:[MONTANT HT VALIDE]],MATCH(Tableau6[[#This Row],[N° BC]],Tableau2[ID BC UNIQUE],0),6),0)</f>
        <v>705000</v>
      </c>
      <c r="S221" s="25">
        <f>IFERROR(INDEX(Tableau2[[DATE]:[DELAIS DE PAIEMENT FACTURES EN JOUR]],MATCH(Tableau6[[#This Row],[N° BC]],Tableau2[ID BC UNIQUE],0),5),0)</f>
        <v>30</v>
      </c>
      <c r="T221" s="7">
        <f>IF(ISBLANK(Tableau6[[#This Row],[DATE DE DEPOT]]),"",Tableau6[[#This Row],[DATE DE DEPOT]]+Tableau6[[#This Row],[DELAI]])</f>
        <v>45946</v>
      </c>
      <c r="U221" s="25">
        <f ca="1">+IF(AND(W221=0,Tableau6[[#This Row],[DATE LIMITE]]&lt;TODAY()),TODAY()-Tableau6[[#This Row],[DATE LIMITE]],0)</f>
        <v>0</v>
      </c>
      <c r="V221"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21" s="23">
        <f>SUMIF(Tableau3[FACTURE],Tableau6[[#This Row],[NUM DE FACTURE]],Tableau3[MONTANT TTC])</f>
        <v>831900</v>
      </c>
      <c r="X221" s="7"/>
      <c r="Y221" s="90">
        <f>+Tableau6[[#This Row],[NET A PAYER]]-Tableau6[[#This Row],[MONTANT PAYE]]</f>
        <v>0</v>
      </c>
      <c r="Z221"/>
    </row>
    <row r="222" spans="1:26" x14ac:dyDescent="0.2">
      <c r="A222" t="s">
        <v>100</v>
      </c>
      <c r="B222" s="142">
        <v>45896</v>
      </c>
      <c r="C222" s="143">
        <v>45896</v>
      </c>
      <c r="D222" s="351">
        <v>70</v>
      </c>
      <c r="E222" s="6" t="s">
        <v>138</v>
      </c>
      <c r="F222" t="s">
        <v>111</v>
      </c>
      <c r="G222" s="6" t="s">
        <v>186</v>
      </c>
      <c r="H222" t="s">
        <v>116</v>
      </c>
      <c r="I222" s="191"/>
      <c r="J222" s="245">
        <v>21260009</v>
      </c>
      <c r="K222" s="191">
        <f>+Tableau6[[#This Row],[MONTANT HT BIEN]]+Tableau6[[#This Row],[MONTANT HT SERVICE]]</f>
        <v>21260009</v>
      </c>
      <c r="L222" s="153">
        <v>0</v>
      </c>
      <c r="M222" s="152">
        <f>+IFERROR(IF(Tableau6[[#This Row],[CODE TVA]]="TVAF",Tableau6[[#This Row],[MONTANT HT]]*0.18,0),0)</f>
        <v>3826801.6199999996</v>
      </c>
      <c r="N222" s="152">
        <f>Tableau6[[#This Row],[MONTANT HT]]+Tableau6[[#This Row],[TVA]]-Tableau6[[#This Row],[ACOMPTE SUR HT]]</f>
        <v>25086810.620000001</v>
      </c>
      <c r="O222" s="152"/>
      <c r="P222" s="152">
        <f>+ROUND(Tableau6[[#This Row],[MONTANT TTC]]-Tableau6[[#This Row],[ACOMPTE SUR TTC]],0)</f>
        <v>25086811</v>
      </c>
      <c r="Q222" s="146" t="s">
        <v>227</v>
      </c>
      <c r="R222" s="145">
        <f>IFERROR(INDEX(Tableau2[[ID BC UNIQUE]:[MONTANT HT VALIDE]],MATCH(Tableau6[[#This Row],[N° BC]],Tableau2[ID BC UNIQUE],0),6),0)</f>
        <v>21260009</v>
      </c>
      <c r="S222" s="147">
        <f>IFERROR(INDEX(Tableau2[[DATE]:[DELAIS DE PAIEMENT FACTURES EN JOUR]],MATCH(Tableau6[[#This Row],[N° BC]],Tableau2[ID BC UNIQUE],0),5),0)</f>
        <v>30</v>
      </c>
      <c r="T222" s="143">
        <f>IF(ISBLANK(Tableau6[[#This Row],[DATE DE DEPOT]]),"",Tableau6[[#This Row],[DATE DE DEPOT]]+Tableau6[[#This Row],[DELAI]])</f>
        <v>45926</v>
      </c>
      <c r="U222" s="147">
        <f ca="1">+IF(AND(W222=0,Tableau6[[#This Row],[DATE LIMITE]]&lt;TODAY()),TODAY()-Tableau6[[#This Row],[DATE LIMITE]],0)</f>
        <v>0</v>
      </c>
      <c r="V222"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22" s="144">
        <f>SUMIF(Tableau3[FACTURE],Tableau6[[#This Row],[NUM DE FACTURE]],Tableau3[MONTANT TTC])</f>
        <v>25086811</v>
      </c>
      <c r="X222" s="143"/>
      <c r="Y222" s="154">
        <f>+Tableau6[[#This Row],[NET A PAYER]]-Tableau6[[#This Row],[MONTANT PAYE]]</f>
        <v>0</v>
      </c>
      <c r="Z222" s="141"/>
    </row>
    <row r="223" spans="1:26" x14ac:dyDescent="0.2">
      <c r="A223" t="s">
        <v>100</v>
      </c>
      <c r="B223" s="142">
        <v>45897</v>
      </c>
      <c r="C223" s="143">
        <v>45897</v>
      </c>
      <c r="D223" s="351">
        <v>72</v>
      </c>
      <c r="E223" s="6" t="s">
        <v>138</v>
      </c>
      <c r="F223" s="141" t="s">
        <v>111</v>
      </c>
      <c r="G223" s="6" t="s">
        <v>181</v>
      </c>
      <c r="H223" t="s">
        <v>116</v>
      </c>
      <c r="I223" s="191"/>
      <c r="J223" s="245">
        <v>43027500</v>
      </c>
      <c r="K223" s="191">
        <f>+Tableau6[[#This Row],[MONTANT HT BIEN]]+Tableau6[[#This Row],[MONTANT HT SERVICE]]</f>
        <v>43027500</v>
      </c>
      <c r="L223" s="153">
        <v>0</v>
      </c>
      <c r="M223" s="152">
        <f>+IFERROR(IF(Tableau6[[#This Row],[CODE TVA]]="TVAF",Tableau6[[#This Row],[MONTANT HT]]*0.18,0),0)</f>
        <v>7744950</v>
      </c>
      <c r="N223" s="152">
        <f>Tableau6[[#This Row],[MONTANT HT]]+Tableau6[[#This Row],[TVA]]-Tableau6[[#This Row],[ACOMPTE SUR HT]]</f>
        <v>50772450</v>
      </c>
      <c r="O223" s="152"/>
      <c r="P223" s="152">
        <f>+ROUND(Tableau6[[#This Row],[MONTANT TTC]]-Tableau6[[#This Row],[ACOMPTE SUR TTC]],0)</f>
        <v>50772450</v>
      </c>
      <c r="Q223" s="33" t="s">
        <v>228</v>
      </c>
      <c r="R223" s="145">
        <f>IFERROR(INDEX(Tableau2[[ID BC UNIQUE]:[MONTANT HT VALIDE]],MATCH(Tableau6[[#This Row],[N° BC]],Tableau2[ID BC UNIQUE],0),6),0)</f>
        <v>43027500</v>
      </c>
      <c r="S223" s="147">
        <f>IFERROR(INDEX(Tableau2[[DATE]:[DELAIS DE PAIEMENT FACTURES EN JOUR]],MATCH(Tableau6[[#This Row],[N° BC]],Tableau2[ID BC UNIQUE],0),5),0)</f>
        <v>30</v>
      </c>
      <c r="T223" s="143">
        <f>IF(ISBLANK(Tableau6[[#This Row],[DATE DE DEPOT]]),"",Tableau6[[#This Row],[DATE DE DEPOT]]+Tableau6[[#This Row],[DELAI]])</f>
        <v>45927</v>
      </c>
      <c r="U223" s="147">
        <f ca="1">+IF(AND(W223=0,Tableau6[[#This Row],[DATE LIMITE]]&lt;TODAY()),TODAY()-Tableau6[[#This Row],[DATE LIMITE]],0)</f>
        <v>0</v>
      </c>
      <c r="V223"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23" s="144">
        <f>SUMIF(Tableau3[FACTURE],Tableau6[[#This Row],[NUM DE FACTURE]],Tableau3[MONTANT TTC])</f>
        <v>50772450</v>
      </c>
      <c r="X223" s="143"/>
      <c r="Y223" s="154">
        <f>+Tableau6[[#This Row],[NET A PAYER]]-Tableau6[[#This Row],[MONTANT PAYE]]</f>
        <v>0</v>
      </c>
      <c r="Z223" s="141"/>
    </row>
    <row r="224" spans="1:26" x14ac:dyDescent="0.2">
      <c r="A224" t="s">
        <v>100</v>
      </c>
      <c r="B224" s="142">
        <v>45901</v>
      </c>
      <c r="C224" s="143">
        <v>45901</v>
      </c>
      <c r="D224" s="351">
        <v>75</v>
      </c>
      <c r="E224" s="6" t="s">
        <v>138</v>
      </c>
      <c r="F224" t="s">
        <v>111</v>
      </c>
      <c r="G224" s="6" t="s">
        <v>178</v>
      </c>
      <c r="H224" t="s">
        <v>116</v>
      </c>
      <c r="I224" s="191"/>
      <c r="J224" s="245">
        <v>10100015.254237289</v>
      </c>
      <c r="K224" s="191">
        <f>+Tableau6[[#This Row],[MONTANT HT BIEN]]+Tableau6[[#This Row],[MONTANT HT SERVICE]]</f>
        <v>10100015.254237289</v>
      </c>
      <c r="L224" s="153">
        <v>0</v>
      </c>
      <c r="M224" s="152">
        <f>+IFERROR(IF(Tableau6[[#This Row],[CODE TVA]]="TVAF",Tableau6[[#This Row],[MONTANT HT]]*0.18,0),0)</f>
        <v>1818002.7457627119</v>
      </c>
      <c r="N224" s="152">
        <f>Tableau6[[#This Row],[MONTANT HT]]+Tableau6[[#This Row],[TVA]]-Tableau6[[#This Row],[ACOMPTE SUR HT]]</f>
        <v>11918018</v>
      </c>
      <c r="O224" s="152"/>
      <c r="P224" s="152">
        <f>+ROUND(Tableau6[[#This Row],[MONTANT TTC]]-Tableau6[[#This Row],[ACOMPTE SUR TTC]],0)</f>
        <v>11918018</v>
      </c>
      <c r="Q224" s="33" t="s">
        <v>628</v>
      </c>
      <c r="R224" s="145">
        <f>IFERROR(INDEX(Tableau2[[ID BC UNIQUE]:[MONTANT HT VALIDE]],MATCH(Tableau6[[#This Row],[N° BC]],Tableau2[ID BC UNIQUE],0),6),0)</f>
        <v>10100015.254237289</v>
      </c>
      <c r="S224" s="147">
        <f>IFERROR(INDEX(Tableau2[[DATE]:[DELAIS DE PAIEMENT FACTURES EN JOUR]],MATCH(Tableau6[[#This Row],[N° BC]],Tableau2[ID BC UNIQUE],0),5),0)</f>
        <v>30</v>
      </c>
      <c r="T224" s="143">
        <f>IF(ISBLANK(Tableau6[[#This Row],[DATE DE DEPOT]]),"",Tableau6[[#This Row],[DATE DE DEPOT]]+Tableau6[[#This Row],[DELAI]])</f>
        <v>45931</v>
      </c>
      <c r="U224" s="147">
        <f ca="1">+IF(AND(W224=0,Tableau6[[#This Row],[DATE LIMITE]]&lt;TODAY()),TODAY()-Tableau6[[#This Row],[DATE LIMITE]],0)</f>
        <v>0</v>
      </c>
      <c r="V224"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TROP PAYE</v>
      </c>
      <c r="W224" s="144">
        <f>SUMIF(Tableau3[FACTURE],Tableau6[[#This Row],[NUM DE FACTURE]],Tableau3[MONTANT TTC])</f>
        <v>11918019</v>
      </c>
      <c r="X224" s="143"/>
      <c r="Y224" s="154">
        <f>+Tableau6[[#This Row],[NET A PAYER]]-Tableau6[[#This Row],[MONTANT PAYE]]</f>
        <v>-1</v>
      </c>
      <c r="Z224" s="141"/>
    </row>
    <row r="225" spans="1:26" x14ac:dyDescent="0.2">
      <c r="A225" t="s">
        <v>100</v>
      </c>
      <c r="B225" s="142">
        <v>45901</v>
      </c>
      <c r="C225" s="143">
        <v>45902</v>
      </c>
      <c r="D225" s="351">
        <v>76</v>
      </c>
      <c r="E225" s="6" t="s">
        <v>102</v>
      </c>
      <c r="F225" t="s">
        <v>111</v>
      </c>
      <c r="G225" s="6" t="s">
        <v>552</v>
      </c>
      <c r="H225" t="s">
        <v>116</v>
      </c>
      <c r="I225" s="191"/>
      <c r="J225" s="245">
        <v>20800000</v>
      </c>
      <c r="K225" s="191">
        <f>+Tableau6[[#This Row],[MONTANT HT BIEN]]+Tableau6[[#This Row],[MONTANT HT SERVICE]]</f>
        <v>20800000</v>
      </c>
      <c r="L225" s="153">
        <v>0</v>
      </c>
      <c r="M225" s="152">
        <f>+IFERROR(IF(Tableau6[[#This Row],[CODE TVA]]="TVAF",Tableau6[[#This Row],[MONTANT HT]]*0.18,0),0)</f>
        <v>3744000</v>
      </c>
      <c r="N225" s="152">
        <f>Tableau6[[#This Row],[MONTANT HT]]+Tableau6[[#This Row],[TVA]]-Tableau6[[#This Row],[ACOMPTE SUR HT]]</f>
        <v>24544000</v>
      </c>
      <c r="O225" s="152"/>
      <c r="P225" s="152">
        <f>+ROUND(Tableau6[[#This Row],[MONTANT TTC]]-Tableau6[[#This Row],[ACOMPTE SUR TTC]],0)</f>
        <v>24544000</v>
      </c>
      <c r="Q225" s="146" t="s">
        <v>224</v>
      </c>
      <c r="R225" s="145">
        <f>IFERROR(INDEX(Tableau2[[ID BC UNIQUE]:[MONTANT HT VALIDE]],MATCH(Tableau6[[#This Row],[N° BC]],Tableau2[ID BC UNIQUE],0),6),0)</f>
        <v>27820000</v>
      </c>
      <c r="S225" s="147">
        <f>IFERROR(INDEX(Tableau2[[DATE]:[DELAIS DE PAIEMENT FACTURES EN JOUR]],MATCH(Tableau6[[#This Row],[N° BC]],Tableau2[ID BC UNIQUE],0),5),0)</f>
        <v>30</v>
      </c>
      <c r="T225" s="143">
        <f>IF(ISBLANK(Tableau6[[#This Row],[DATE DE DEPOT]]),"",Tableau6[[#This Row],[DATE DE DEPOT]]+Tableau6[[#This Row],[DELAI]])</f>
        <v>45932</v>
      </c>
      <c r="U225" s="147">
        <f ca="1">+IF(AND(W225=0,Tableau6[[#This Row],[DATE LIMITE]]&lt;TODAY()),TODAY()-Tableau6[[#This Row],[DATE LIMITE]],0)</f>
        <v>0</v>
      </c>
      <c r="V225" s="1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25" s="144">
        <f>SUMIF(Tableau3[FACTURE],Tableau6[[#This Row],[NUM DE FACTURE]],Tableau3[MONTANT TTC])</f>
        <v>24544000</v>
      </c>
      <c r="X225" s="143"/>
      <c r="Y225" s="154">
        <f>+Tableau6[[#This Row],[NET A PAYER]]-Tableau6[[#This Row],[MONTANT PAYE]]</f>
        <v>0</v>
      </c>
      <c r="Z225" s="141"/>
    </row>
    <row r="226" spans="1:26" x14ac:dyDescent="0.2">
      <c r="A226" t="s">
        <v>100</v>
      </c>
      <c r="B226" s="194">
        <v>45902</v>
      </c>
      <c r="C226" s="143">
        <v>45902</v>
      </c>
      <c r="D226" s="351">
        <v>77</v>
      </c>
      <c r="E226" s="6" t="s">
        <v>138</v>
      </c>
      <c r="F226" s="193" t="s">
        <v>111</v>
      </c>
      <c r="G226" s="6" t="s">
        <v>617</v>
      </c>
      <c r="H226" t="s">
        <v>116</v>
      </c>
      <c r="I226" s="196"/>
      <c r="J226" s="246">
        <v>1500000</v>
      </c>
      <c r="K226" s="196">
        <f>+Tableau6[[#This Row],[MONTANT HT BIEN]]+Tableau6[[#This Row],[MONTANT HT SERVICE]]</f>
        <v>1500000</v>
      </c>
      <c r="L226" s="153">
        <v>0</v>
      </c>
      <c r="M226" s="197">
        <f>+IFERROR(IF(Tableau6[[#This Row],[CODE TVA]]="TVAF",Tableau6[[#This Row],[MONTANT HT]]*0.18,0),0)</f>
        <v>270000</v>
      </c>
      <c r="N226" s="197">
        <f>Tableau6[[#This Row],[MONTANT HT]]+Tableau6[[#This Row],[TVA]]-Tableau6[[#This Row],[ACOMPTE SUR HT]]</f>
        <v>1770000</v>
      </c>
      <c r="O226" s="197"/>
      <c r="P226" s="197">
        <f>+ROUND(Tableau6[[#This Row],[MONTANT TTC]]-Tableau6[[#This Row],[ACOMPTE SUR TTC]],0)</f>
        <v>1770000</v>
      </c>
      <c r="Q226" s="198" t="s">
        <v>214</v>
      </c>
      <c r="R226" s="199">
        <f>IFERROR(INDEX(Tableau2[[ID BC UNIQUE]:[MONTANT HT VALIDE]],MATCH(Tableau6[[#This Row],[N° BC]],Tableau2[ID BC UNIQUE],0),6),0)</f>
        <v>1500000</v>
      </c>
      <c r="S226" s="200">
        <f>IFERROR(INDEX(Tableau2[[DATE]:[DELAIS DE PAIEMENT FACTURES EN JOUR]],MATCH(Tableau6[[#This Row],[N° BC]],Tableau2[ID BC UNIQUE],0),5),0)</f>
        <v>30</v>
      </c>
      <c r="T226" s="195">
        <f>IF(ISBLANK(Tableau6[[#This Row],[DATE DE DEPOT]]),"",Tableau6[[#This Row],[DATE DE DEPOT]]+Tableau6[[#This Row],[DELAI]])</f>
        <v>45932</v>
      </c>
      <c r="U226" s="200">
        <f ca="1">+IF(AND(W226=0,Tableau6[[#This Row],[DATE LIMITE]]&lt;TODAY()),TODAY()-Tableau6[[#This Row],[DATE LIMITE]],0)</f>
        <v>0</v>
      </c>
      <c r="V226" s="20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26" s="202">
        <f>SUMIF(Tableau3[FACTURE],Tableau6[[#This Row],[NUM DE FACTURE]],Tableau3[MONTANT TTC])</f>
        <v>1770000</v>
      </c>
      <c r="X226" s="195"/>
      <c r="Y226" s="203">
        <f>+Tableau6[[#This Row],[NET A PAYER]]-Tableau6[[#This Row],[MONTANT PAYE]]</f>
        <v>0</v>
      </c>
      <c r="Z226" s="193"/>
    </row>
    <row r="227" spans="1:26" x14ac:dyDescent="0.2">
      <c r="A227" t="s">
        <v>100</v>
      </c>
      <c r="B227" s="194">
        <v>45902</v>
      </c>
      <c r="C227" s="195">
        <v>45902</v>
      </c>
      <c r="D227" s="351">
        <v>78</v>
      </c>
      <c r="E227" s="6" t="s">
        <v>138</v>
      </c>
      <c r="F227" s="193" t="s">
        <v>111</v>
      </c>
      <c r="G227" s="6" t="s">
        <v>186</v>
      </c>
      <c r="H227" t="s">
        <v>116</v>
      </c>
      <c r="I227" s="196"/>
      <c r="J227" s="246">
        <v>33930008.474576272</v>
      </c>
      <c r="K227" s="196">
        <f>+Tableau6[[#This Row],[MONTANT HT BIEN]]+Tableau6[[#This Row],[MONTANT HT SERVICE]]</f>
        <v>33930008.474576272</v>
      </c>
      <c r="L227" s="153">
        <v>0</v>
      </c>
      <c r="M227" s="197">
        <f>+IFERROR(IF(Tableau6[[#This Row],[CODE TVA]]="TVAF",Tableau6[[#This Row],[MONTANT HT]]*0.18,0),0)</f>
        <v>6107401.5254237289</v>
      </c>
      <c r="N227" s="197">
        <f>Tableau6[[#This Row],[MONTANT HT]]+Tableau6[[#This Row],[TVA]]-Tableau6[[#This Row],[ACOMPTE SUR HT]]</f>
        <v>40037410</v>
      </c>
      <c r="O227" s="197"/>
      <c r="P227" s="197">
        <f>+ROUND(Tableau6[[#This Row],[MONTANT TTC]]-Tableau6[[#This Row],[ACOMPTE SUR TTC]],0)</f>
        <v>40037410</v>
      </c>
      <c r="Q227" s="33" t="s">
        <v>618</v>
      </c>
      <c r="R227" s="199">
        <f>IFERROR(INDEX(Tableau2[[ID BC UNIQUE]:[MONTANT HT VALIDE]],MATCH(Tableau6[[#This Row],[N° BC]],Tableau2[ID BC UNIQUE],0),6),0)</f>
        <v>33930008.474576272</v>
      </c>
      <c r="S227" s="200">
        <f>IFERROR(INDEX(Tableau2[[DATE]:[DELAIS DE PAIEMENT FACTURES EN JOUR]],MATCH(Tableau6[[#This Row],[N° BC]],Tableau2[ID BC UNIQUE],0),5),0)</f>
        <v>30</v>
      </c>
      <c r="T227" s="195">
        <f>IF(ISBLANK(Tableau6[[#This Row],[DATE DE DEPOT]]),"",Tableau6[[#This Row],[DATE DE DEPOT]]+Tableau6[[#This Row],[DELAI]])</f>
        <v>45932</v>
      </c>
      <c r="U227" s="200">
        <f ca="1">+IF(AND(W227=0,Tableau6[[#This Row],[DATE LIMITE]]&lt;TODAY()),TODAY()-Tableau6[[#This Row],[DATE LIMITE]],0)</f>
        <v>0</v>
      </c>
      <c r="V227" s="20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TROP PAYE</v>
      </c>
      <c r="W227" s="202">
        <f>SUMIF(Tableau3[FACTURE],Tableau6[[#This Row],[NUM DE FACTURE]],Tableau3[MONTANT TTC])</f>
        <v>40037411</v>
      </c>
      <c r="X227" s="195"/>
      <c r="Y227" s="203">
        <f>+Tableau6[[#This Row],[NET A PAYER]]-Tableau6[[#This Row],[MONTANT PAYE]]</f>
        <v>-1</v>
      </c>
      <c r="Z227" s="193"/>
    </row>
    <row r="228" spans="1:26" x14ac:dyDescent="0.2">
      <c r="A228" t="s">
        <v>100</v>
      </c>
      <c r="B228" s="194">
        <v>45906</v>
      </c>
      <c r="C228" s="195">
        <v>45906</v>
      </c>
      <c r="D228" s="351">
        <v>79</v>
      </c>
      <c r="E228" s="6" t="s">
        <v>107</v>
      </c>
      <c r="F228" s="193" t="s">
        <v>110</v>
      </c>
      <c r="G228" s="6" t="s">
        <v>619</v>
      </c>
      <c r="H228" t="s">
        <v>116</v>
      </c>
      <c r="I228" s="246">
        <v>1096500</v>
      </c>
      <c r="J228" s="246"/>
      <c r="K228" s="196">
        <f>+Tableau6[[#This Row],[MONTANT HT BIEN]]+Tableau6[[#This Row],[MONTANT HT SERVICE]]</f>
        <v>1096500</v>
      </c>
      <c r="L228" s="153">
        <v>0</v>
      </c>
      <c r="M228" s="197">
        <f>+IFERROR(IF(Tableau6[[#This Row],[CODE TVA]]="TVAF",Tableau6[[#This Row],[MONTANT HT]]*0.18,0),0)</f>
        <v>197370</v>
      </c>
      <c r="N228" s="197">
        <f>Tableau6[[#This Row],[MONTANT HT]]+Tableau6[[#This Row],[TVA]]-Tableau6[[#This Row],[ACOMPTE SUR HT]]</f>
        <v>1293870</v>
      </c>
      <c r="O228" s="197"/>
      <c r="P228" s="197">
        <f>+ROUND(Tableau6[[#This Row],[MONTANT TTC]]-Tableau6[[#This Row],[ACOMPTE SUR TTC]],0)</f>
        <v>1293870</v>
      </c>
      <c r="Q228" s="198" t="s">
        <v>263</v>
      </c>
      <c r="R228" s="199">
        <f>IFERROR(INDEX(Tableau2[[ID BC UNIQUE]:[MONTANT HT VALIDE]],MATCH(Tableau6[[#This Row],[N° BC]],Tableau2[ID BC UNIQUE],0),6),0)</f>
        <v>1096500</v>
      </c>
      <c r="S228" s="200">
        <f>IFERROR(INDEX(Tableau2[[DATE]:[DELAIS DE PAIEMENT FACTURES EN JOUR]],MATCH(Tableau6[[#This Row],[N° BC]],Tableau2[ID BC UNIQUE],0),5),0)</f>
        <v>0</v>
      </c>
      <c r="T228" s="195">
        <f>IF(ISBLANK(Tableau6[[#This Row],[DATE DE DEPOT]]),"",Tableau6[[#This Row],[DATE DE DEPOT]]+Tableau6[[#This Row],[DELAI]])</f>
        <v>45906</v>
      </c>
      <c r="U228" s="200">
        <f ca="1">+IF(AND(W228=0,Tableau6[[#This Row],[DATE LIMITE]]&lt;TODAY()),TODAY()-Tableau6[[#This Row],[DATE LIMITE]],0)</f>
        <v>0</v>
      </c>
      <c r="V228" s="20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28" s="202">
        <f>SUMIF(Tableau3[FACTURE],Tableau6[[#This Row],[NUM DE FACTURE]],Tableau3[MONTANT TTC])</f>
        <v>1293870</v>
      </c>
      <c r="X228" s="195"/>
      <c r="Y228" s="203">
        <f>+Tableau6[[#This Row],[NET A PAYER]]-Tableau6[[#This Row],[MONTANT PAYE]]</f>
        <v>0</v>
      </c>
      <c r="Z228" s="193"/>
    </row>
    <row r="229" spans="1:26" x14ac:dyDescent="0.2">
      <c r="A229" t="s">
        <v>100</v>
      </c>
      <c r="B229" s="194">
        <v>45908</v>
      </c>
      <c r="C229" s="195">
        <v>45909</v>
      </c>
      <c r="D229" s="351">
        <v>80</v>
      </c>
      <c r="E229" s="6" t="s">
        <v>138</v>
      </c>
      <c r="F229" s="193" t="s">
        <v>111</v>
      </c>
      <c r="G229" s="6" t="s">
        <v>188</v>
      </c>
      <c r="H229" t="s">
        <v>116</v>
      </c>
      <c r="I229" s="196"/>
      <c r="J229" s="246">
        <v>3240000</v>
      </c>
      <c r="K229" s="196">
        <f>+Tableau6[[#This Row],[MONTANT HT BIEN]]+Tableau6[[#This Row],[MONTANT HT SERVICE]]</f>
        <v>3240000</v>
      </c>
      <c r="L229" s="153">
        <v>0</v>
      </c>
      <c r="M229" s="197">
        <f>+IFERROR(IF(Tableau6[[#This Row],[CODE TVA]]="TVAF",Tableau6[[#This Row],[MONTANT HT]]*0.18,0),0)</f>
        <v>583200</v>
      </c>
      <c r="N229" s="197">
        <f>Tableau6[[#This Row],[MONTANT HT]]+Tableau6[[#This Row],[TVA]]-Tableau6[[#This Row],[ACOMPTE SUR HT]]</f>
        <v>3823200</v>
      </c>
      <c r="O229" s="197"/>
      <c r="P229" s="197">
        <f>+ROUND(Tableau6[[#This Row],[MONTANT TTC]]-Tableau6[[#This Row],[ACOMPTE SUR TTC]],0)</f>
        <v>3823200</v>
      </c>
      <c r="Q229" s="33" t="s">
        <v>620</v>
      </c>
      <c r="R229" s="199">
        <f>IFERROR(INDEX(Tableau2[[ID BC UNIQUE]:[MONTANT HT VALIDE]],MATCH(Tableau6[[#This Row],[N° BC]],Tableau2[ID BC UNIQUE],0),6),0)</f>
        <v>3240000</v>
      </c>
      <c r="S229" s="200">
        <f>IFERROR(INDEX(Tableau2[[DATE]:[DELAIS DE PAIEMENT FACTURES EN JOUR]],MATCH(Tableau6[[#This Row],[N° BC]],Tableau2[ID BC UNIQUE],0),5),0)</f>
        <v>30</v>
      </c>
      <c r="T229" s="195">
        <f>IF(ISBLANK(Tableau6[[#This Row],[DATE DE DEPOT]]),"",Tableau6[[#This Row],[DATE DE DEPOT]]+Tableau6[[#This Row],[DELAI]])</f>
        <v>45939</v>
      </c>
      <c r="U229" s="200">
        <f ca="1">+IF(AND(W229=0,Tableau6[[#This Row],[DATE LIMITE]]&lt;TODAY()),TODAY()-Tableau6[[#This Row],[DATE LIMITE]],0)</f>
        <v>0</v>
      </c>
      <c r="V229" s="20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29" s="202">
        <f>SUMIF(Tableau3[FACTURE],Tableau6[[#This Row],[NUM DE FACTURE]],Tableau3[MONTANT TTC])</f>
        <v>3823200</v>
      </c>
      <c r="X229" s="195"/>
      <c r="Y229" s="203">
        <f>+Tableau6[[#This Row],[NET A PAYER]]-Tableau6[[#This Row],[MONTANT PAYE]]</f>
        <v>0</v>
      </c>
      <c r="Z229" s="193"/>
    </row>
    <row r="230" spans="1:26" x14ac:dyDescent="0.2">
      <c r="A230" t="s">
        <v>100</v>
      </c>
      <c r="B230" s="194">
        <v>45908</v>
      </c>
      <c r="C230" s="195">
        <v>45909</v>
      </c>
      <c r="D230" s="351">
        <v>81</v>
      </c>
      <c r="E230" s="6" t="s">
        <v>138</v>
      </c>
      <c r="F230" t="s">
        <v>111</v>
      </c>
      <c r="G230" s="6" t="s">
        <v>182</v>
      </c>
      <c r="H230" t="s">
        <v>116</v>
      </c>
      <c r="I230" s="196"/>
      <c r="J230" s="246">
        <v>2000000</v>
      </c>
      <c r="K230" s="196">
        <f>+Tableau6[[#This Row],[MONTANT HT BIEN]]+Tableau6[[#This Row],[MONTANT HT SERVICE]]</f>
        <v>2000000</v>
      </c>
      <c r="L230" s="153">
        <v>0</v>
      </c>
      <c r="M230" s="197">
        <f>+IFERROR(IF(Tableau6[[#This Row],[CODE TVA]]="TVAF",Tableau6[[#This Row],[MONTANT HT]]*0.18,0),0)</f>
        <v>360000</v>
      </c>
      <c r="N230" s="197">
        <f>Tableau6[[#This Row],[MONTANT HT]]+Tableau6[[#This Row],[TVA]]-Tableau6[[#This Row],[ACOMPTE SUR HT]]</f>
        <v>2360000</v>
      </c>
      <c r="O230" s="197"/>
      <c r="P230" s="197">
        <f>+ROUND(Tableau6[[#This Row],[MONTANT TTC]]-Tableau6[[#This Row],[ACOMPTE SUR TTC]],0)</f>
        <v>2360000</v>
      </c>
      <c r="Q230" s="33" t="s">
        <v>621</v>
      </c>
      <c r="R230" s="199">
        <f>IFERROR(INDEX(Tableau2[[ID BC UNIQUE]:[MONTANT HT VALIDE]],MATCH(Tableau6[[#This Row],[N° BC]],Tableau2[ID BC UNIQUE],0),6),0)</f>
        <v>2000000</v>
      </c>
      <c r="S230" s="200">
        <f>IFERROR(INDEX(Tableau2[[DATE]:[DELAIS DE PAIEMENT FACTURES EN JOUR]],MATCH(Tableau6[[#This Row],[N° BC]],Tableau2[ID BC UNIQUE],0),5),0)</f>
        <v>30</v>
      </c>
      <c r="T230" s="195">
        <f>IF(ISBLANK(Tableau6[[#This Row],[DATE DE DEPOT]]),"",Tableau6[[#This Row],[DATE DE DEPOT]]+Tableau6[[#This Row],[DELAI]])</f>
        <v>45939</v>
      </c>
      <c r="U230" s="200">
        <f ca="1">+IF(AND(W230=0,Tableau6[[#This Row],[DATE LIMITE]]&lt;TODAY()),TODAY()-Tableau6[[#This Row],[DATE LIMITE]],0)</f>
        <v>0</v>
      </c>
      <c r="V230" s="20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30" s="202">
        <f>SUMIF(Tableau3[FACTURE],Tableau6[[#This Row],[NUM DE FACTURE]],Tableau3[MONTANT TTC])</f>
        <v>2360000</v>
      </c>
      <c r="X230" s="195"/>
      <c r="Y230" s="203">
        <f>+Tableau6[[#This Row],[NET A PAYER]]-Tableau6[[#This Row],[MONTANT PAYE]]</f>
        <v>0</v>
      </c>
      <c r="Z230" s="193"/>
    </row>
    <row r="231" spans="1:26" x14ac:dyDescent="0.2">
      <c r="A231" t="s">
        <v>100</v>
      </c>
      <c r="B231" s="206">
        <v>45908</v>
      </c>
      <c r="C231" s="194">
        <v>45908</v>
      </c>
      <c r="D231" s="376">
        <v>82</v>
      </c>
      <c r="E231" s="6" t="s">
        <v>138</v>
      </c>
      <c r="F231" t="s">
        <v>111</v>
      </c>
      <c r="G231" s="6" t="s">
        <v>180</v>
      </c>
      <c r="H231" t="s">
        <v>116</v>
      </c>
      <c r="I231" s="208"/>
      <c r="J231" s="443">
        <v>2779000</v>
      </c>
      <c r="K231" s="208">
        <f>+Tableau6[[#This Row],[MONTANT HT BIEN]]+Tableau6[[#This Row],[MONTANT HT SERVICE]]</f>
        <v>2779000</v>
      </c>
      <c r="L231" s="10">
        <v>0</v>
      </c>
      <c r="M231" s="448">
        <f>+IFERROR(IF(Tableau6[[#This Row],[CODE TVA]]="TVAF",Tableau6[[#This Row],[MONTANT HT]]*0.18,0),0)</f>
        <v>500220</v>
      </c>
      <c r="N231" s="448">
        <f>Tableau6[[#This Row],[MONTANT HT]]+Tableau6[[#This Row],[TVA]]-Tableau6[[#This Row],[ACOMPTE SUR HT]]</f>
        <v>3279220</v>
      </c>
      <c r="O231" s="448"/>
      <c r="P231" s="448">
        <f>+ROUND(Tableau6[[#This Row],[MONTANT TTC]]-Tableau6[[#This Row],[ACOMPTE SUR TTC]],0)</f>
        <v>3279220</v>
      </c>
      <c r="Q231" s="224" t="s">
        <v>622</v>
      </c>
      <c r="R231" s="452">
        <f>IFERROR(INDEX(Tableau2[[ID BC UNIQUE]:[MONTANT HT VALIDE]],MATCH(Tableau6[[#This Row],[N° BC]],Tableau2[ID BC UNIQUE],0),6),0)</f>
        <v>2779000</v>
      </c>
      <c r="S231" s="455">
        <f>IFERROR(INDEX(Tableau2[[DATE]:[DELAIS DE PAIEMENT FACTURES EN JOUR]],MATCH(Tableau6[[#This Row],[N° BC]],Tableau2[ID BC UNIQUE],0),5),0)</f>
        <v>30</v>
      </c>
      <c r="T231" s="206">
        <f>IF(ISBLANK(Tableau6[[#This Row],[DATE DE DEPOT]]),"",Tableau6[[#This Row],[DATE DE DEPOT]]+Tableau6[[#This Row],[DELAI]])</f>
        <v>45938</v>
      </c>
      <c r="U231" s="455">
        <f ca="1">+IF(AND(W231=0,Tableau6[[#This Row],[DATE LIMITE]]&lt;TODAY()),TODAY()-Tableau6[[#This Row],[DATE LIMITE]],0)</f>
        <v>0</v>
      </c>
      <c r="V231" s="204"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31" s="458">
        <f>SUMIF(Tableau3[FACTURE],Tableau6[[#This Row],[NUM DE FACTURE]],Tableau3[MONTANT TTC])</f>
        <v>3279220</v>
      </c>
      <c r="X231" s="207"/>
      <c r="Y231" s="208">
        <f>+Tableau6[[#This Row],[NET A PAYER]]-Tableau6[[#This Row],[MONTANT PAYE]]</f>
        <v>0</v>
      </c>
      <c r="Z231"/>
    </row>
    <row r="232" spans="1:26" x14ac:dyDescent="0.2">
      <c r="A232" t="s">
        <v>100</v>
      </c>
      <c r="B232" s="3">
        <v>45909</v>
      </c>
      <c r="C232" s="3">
        <v>45909</v>
      </c>
      <c r="D232" s="376">
        <v>83</v>
      </c>
      <c r="E232" s="6" t="s">
        <v>108</v>
      </c>
      <c r="F232" t="s">
        <v>115</v>
      </c>
      <c r="G232" s="6">
        <v>204</v>
      </c>
      <c r="H232" t="s">
        <v>116</v>
      </c>
      <c r="I232" s="156"/>
      <c r="J232" s="248">
        <v>1980000</v>
      </c>
      <c r="K232" s="156">
        <f>+Tableau6[[#This Row],[MONTANT HT BIEN]]+Tableau6[[#This Row],[MONTANT HT SERVICE]]</f>
        <v>1980000</v>
      </c>
      <c r="L232" s="10">
        <v>0</v>
      </c>
      <c r="M232" s="10">
        <f>+IFERROR(IF(Tableau6[[#This Row],[CODE TVA]]="TVAF",Tableau6[[#This Row],[MONTANT HT]]*0.18,0),0)</f>
        <v>356400</v>
      </c>
      <c r="N232" s="10">
        <f>Tableau6[[#This Row],[MONTANT HT]]+Tableau6[[#This Row],[TVA]]-Tableau6[[#This Row],[ACOMPTE SUR HT]]</f>
        <v>2336400</v>
      </c>
      <c r="O232" s="10"/>
      <c r="P232" s="10">
        <f>+ROUND(Tableau6[[#This Row],[MONTANT TTC]]-Tableau6[[#This Row],[ACOMPTE SUR TTC]],0)</f>
        <v>2336400</v>
      </c>
      <c r="Q232" s="224" t="s">
        <v>623</v>
      </c>
      <c r="R232" s="4">
        <f>IFERROR(INDEX(Tableau2[[ID BC UNIQUE]:[MONTANT HT VALIDE]],MATCH(Tableau6[[#This Row],[N° BC]],Tableau2[ID BC UNIQUE],0),6),0)</f>
        <v>1980000</v>
      </c>
      <c r="S232" s="225">
        <f>IFERROR(INDEX(Tableau2[[DATE]:[DELAIS DE PAIEMENT FACTURES EN JOUR]],MATCH(Tableau6[[#This Row],[N° BC]],Tableau2[ID BC UNIQUE],0),5),0)</f>
        <v>0</v>
      </c>
      <c r="T232" s="3">
        <f>IF(ISBLANK(Tableau6[[#This Row],[DATE DE DEPOT]]),"",Tableau6[[#This Row],[DATE DE DEPOT]]+Tableau6[[#This Row],[DELAI]])</f>
        <v>45909</v>
      </c>
      <c r="U232" s="225">
        <f ca="1">+IF(AND(W232=0,Tableau6[[#This Row],[DATE LIMITE]]&lt;TODAY()),TODAY()-Tableau6[[#This Row],[DATE LIMITE]],0)</f>
        <v>0</v>
      </c>
      <c r="V2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32" s="231">
        <f>SUMIF(Tableau3[FACTURE],Tableau6[[#This Row],[NUM DE FACTURE]],Tableau3[MONTANT TTC])</f>
        <v>2336400</v>
      </c>
      <c r="X232" s="7"/>
      <c r="Y232" s="156">
        <f>+Tableau6[[#This Row],[NET A PAYER]]-Tableau6[[#This Row],[MONTANT PAYE]]</f>
        <v>0</v>
      </c>
      <c r="Z232"/>
    </row>
    <row r="233" spans="1:26" x14ac:dyDescent="0.2">
      <c r="A233" t="s">
        <v>100</v>
      </c>
      <c r="B233" s="211">
        <v>45915</v>
      </c>
      <c r="C233" s="211">
        <v>45915</v>
      </c>
      <c r="D233" s="376">
        <v>84</v>
      </c>
      <c r="E233" s="6" t="s">
        <v>138</v>
      </c>
      <c r="F233" t="s">
        <v>111</v>
      </c>
      <c r="G233" s="6" t="s">
        <v>188</v>
      </c>
      <c r="H233" t="s">
        <v>116</v>
      </c>
      <c r="I233" s="219"/>
      <c r="J233" s="288">
        <v>2790000</v>
      </c>
      <c r="K233" s="219">
        <f>+Tableau6[[#This Row],[MONTANT HT BIEN]]+Tableau6[[#This Row],[MONTANT HT SERVICE]]</f>
        <v>2790000</v>
      </c>
      <c r="L233" s="10">
        <v>0</v>
      </c>
      <c r="M233" s="380">
        <f>+IFERROR(IF(Tableau6[[#This Row],[CODE TVA]]="TVAF",Tableau6[[#This Row],[MONTANT HT]]*0.18,0),0)</f>
        <v>502200</v>
      </c>
      <c r="N233" s="380">
        <f>Tableau6[[#This Row],[MONTANT HT]]+Tableau6[[#This Row],[TVA]]-Tableau6[[#This Row],[ACOMPTE SUR HT]]</f>
        <v>3292200</v>
      </c>
      <c r="O233" s="380"/>
      <c r="P233" s="380">
        <f>+ROUND(Tableau6[[#This Row],[MONTANT TTC]]-Tableau6[[#This Row],[ACOMPTE SUR TTC]],0)</f>
        <v>3292200</v>
      </c>
      <c r="Q233" s="224" t="s">
        <v>624</v>
      </c>
      <c r="R233" s="382">
        <f>IFERROR(INDEX(Tableau2[[ID BC UNIQUE]:[MONTANT HT VALIDE]],MATCH(Tableau6[[#This Row],[N° BC]],Tableau2[ID BC UNIQUE],0),6),0)</f>
        <v>2790000</v>
      </c>
      <c r="S233" s="227">
        <f>IFERROR(INDEX(Tableau2[[DATE]:[DELAIS DE PAIEMENT FACTURES EN JOUR]],MATCH(Tableau6[[#This Row],[N° BC]],Tableau2[ID BC UNIQUE],0),5),0)</f>
        <v>30</v>
      </c>
      <c r="T233" s="211">
        <f>IF(ISBLANK(Tableau6[[#This Row],[DATE DE DEPOT]]),"",Tableau6[[#This Row],[DATE DE DEPOT]]+Tableau6[[#This Row],[DELAI]])</f>
        <v>45945</v>
      </c>
      <c r="U233" s="227">
        <f ca="1">+IF(AND(W233=0,Tableau6[[#This Row],[DATE LIMITE]]&lt;TODAY()),TODAY()-Tableau6[[#This Row],[DATE LIMITE]],0)</f>
        <v>0</v>
      </c>
      <c r="V233"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33" s="289">
        <f>SUMIF(Tableau3[FACTURE],Tableau6[[#This Row],[NUM DE FACTURE]],Tableau3[MONTANT TTC])</f>
        <v>3292200</v>
      </c>
      <c r="X233" s="212"/>
      <c r="Y233" s="219">
        <f>+Tableau6[[#This Row],[NET A PAYER]]-Tableau6[[#This Row],[MONTANT PAYE]]</f>
        <v>0</v>
      </c>
      <c r="Z233" s="210"/>
    </row>
    <row r="234" spans="1:26" x14ac:dyDescent="0.2">
      <c r="A234" t="s">
        <v>100</v>
      </c>
      <c r="B234" s="3">
        <v>45915</v>
      </c>
      <c r="C234" s="3">
        <v>45915</v>
      </c>
      <c r="D234" s="377">
        <v>85</v>
      </c>
      <c r="E234" s="6" t="s">
        <v>138</v>
      </c>
      <c r="F234" t="s">
        <v>111</v>
      </c>
      <c r="G234" s="6" t="s">
        <v>182</v>
      </c>
      <c r="H234" s="6" t="s">
        <v>116</v>
      </c>
      <c r="I234" s="156"/>
      <c r="J234" s="248">
        <v>9200779.6610169504</v>
      </c>
      <c r="K234" s="156">
        <f>+Tableau6[[#This Row],[MONTANT HT BIEN]]+Tableau6[[#This Row],[MONTANT HT SERVICE]]</f>
        <v>9200779.6610169504</v>
      </c>
      <c r="L234" s="10">
        <v>0</v>
      </c>
      <c r="M234" s="10">
        <f>+IFERROR(IF(Tableau6[[#This Row],[CODE TVA]]="TVAF",Tableau6[[#This Row],[MONTANT HT]]*0.18,0),0)</f>
        <v>1656140.338983051</v>
      </c>
      <c r="N234" s="10">
        <f>Tableau6[[#This Row],[MONTANT HT]]+Tableau6[[#This Row],[TVA]]-Tableau6[[#This Row],[ACOMPTE SUR HT]]</f>
        <v>10856920.000000002</v>
      </c>
      <c r="O234" s="10"/>
      <c r="P234" s="10">
        <f>+ROUND(Tableau6[[#This Row],[MONTANT TTC]]-Tableau6[[#This Row],[ACOMPTE SUR TTC]],0)</f>
        <v>10856920</v>
      </c>
      <c r="Q234" t="s">
        <v>625</v>
      </c>
      <c r="R234" s="4">
        <f>IFERROR(INDEX(Tableau2[[ID BC UNIQUE]:[MONTANT HT VALIDE]],MATCH(Tableau6[[#This Row],[N° BC]],Tableau2[ID BC UNIQUE],0),6),0)</f>
        <v>9200779.6610169504</v>
      </c>
      <c r="S234" s="225">
        <f>IFERROR(INDEX(Tableau2[[DATE]:[DELAIS DE PAIEMENT FACTURES EN JOUR]],MATCH(Tableau6[[#This Row],[N° BC]],Tableau2[ID BC UNIQUE],0),5),0)</f>
        <v>30</v>
      </c>
      <c r="T234" s="3">
        <f>IF(ISBLANK(Tableau6[[#This Row],[DATE DE DEPOT]]),"",Tableau6[[#This Row],[DATE DE DEPOT]]+Tableau6[[#This Row],[DELAI]])</f>
        <v>45945</v>
      </c>
      <c r="U234" s="225">
        <f ca="1">+IF(AND(W234=0,Tableau6[[#This Row],[DATE LIMITE]]&lt;TODAY()),TODAY()-Tableau6[[#This Row],[DATE LIMITE]],0)</f>
        <v>0</v>
      </c>
      <c r="V234"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34" s="231">
        <f>SUMIF(Tableau3[FACTURE],Tableau6[[#This Row],[NUM DE FACTURE]],Tableau3[MONTANT TTC])</f>
        <v>10856920</v>
      </c>
      <c r="X234" s="232"/>
      <c r="Y234" s="90">
        <f>+Tableau6[[#This Row],[NET A PAYER]]-Tableau6[[#This Row],[MONTANT PAYE]]</f>
        <v>0</v>
      </c>
      <c r="Z234"/>
    </row>
    <row r="235" spans="1:26" x14ac:dyDescent="0.2">
      <c r="A235" t="s">
        <v>100</v>
      </c>
      <c r="B235" s="3">
        <v>45916</v>
      </c>
      <c r="C235" s="3">
        <v>45918</v>
      </c>
      <c r="D235" s="377">
        <v>88</v>
      </c>
      <c r="E235" s="254" t="s">
        <v>138</v>
      </c>
      <c r="F235" s="254" t="s">
        <v>111</v>
      </c>
      <c r="G235" s="254" t="s">
        <v>156</v>
      </c>
      <c r="H235" s="254" t="s">
        <v>116</v>
      </c>
      <c r="I235" s="230"/>
      <c r="J235" s="248">
        <v>6480000</v>
      </c>
      <c r="K235" s="156">
        <f>+Tableau6[[#This Row],[MONTANT HT BIEN]]+Tableau6[[#This Row],[MONTANT HT SERVICE]]</f>
        <v>6480000</v>
      </c>
      <c r="L235" s="10">
        <v>0</v>
      </c>
      <c r="M235" s="10">
        <f>+IFERROR(IF(Tableau6[[#This Row],[CODE TVA]]="TVAF",Tableau6[[#This Row],[MONTANT HT]]*0.18,0),0)</f>
        <v>1166400</v>
      </c>
      <c r="N235" s="10">
        <f>Tableau6[[#This Row],[MONTANT HT]]+Tableau6[[#This Row],[TVA]]-Tableau6[[#This Row],[ACOMPTE SUR HT]]</f>
        <v>7646400</v>
      </c>
      <c r="O235" s="10"/>
      <c r="P235" s="10">
        <f>+ROUND(Tableau6[[#This Row],[MONTANT TTC]]-Tableau6[[#This Row],[ACOMPTE SUR TTC]],0)</f>
        <v>7646400</v>
      </c>
      <c r="Q235" t="s">
        <v>226</v>
      </c>
      <c r="R235" s="4">
        <f>IFERROR(INDEX(Tableau2[[ID BC UNIQUE]:[MONTANT HT VALIDE]],MATCH(Tableau6[[#This Row],[N° BC]],Tableau2[ID BC UNIQUE],0),6),0)</f>
        <v>6480000</v>
      </c>
      <c r="S235" s="225">
        <f>IFERROR(INDEX(Tableau2[[DATE]:[DELAIS DE PAIEMENT FACTURES EN JOUR]],MATCH(Tableau6[[#This Row],[N° BC]],Tableau2[ID BC UNIQUE],0),5),0)</f>
        <v>30</v>
      </c>
      <c r="T235" s="3">
        <f>IF(ISBLANK(Tableau6[[#This Row],[DATE DE DEPOT]]),"",Tableau6[[#This Row],[DATE DE DEPOT]]+Tableau6[[#This Row],[DELAI]])</f>
        <v>45948</v>
      </c>
      <c r="U235" s="225">
        <f ca="1">+IF(AND(W235=0,Tableau6[[#This Row],[DATE LIMITE]]&lt;TODAY()),TODAY()-Tableau6[[#This Row],[DATE LIMITE]],0)</f>
        <v>0</v>
      </c>
      <c r="V23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35" s="231">
        <f>SUMIF(Tableau3[FACTURE],Tableau6[[#This Row],[NUM DE FACTURE]],Tableau3[MONTANT TTC])</f>
        <v>7646400</v>
      </c>
      <c r="X235" s="7"/>
      <c r="Y235" s="90">
        <f>+Tableau6[[#This Row],[NET A PAYER]]-Tableau6[[#This Row],[MONTANT PAYE]]</f>
        <v>0</v>
      </c>
      <c r="Z235"/>
    </row>
    <row r="236" spans="1:26" x14ac:dyDescent="0.2">
      <c r="A236" t="s">
        <v>100</v>
      </c>
      <c r="B236" s="3">
        <v>45916</v>
      </c>
      <c r="C236" s="3">
        <v>45916</v>
      </c>
      <c r="D236" s="377">
        <v>89</v>
      </c>
      <c r="E236" s="254" t="s">
        <v>138</v>
      </c>
      <c r="F236" s="254" t="s">
        <v>111</v>
      </c>
      <c r="G236" s="254" t="s">
        <v>626</v>
      </c>
      <c r="H236" s="254" t="s">
        <v>116</v>
      </c>
      <c r="I236" s="230"/>
      <c r="J236" s="248">
        <v>5910000</v>
      </c>
      <c r="K236" s="156">
        <f>+Tableau6[[#This Row],[MONTANT HT BIEN]]+Tableau6[[#This Row],[MONTANT HT SERVICE]]</f>
        <v>5910000</v>
      </c>
      <c r="L236" s="10">
        <v>0</v>
      </c>
      <c r="M236" s="10">
        <f>+IFERROR(IF(Tableau6[[#This Row],[CODE TVA]]="TVAF",Tableau6[[#This Row],[MONTANT HT]]*0.18,0),0)</f>
        <v>1063800</v>
      </c>
      <c r="N236" s="10">
        <f>Tableau6[[#This Row],[MONTANT HT]]+Tableau6[[#This Row],[TVA]]-Tableau6[[#This Row],[ACOMPTE SUR HT]]</f>
        <v>6973800</v>
      </c>
      <c r="O236" s="10"/>
      <c r="P236" s="10">
        <f>+ROUND(Tableau6[[#This Row],[MONTANT TTC]]-Tableau6[[#This Row],[ACOMPTE SUR TTC]],0)</f>
        <v>6973800</v>
      </c>
      <c r="Q236" t="s">
        <v>627</v>
      </c>
      <c r="R236" s="4">
        <f>IFERROR(INDEX(Tableau2[[ID BC UNIQUE]:[MONTANT HT VALIDE]],MATCH(Tableau6[[#This Row],[N° BC]],Tableau2[ID BC UNIQUE],0),6),0)</f>
        <v>5910000</v>
      </c>
      <c r="S236" s="225">
        <f>IFERROR(INDEX(Tableau2[[DATE]:[DELAIS DE PAIEMENT FACTURES EN JOUR]],MATCH(Tableau6[[#This Row],[N° BC]],Tableau2[ID BC UNIQUE],0),5),0)</f>
        <v>30</v>
      </c>
      <c r="T236" s="3">
        <f>IF(ISBLANK(Tableau6[[#This Row],[DATE DE DEPOT]]),"",Tableau6[[#This Row],[DATE DE DEPOT]]+Tableau6[[#This Row],[DELAI]])</f>
        <v>45946</v>
      </c>
      <c r="U236" s="225">
        <f ca="1">+IF(AND(W236=0,Tableau6[[#This Row],[DATE LIMITE]]&lt;TODAY()),TODAY()-Tableau6[[#This Row],[DATE LIMITE]],0)</f>
        <v>0</v>
      </c>
      <c r="V236"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36" s="231">
        <f>SUMIF(Tableau3[FACTURE],Tableau6[[#This Row],[NUM DE FACTURE]],Tableau3[MONTANT TTC])</f>
        <v>6973800</v>
      </c>
      <c r="X236" s="7"/>
      <c r="Y236" s="90">
        <f>+Tableau6[[#This Row],[NET A PAYER]]-Tableau6[[#This Row],[MONTANT PAYE]]</f>
        <v>0</v>
      </c>
      <c r="Z236"/>
    </row>
    <row r="237" spans="1:26" x14ac:dyDescent="0.2">
      <c r="A237" t="s">
        <v>100</v>
      </c>
      <c r="B237" s="3">
        <v>45931</v>
      </c>
      <c r="C237" s="3">
        <v>45932</v>
      </c>
      <c r="D237" s="377">
        <v>91</v>
      </c>
      <c r="E237" s="254" t="s">
        <v>138</v>
      </c>
      <c r="F237" s="254" t="s">
        <v>286</v>
      </c>
      <c r="G237" s="254" t="s">
        <v>179</v>
      </c>
      <c r="H237" s="254" t="s">
        <v>116</v>
      </c>
      <c r="I237" s="230"/>
      <c r="J237" s="248">
        <v>1540000</v>
      </c>
      <c r="K237" s="156">
        <f>+Tableau6[[#This Row],[MONTANT HT BIEN]]+Tableau6[[#This Row],[MONTANT HT SERVICE]]</f>
        <v>1540000</v>
      </c>
      <c r="L237" s="10">
        <v>0</v>
      </c>
      <c r="M237" s="10">
        <f>+IFERROR(IF(Tableau6[[#This Row],[CODE TVA]]="TVAF",Tableau6[[#This Row],[MONTANT HT]]*0.18,0),0)</f>
        <v>277200</v>
      </c>
      <c r="N237" s="10">
        <f>Tableau6[[#This Row],[MONTANT HT]]+Tableau6[[#This Row],[TVA]]-Tableau6[[#This Row],[ACOMPTE SUR HT]]</f>
        <v>1817200</v>
      </c>
      <c r="O237" s="10"/>
      <c r="P237" s="10">
        <f>+ROUND(Tableau6[[#This Row],[MONTANT TTC]]-Tableau6[[#This Row],[ACOMPTE SUR TTC]],0)</f>
        <v>1817200</v>
      </c>
      <c r="Q237" t="s">
        <v>219</v>
      </c>
      <c r="R237" s="4">
        <f>IFERROR(INDEX(Tableau2[[ID BC UNIQUE]:[MONTANT HT VALIDE]],MATCH(Tableau6[[#This Row],[N° BC]],Tableau2[ID BC UNIQUE],0),6),0)</f>
        <v>1540000</v>
      </c>
      <c r="S237" s="225">
        <f>IFERROR(INDEX(Tableau2[[DATE]:[DELAIS DE PAIEMENT FACTURES EN JOUR]],MATCH(Tableau6[[#This Row],[N° BC]],Tableau2[ID BC UNIQUE],0),5),0)</f>
        <v>30</v>
      </c>
      <c r="T237" s="3">
        <f>IF(ISBLANK(Tableau6[[#This Row],[DATE DE DEPOT]]),"",Tableau6[[#This Row],[DATE DE DEPOT]]+Tableau6[[#This Row],[DELAI]])</f>
        <v>45962</v>
      </c>
      <c r="U237" s="225">
        <f ca="1">+IF(AND(W237=0,Tableau6[[#This Row],[DATE LIMITE]]&lt;TODAY()),TODAY()-Tableau6[[#This Row],[DATE LIMITE]],0)</f>
        <v>0</v>
      </c>
      <c r="V237"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37" s="231">
        <f>SUMIF(Tableau3[FACTURE],Tableau6[[#This Row],[NUM DE FACTURE]],Tableau3[MONTANT TTC])</f>
        <v>1817200</v>
      </c>
      <c r="X237" s="7"/>
      <c r="Y237" s="90">
        <f>+Tableau6[[#This Row],[NET A PAYER]]-Tableau6[[#This Row],[MONTANT PAYE]]</f>
        <v>0</v>
      </c>
      <c r="Z237"/>
    </row>
    <row r="238" spans="1:26" x14ac:dyDescent="0.2">
      <c r="A238" t="s">
        <v>100</v>
      </c>
      <c r="B238" s="3">
        <v>45931</v>
      </c>
      <c r="C238" s="3">
        <v>45932</v>
      </c>
      <c r="D238" s="377">
        <v>92</v>
      </c>
      <c r="E238" s="254" t="s">
        <v>138</v>
      </c>
      <c r="F238" s="254" t="s">
        <v>287</v>
      </c>
      <c r="G238" s="254" t="s">
        <v>179</v>
      </c>
      <c r="H238" s="254" t="s">
        <v>116</v>
      </c>
      <c r="I238" s="230"/>
      <c r="J238" s="248">
        <v>1985000</v>
      </c>
      <c r="K238" s="156">
        <f>+Tableau6[[#This Row],[MONTANT HT BIEN]]+Tableau6[[#This Row],[MONTANT HT SERVICE]]</f>
        <v>1985000</v>
      </c>
      <c r="L238" s="10">
        <v>0</v>
      </c>
      <c r="M238" s="10">
        <f>+IFERROR(IF(Tableau6[[#This Row],[CODE TVA]]="TVAF",Tableau6[[#This Row],[MONTANT HT]]*0.18,0),0)</f>
        <v>357300</v>
      </c>
      <c r="N238" s="10">
        <f>Tableau6[[#This Row],[MONTANT HT]]+Tableau6[[#This Row],[TVA]]-Tableau6[[#This Row],[ACOMPTE SUR HT]]</f>
        <v>2342300</v>
      </c>
      <c r="O238" s="10"/>
      <c r="P238" s="10">
        <f>+ROUND(Tableau6[[#This Row],[MONTANT TTC]]-Tableau6[[#This Row],[ACOMPTE SUR TTC]],0)</f>
        <v>2342300</v>
      </c>
      <c r="Q238" t="s">
        <v>213</v>
      </c>
      <c r="R238" s="4">
        <f>IFERROR(INDEX(Tableau2[[ID BC UNIQUE]:[MONTANT HT VALIDE]],MATCH(Tableau6[[#This Row],[N° BC]],Tableau2[ID BC UNIQUE],0),6),0)</f>
        <v>1985000</v>
      </c>
      <c r="S238" s="225">
        <f>IFERROR(INDEX(Tableau2[[DATE]:[DELAIS DE PAIEMENT FACTURES EN JOUR]],MATCH(Tableau6[[#This Row],[N° BC]],Tableau2[ID BC UNIQUE],0),5),0)</f>
        <v>30</v>
      </c>
      <c r="T238" s="3">
        <f>IF(ISBLANK(Tableau6[[#This Row],[DATE DE DEPOT]]),"",Tableau6[[#This Row],[DATE DE DEPOT]]+Tableau6[[#This Row],[DELAI]])</f>
        <v>45962</v>
      </c>
      <c r="U238" s="225">
        <f ca="1">+IF(AND(W238=0,Tableau6[[#This Row],[DATE LIMITE]]&lt;TODAY()),TODAY()-Tableau6[[#This Row],[DATE LIMITE]],0)</f>
        <v>0</v>
      </c>
      <c r="V23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38" s="231">
        <f>SUMIF(Tableau3[FACTURE],Tableau6[[#This Row],[NUM DE FACTURE]],Tableau3[MONTANT TTC])</f>
        <v>2342300</v>
      </c>
      <c r="X238" s="7"/>
      <c r="Y238" s="90">
        <f>+Tableau6[[#This Row],[NET A PAYER]]-Tableau6[[#This Row],[MONTANT PAYE]]</f>
        <v>0</v>
      </c>
      <c r="Z238"/>
    </row>
    <row r="239" spans="1:26" x14ac:dyDescent="0.2">
      <c r="A239" t="s">
        <v>100</v>
      </c>
      <c r="B239" s="3">
        <v>45931</v>
      </c>
      <c r="C239" s="3">
        <v>45932</v>
      </c>
      <c r="D239" s="377">
        <v>93</v>
      </c>
      <c r="E239" s="254" t="s">
        <v>138</v>
      </c>
      <c r="F239" s="254" t="s">
        <v>288</v>
      </c>
      <c r="G239" s="254" t="s">
        <v>183</v>
      </c>
      <c r="H239" s="254" t="s">
        <v>116</v>
      </c>
      <c r="I239" s="230"/>
      <c r="J239" s="248">
        <v>2295000</v>
      </c>
      <c r="K239" s="156">
        <f>+Tableau6[[#This Row],[MONTANT HT BIEN]]+Tableau6[[#This Row],[MONTANT HT SERVICE]]</f>
        <v>2295000</v>
      </c>
      <c r="L239" s="10">
        <v>0</v>
      </c>
      <c r="M239" s="10">
        <f>+IFERROR(IF(Tableau6[[#This Row],[CODE TVA]]="TVAF",Tableau6[[#This Row],[MONTANT HT]]*0.18,0),0)</f>
        <v>413100</v>
      </c>
      <c r="N239" s="10">
        <f>Tableau6[[#This Row],[MONTANT HT]]+Tableau6[[#This Row],[TVA]]-Tableau6[[#This Row],[ACOMPTE SUR HT]]</f>
        <v>2708100</v>
      </c>
      <c r="O239" s="10"/>
      <c r="P239" s="10">
        <f>+ROUND(Tableau6[[#This Row],[MONTANT TTC]]-Tableau6[[#This Row],[ACOMPTE SUR TTC]],0)</f>
        <v>2708100</v>
      </c>
      <c r="Q239" t="s">
        <v>215</v>
      </c>
      <c r="R239" s="4">
        <f>IFERROR(INDEX(Tableau2[[ID BC UNIQUE]:[MONTANT HT VALIDE]],MATCH(Tableau6[[#This Row],[N° BC]],Tableau2[ID BC UNIQUE],0),6),0)</f>
        <v>2295000</v>
      </c>
      <c r="S239" s="225">
        <f>IFERROR(INDEX(Tableau2[[DATE]:[DELAIS DE PAIEMENT FACTURES EN JOUR]],MATCH(Tableau6[[#This Row],[N° BC]],Tableau2[ID BC UNIQUE],0),5),0)</f>
        <v>30</v>
      </c>
      <c r="T239" s="3">
        <f>IF(ISBLANK(Tableau6[[#This Row],[DATE DE DEPOT]]),"",Tableau6[[#This Row],[DATE DE DEPOT]]+Tableau6[[#This Row],[DELAI]])</f>
        <v>45962</v>
      </c>
      <c r="U239" s="225">
        <f ca="1">+IF(AND(W239=0,Tableau6[[#This Row],[DATE LIMITE]]&lt;TODAY()),TODAY()-Tableau6[[#This Row],[DATE LIMITE]],0)</f>
        <v>0</v>
      </c>
      <c r="V239"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39" s="231">
        <f>SUMIF(Tableau3[FACTURE],Tableau6[[#This Row],[NUM DE FACTURE]],Tableau3[MONTANT TTC])</f>
        <v>2708100</v>
      </c>
      <c r="X239" s="7"/>
      <c r="Y239" s="90">
        <f>+Tableau6[[#This Row],[NET A PAYER]]-Tableau6[[#This Row],[MONTANT PAYE]]</f>
        <v>0</v>
      </c>
      <c r="Z239"/>
    </row>
    <row r="240" spans="1:26" x14ac:dyDescent="0.2">
      <c r="A240" t="s">
        <v>100</v>
      </c>
      <c r="B240" s="3">
        <v>45931</v>
      </c>
      <c r="C240" s="3">
        <v>45932</v>
      </c>
      <c r="D240" s="377">
        <v>94</v>
      </c>
      <c r="E240" s="254" t="s">
        <v>138</v>
      </c>
      <c r="F240" s="254" t="s">
        <v>289</v>
      </c>
      <c r="G240" s="254" t="s">
        <v>181</v>
      </c>
      <c r="H240" s="254" t="s">
        <v>116</v>
      </c>
      <c r="I240" s="260"/>
      <c r="J240" s="248">
        <v>27485000</v>
      </c>
      <c r="K240" s="156">
        <f>+Tableau6[[#This Row],[MONTANT HT BIEN]]+Tableau6[[#This Row],[MONTANT HT SERVICE]]</f>
        <v>27485000</v>
      </c>
      <c r="L240" s="10">
        <v>0</v>
      </c>
      <c r="M240" s="10">
        <f>+IFERROR(IF(Tableau6[[#This Row],[CODE TVA]]="TVAF",Tableau6[[#This Row],[MONTANT HT]]*0.18,0),0)</f>
        <v>4947300</v>
      </c>
      <c r="N240" s="10">
        <f>Tableau6[[#This Row],[MONTANT HT]]+Tableau6[[#This Row],[TVA]]-Tableau6[[#This Row],[ACOMPTE SUR HT]]</f>
        <v>32432300</v>
      </c>
      <c r="O240" s="10"/>
      <c r="P240" s="10">
        <f>+ROUND(Tableau6[[#This Row],[MONTANT TTC]]-Tableau6[[#This Row],[ACOMPTE SUR TTC]],0)</f>
        <v>32432300</v>
      </c>
      <c r="Q240" t="s">
        <v>216</v>
      </c>
      <c r="R240" s="4">
        <f>IFERROR(INDEX(Tableau2[[ID BC UNIQUE]:[MONTANT HT VALIDE]],MATCH(Tableau6[[#This Row],[N° BC]],Tableau2[ID BC UNIQUE],0),6),0)</f>
        <v>27485000</v>
      </c>
      <c r="S240" s="225">
        <f>IFERROR(INDEX(Tableau2[[DATE]:[DELAIS DE PAIEMENT FACTURES EN JOUR]],MATCH(Tableau6[[#This Row],[N° BC]],Tableau2[ID BC UNIQUE],0),5),0)</f>
        <v>30</v>
      </c>
      <c r="T240" s="3">
        <f>IF(ISBLANK(Tableau6[[#This Row],[DATE DE DEPOT]]),"",Tableau6[[#This Row],[DATE DE DEPOT]]+Tableau6[[#This Row],[DELAI]])</f>
        <v>45962</v>
      </c>
      <c r="U240" s="225">
        <f ca="1">+IF(AND(W240=0,Tableau6[[#This Row],[DATE LIMITE]]&lt;TODAY()),TODAY()-Tableau6[[#This Row],[DATE LIMITE]],0)</f>
        <v>0</v>
      </c>
      <c r="V24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40" s="231">
        <f>SUMIF(Tableau3[FACTURE],Tableau6[[#This Row],[NUM DE FACTURE]],Tableau3[MONTANT TTC])</f>
        <v>32432300</v>
      </c>
      <c r="X240" s="7"/>
      <c r="Y240" s="90">
        <f>+Tableau6[[#This Row],[NET A PAYER]]-Tableau6[[#This Row],[MONTANT PAYE]]</f>
        <v>0</v>
      </c>
      <c r="Z240"/>
    </row>
    <row r="241" spans="1:26" x14ac:dyDescent="0.2">
      <c r="A241" t="s">
        <v>100</v>
      </c>
      <c r="B241" s="3">
        <v>45931</v>
      </c>
      <c r="C241" s="3">
        <v>45932</v>
      </c>
      <c r="D241" s="377">
        <v>95</v>
      </c>
      <c r="E241" s="254" t="s">
        <v>138</v>
      </c>
      <c r="F241" s="254" t="s">
        <v>290</v>
      </c>
      <c r="G241" s="254" t="s">
        <v>181</v>
      </c>
      <c r="H241" s="254" t="s">
        <v>116</v>
      </c>
      <c r="I241" s="260"/>
      <c r="J241" s="248">
        <v>41820000</v>
      </c>
      <c r="K241" s="156">
        <f>+Tableau6[[#This Row],[MONTANT HT BIEN]]+Tableau6[[#This Row],[MONTANT HT SERVICE]]</f>
        <v>41820000</v>
      </c>
      <c r="L241" s="10">
        <v>0</v>
      </c>
      <c r="M241" s="10">
        <f>+IFERROR(IF(Tableau6[[#This Row],[CODE TVA]]="TVAF",Tableau6[[#This Row],[MONTANT HT]]*0.18,0),0)</f>
        <v>7527600</v>
      </c>
      <c r="N241" s="10">
        <f>Tableau6[[#This Row],[MONTANT HT]]+Tableau6[[#This Row],[TVA]]-Tableau6[[#This Row],[ACOMPTE SUR HT]]</f>
        <v>49347600</v>
      </c>
      <c r="O241" s="10"/>
      <c r="P241" s="10">
        <f>+ROUND(Tableau6[[#This Row],[MONTANT TTC]]-Tableau6[[#This Row],[ACOMPTE SUR TTC]],0)</f>
        <v>49347600</v>
      </c>
      <c r="Q241" t="s">
        <v>217</v>
      </c>
      <c r="R241" s="4">
        <f>IFERROR(INDEX(Tableau2[[ID BC UNIQUE]:[MONTANT HT VALIDE]],MATCH(Tableau6[[#This Row],[N° BC]],Tableau2[ID BC UNIQUE],0),6),0)</f>
        <v>41820000</v>
      </c>
      <c r="S241" s="225">
        <f>IFERROR(INDEX(Tableau2[[DATE]:[DELAIS DE PAIEMENT FACTURES EN JOUR]],MATCH(Tableau6[[#This Row],[N° BC]],Tableau2[ID BC UNIQUE],0),5),0)</f>
        <v>30</v>
      </c>
      <c r="T241" s="3">
        <f>IF(ISBLANK(Tableau6[[#This Row],[DATE DE DEPOT]]),"",Tableau6[[#This Row],[DATE DE DEPOT]]+Tableau6[[#This Row],[DELAI]])</f>
        <v>45962</v>
      </c>
      <c r="U241" s="225">
        <f ca="1">+IF(AND(W241=0,Tableau6[[#This Row],[DATE LIMITE]]&lt;TODAY()),TODAY()-Tableau6[[#This Row],[DATE LIMITE]],0)</f>
        <v>0</v>
      </c>
      <c r="V24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41" s="231">
        <f>SUMIF(Tableau3[FACTURE],Tableau6[[#This Row],[NUM DE FACTURE]],Tableau3[MONTANT TTC])</f>
        <v>49347600</v>
      </c>
      <c r="X241" s="7"/>
      <c r="Y241" s="90">
        <f>+Tableau6[[#This Row],[NET A PAYER]]-Tableau6[[#This Row],[MONTANT PAYE]]</f>
        <v>0</v>
      </c>
      <c r="Z241"/>
    </row>
    <row r="242" spans="1:26" x14ac:dyDescent="0.2">
      <c r="A242" t="s">
        <v>100</v>
      </c>
      <c r="B242" s="3">
        <v>45931</v>
      </c>
      <c r="C242" s="3">
        <v>45932</v>
      </c>
      <c r="D242" s="377">
        <v>96</v>
      </c>
      <c r="E242" s="254" t="s">
        <v>138</v>
      </c>
      <c r="F242" s="254" t="s">
        <v>285</v>
      </c>
      <c r="G242" s="254" t="s">
        <v>181</v>
      </c>
      <c r="H242" s="254" t="s">
        <v>116</v>
      </c>
      <c r="I242" s="230"/>
      <c r="J242" s="248">
        <v>40900000</v>
      </c>
      <c r="K242" s="156">
        <f>+Tableau6[[#This Row],[MONTANT HT BIEN]]+Tableau6[[#This Row],[MONTANT HT SERVICE]]</f>
        <v>40900000</v>
      </c>
      <c r="L242" s="10">
        <v>0</v>
      </c>
      <c r="M242" s="10">
        <f>+IFERROR(IF(Tableau6[[#This Row],[CODE TVA]]="TVAF",Tableau6[[#This Row],[MONTANT HT]]*0.18,0),0)</f>
        <v>7362000</v>
      </c>
      <c r="N242" s="10">
        <f>Tableau6[[#This Row],[MONTANT HT]]+Tableau6[[#This Row],[TVA]]-Tableau6[[#This Row],[ACOMPTE SUR HT]]</f>
        <v>48262000</v>
      </c>
      <c r="O242" s="10"/>
      <c r="P242" s="10">
        <f>+ROUND(Tableau6[[#This Row],[MONTANT TTC]]-Tableau6[[#This Row],[ACOMPTE SUR TTC]],0)</f>
        <v>48262000</v>
      </c>
      <c r="Q242" t="s">
        <v>218</v>
      </c>
      <c r="R242" s="4">
        <f>IFERROR(INDEX(Tableau2[[ID BC UNIQUE]:[MONTANT HT VALIDE]],MATCH(Tableau6[[#This Row],[N° BC]],Tableau2[ID BC UNIQUE],0),6),0)</f>
        <v>40900000</v>
      </c>
      <c r="S242" s="225">
        <f>IFERROR(INDEX(Tableau2[[DATE]:[DELAIS DE PAIEMENT FACTURES EN JOUR]],MATCH(Tableau6[[#This Row],[N° BC]],Tableau2[ID BC UNIQUE],0),5),0)</f>
        <v>30</v>
      </c>
      <c r="T242" s="3">
        <f>IF(ISBLANK(Tableau6[[#This Row],[DATE DE DEPOT]]),"",Tableau6[[#This Row],[DATE DE DEPOT]]+Tableau6[[#This Row],[DELAI]])</f>
        <v>45962</v>
      </c>
      <c r="U242" s="225">
        <f ca="1">+IF(AND(W242=0,Tableau6[[#This Row],[DATE LIMITE]]&lt;TODAY()),TODAY()-Tableau6[[#This Row],[DATE LIMITE]],0)</f>
        <v>0</v>
      </c>
      <c r="V24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42" s="231">
        <f>SUMIF(Tableau3[FACTURE],Tableau6[[#This Row],[NUM DE FACTURE]],Tableau3[MONTANT TTC])</f>
        <v>48262000</v>
      </c>
      <c r="X242" s="7"/>
      <c r="Y242" s="90">
        <f>+Tableau6[[#This Row],[NET A PAYER]]-Tableau6[[#This Row],[MONTANT PAYE]]</f>
        <v>0</v>
      </c>
      <c r="Z242"/>
    </row>
    <row r="243" spans="1:26" s="393" customFormat="1" x14ac:dyDescent="0.2">
      <c r="A243" t="s">
        <v>100</v>
      </c>
      <c r="B243" s="3">
        <v>45932</v>
      </c>
      <c r="C243" s="3">
        <v>45933</v>
      </c>
      <c r="D243" s="377">
        <v>97</v>
      </c>
      <c r="E243" s="254" t="s">
        <v>102</v>
      </c>
      <c r="F243" s="254" t="s">
        <v>222</v>
      </c>
      <c r="G243" s="254" t="s">
        <v>552</v>
      </c>
      <c r="H243" s="254" t="s">
        <v>116</v>
      </c>
      <c r="I243" s="163">
        <v>7020000</v>
      </c>
      <c r="J243" s="248"/>
      <c r="K243" s="156">
        <f>+Tableau6[[#This Row],[MONTANT HT BIEN]]+Tableau6[[#This Row],[MONTANT HT SERVICE]]</f>
        <v>7020000</v>
      </c>
      <c r="L243" s="10"/>
      <c r="M243" s="10">
        <f>+IFERROR(IF(Tableau6[[#This Row],[CODE TVA]]="TVAF",Tableau6[[#This Row],[MONTANT HT]]*0.18,0),0)</f>
        <v>1263600</v>
      </c>
      <c r="N243" s="10">
        <f>Tableau6[[#This Row],[MONTANT HT]]+Tableau6[[#This Row],[TVA]]-Tableau6[[#This Row],[ACOMPTE SUR HT]]</f>
        <v>8283600</v>
      </c>
      <c r="O243" s="10"/>
      <c r="P243" s="10">
        <f>+ROUND(Tableau6[[#This Row],[MONTANT TTC]]-Tableau6[[#This Row],[ACOMPTE SUR TTC]],0)</f>
        <v>8283600</v>
      </c>
      <c r="Q243" t="s">
        <v>224</v>
      </c>
      <c r="R243" s="4">
        <f>IFERROR(INDEX(Tableau2[[ID BC UNIQUE]:[MONTANT HT VALIDE]],MATCH(Tableau6[[#This Row],[N° BC]],Tableau2[ID BC UNIQUE],0),6),0)</f>
        <v>27820000</v>
      </c>
      <c r="S243" s="225">
        <f>IFERROR(INDEX(Tableau2[[DATE]:[DELAIS DE PAIEMENT FACTURES EN JOUR]],MATCH(Tableau6[[#This Row],[N° BC]],Tableau2[ID BC UNIQUE],0),5),0)</f>
        <v>30</v>
      </c>
      <c r="T243" s="3">
        <f>IF(ISBLANK(Tableau6[[#This Row],[DATE DE DEPOT]]),"",Tableau6[[#This Row],[DATE DE DEPOT]]+Tableau6[[#This Row],[DELAI]])</f>
        <v>45963</v>
      </c>
      <c r="U243" s="225">
        <f ca="1">+IF(AND(W243=0,Tableau6[[#This Row],[DATE LIMITE]]&lt;TODAY()),TODAY()-Tableau6[[#This Row],[DATE LIMITE]],0)</f>
        <v>0</v>
      </c>
      <c r="V24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43" s="231">
        <f>SUMIF(Tableau3[FACTURE],Tableau6[[#This Row],[NUM DE FACTURE]],Tableau3[MONTANT TTC])</f>
        <v>8283600</v>
      </c>
      <c r="X243" s="7"/>
      <c r="Y243" s="90">
        <f>+Tableau6[[#This Row],[NET A PAYER]]-Tableau6[[#This Row],[MONTANT PAYE]]</f>
        <v>0</v>
      </c>
      <c r="Z243"/>
    </row>
    <row r="244" spans="1:26" x14ac:dyDescent="0.2">
      <c r="A244" t="s">
        <v>100</v>
      </c>
      <c r="B244" s="3">
        <v>45932</v>
      </c>
      <c r="C244" s="3">
        <v>45939</v>
      </c>
      <c r="D244" s="377">
        <v>98</v>
      </c>
      <c r="E244" s="254" t="s">
        <v>107</v>
      </c>
      <c r="F244" s="254" t="s">
        <v>223</v>
      </c>
      <c r="G244" s="254" t="s">
        <v>619</v>
      </c>
      <c r="H244" s="254" t="s">
        <v>116</v>
      </c>
      <c r="I244" s="326">
        <v>1840000</v>
      </c>
      <c r="J244" s="248"/>
      <c r="K244" s="156">
        <f>+Tableau6[[#This Row],[MONTANT HT BIEN]]+Tableau6[[#This Row],[MONTANT HT SERVICE]]</f>
        <v>1840000</v>
      </c>
      <c r="L244" s="10">
        <v>0</v>
      </c>
      <c r="M244" s="10">
        <f>+IFERROR(IF(Tableau6[[#This Row],[CODE TVA]]="TVAF",Tableau6[[#This Row],[MONTANT HT]]*0.18,0),0)</f>
        <v>331200</v>
      </c>
      <c r="N244" s="10">
        <f>Tableau6[[#This Row],[MONTANT HT]]+Tableau6[[#This Row],[TVA]]-Tableau6[[#This Row],[ACOMPTE SUR HT]]</f>
        <v>2171200</v>
      </c>
      <c r="O244" s="10"/>
      <c r="P244" s="10">
        <f>+ROUND(Tableau6[[#This Row],[MONTANT TTC]]-Tableau6[[#This Row],[ACOMPTE SUR TTC]],0)</f>
        <v>2171200</v>
      </c>
      <c r="Q244" t="s">
        <v>220</v>
      </c>
      <c r="R244" s="4">
        <f>IFERROR(INDEX(Tableau2[[ID BC UNIQUE]:[MONTANT HT VALIDE]],MATCH(Tableau6[[#This Row],[N° BC]],Tableau2[ID BC UNIQUE],0),6),0)</f>
        <v>1840000</v>
      </c>
      <c r="S244" s="225">
        <f>IFERROR(INDEX(Tableau2[[DATE]:[DELAIS DE PAIEMENT FACTURES EN JOUR]],MATCH(Tableau6[[#This Row],[N° BC]],Tableau2[ID BC UNIQUE],0),5),0)</f>
        <v>0</v>
      </c>
      <c r="T244" s="3">
        <f>IF(ISBLANK(Tableau6[[#This Row],[DATE DE DEPOT]]),"",Tableau6[[#This Row],[DATE DE DEPOT]]+Tableau6[[#This Row],[DELAI]])</f>
        <v>45939</v>
      </c>
      <c r="U244" s="225">
        <f ca="1">+IF(AND(W244=0,Tableau6[[#This Row],[DATE LIMITE]]&lt;TODAY()),TODAY()-Tableau6[[#This Row],[DATE LIMITE]],0)</f>
        <v>0</v>
      </c>
      <c r="V244"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44" s="231">
        <f>SUMIF(Tableau3[FACTURE],Tableau6[[#This Row],[NUM DE FACTURE]],Tableau3[MONTANT TTC])</f>
        <v>2171200</v>
      </c>
      <c r="X244" s="7"/>
      <c r="Y244" s="90">
        <f>+Tableau6[[#This Row],[NET A PAYER]]-Tableau6[[#This Row],[MONTANT PAYE]]</f>
        <v>0</v>
      </c>
      <c r="Z244"/>
    </row>
    <row r="245" spans="1:26" x14ac:dyDescent="0.2">
      <c r="A245" t="s">
        <v>100</v>
      </c>
      <c r="B245" s="3">
        <v>45939</v>
      </c>
      <c r="C245" s="3">
        <v>45940</v>
      </c>
      <c r="D245" s="377">
        <v>101</v>
      </c>
      <c r="E245" s="254" t="s">
        <v>138</v>
      </c>
      <c r="F245" s="254" t="s">
        <v>291</v>
      </c>
      <c r="G245" s="254" t="s">
        <v>179</v>
      </c>
      <c r="H245" s="254" t="s">
        <v>116</v>
      </c>
      <c r="I245" s="230"/>
      <c r="J245" s="248">
        <v>7020000</v>
      </c>
      <c r="K245" s="156">
        <f>+Tableau6[[#This Row],[MONTANT HT BIEN]]+Tableau6[[#This Row],[MONTANT HT SERVICE]]</f>
        <v>7020000</v>
      </c>
      <c r="L245" s="10">
        <v>0</v>
      </c>
      <c r="M245" s="10">
        <f>+IFERROR(IF(Tableau6[[#This Row],[CODE TVA]]="TVAF",Tableau6[[#This Row],[MONTANT HT]]*0.18,0),0)</f>
        <v>1263600</v>
      </c>
      <c r="N245" s="10">
        <f>Tableau6[[#This Row],[MONTANT HT]]+Tableau6[[#This Row],[TVA]]-Tableau6[[#This Row],[ACOMPTE SUR HT]]</f>
        <v>8283600</v>
      </c>
      <c r="O245" s="10"/>
      <c r="P245" s="10">
        <f>+ROUND(Tableau6[[#This Row],[MONTANT TTC]]-Tableau6[[#This Row],[ACOMPTE SUR TTC]],0)</f>
        <v>8283600</v>
      </c>
      <c r="Q245" t="s">
        <v>225</v>
      </c>
      <c r="R245" s="4">
        <f>IFERROR(INDEX(Tableau2[[ID BC UNIQUE]:[MONTANT HT VALIDE]],MATCH(Tableau6[[#This Row],[N° BC]],Tableau2[ID BC UNIQUE],0),6),0)</f>
        <v>7020000</v>
      </c>
      <c r="S245" s="225">
        <f>IFERROR(INDEX(Tableau2[[DATE]:[DELAIS DE PAIEMENT FACTURES EN JOUR]],MATCH(Tableau6[[#This Row],[N° BC]],Tableau2[ID BC UNIQUE],0),5),0)</f>
        <v>30</v>
      </c>
      <c r="T245" s="3">
        <f>IF(ISBLANK(Tableau6[[#This Row],[DATE DE DEPOT]]),"",Tableau6[[#This Row],[DATE DE DEPOT]]+Tableau6[[#This Row],[DELAI]])</f>
        <v>45970</v>
      </c>
      <c r="U245" s="225">
        <f ca="1">+IF(AND(W245=0,Tableau6[[#This Row],[DATE LIMITE]]&lt;TODAY()),TODAY()-Tableau6[[#This Row],[DATE LIMITE]],0)</f>
        <v>0</v>
      </c>
      <c r="V24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45" s="231">
        <f>SUMIF(Tableau3[FACTURE],Tableau6[[#This Row],[NUM DE FACTURE]],Tableau3[MONTANT TTC])</f>
        <v>8283600</v>
      </c>
      <c r="X245" s="7"/>
      <c r="Y245" s="90">
        <f>+Tableau6[[#This Row],[NET A PAYER]]-Tableau6[[#This Row],[MONTANT PAYE]]</f>
        <v>0</v>
      </c>
      <c r="Z245"/>
    </row>
    <row r="246" spans="1:26" x14ac:dyDescent="0.2">
      <c r="A246" t="s">
        <v>100</v>
      </c>
      <c r="B246" s="3">
        <v>45945</v>
      </c>
      <c r="C246" s="3">
        <v>45946</v>
      </c>
      <c r="D246" s="377">
        <v>102</v>
      </c>
      <c r="E246" s="254" t="s">
        <v>138</v>
      </c>
      <c r="F246" s="254" t="s">
        <v>292</v>
      </c>
      <c r="G246" s="254" t="s">
        <v>182</v>
      </c>
      <c r="H246" s="254" t="s">
        <v>116</v>
      </c>
      <c r="I246" s="230"/>
      <c r="J246" s="248">
        <v>7195000</v>
      </c>
      <c r="K246" s="156">
        <f>+Tableau6[[#This Row],[MONTANT HT BIEN]]+Tableau6[[#This Row],[MONTANT HT SERVICE]]</f>
        <v>7195000</v>
      </c>
      <c r="L246" s="10">
        <v>0</v>
      </c>
      <c r="M246" s="10">
        <f>+IFERROR(IF(Tableau6[[#This Row],[CODE TVA]]="TVAF",Tableau6[[#This Row],[MONTANT HT]]*0.18,0),0)</f>
        <v>1295100</v>
      </c>
      <c r="N246" s="10">
        <f>Tableau6[[#This Row],[MONTANT HT]]+Tableau6[[#This Row],[TVA]]-Tableau6[[#This Row],[ACOMPTE SUR HT]]</f>
        <v>8490100</v>
      </c>
      <c r="O246" s="10"/>
      <c r="P246" s="10">
        <f>+ROUND(Tableau6[[#This Row],[MONTANT TTC]]-Tableau6[[#This Row],[ACOMPTE SUR TTC]],0)</f>
        <v>8490100</v>
      </c>
      <c r="Q246" t="s">
        <v>253</v>
      </c>
      <c r="R246" s="4">
        <f>IFERROR(INDEX(Tableau2[[ID BC UNIQUE]:[MONTANT HT VALIDE]],MATCH(Tableau6[[#This Row],[N° BC]],Tableau2[ID BC UNIQUE],0),6),0)</f>
        <v>7195000</v>
      </c>
      <c r="S246" s="225">
        <f>IFERROR(INDEX(Tableau2[[DATE]:[DELAIS DE PAIEMENT FACTURES EN JOUR]],MATCH(Tableau6[[#This Row],[N° BC]],Tableau2[ID BC UNIQUE],0),5),0)</f>
        <v>30</v>
      </c>
      <c r="T246" s="3">
        <f>IF(ISBLANK(Tableau6[[#This Row],[DATE DE DEPOT]]),"",Tableau6[[#This Row],[DATE DE DEPOT]]+Tableau6[[#This Row],[DELAI]])</f>
        <v>45976</v>
      </c>
      <c r="U246" s="225">
        <f ca="1">+IF(AND(W246=0,Tableau6[[#This Row],[DATE LIMITE]]&lt;TODAY()),TODAY()-Tableau6[[#This Row],[DATE LIMITE]],0)</f>
        <v>0</v>
      </c>
      <c r="V246"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46" s="231">
        <f>SUMIF(Tableau3[FACTURE],Tableau6[[#This Row],[NUM DE FACTURE]],Tableau3[MONTANT TTC])</f>
        <v>8490100</v>
      </c>
      <c r="X246" s="7"/>
      <c r="Y246" s="90">
        <f>+Tableau6[[#This Row],[NET A PAYER]]-Tableau6[[#This Row],[MONTANT PAYE]]</f>
        <v>0</v>
      </c>
      <c r="Z246"/>
    </row>
    <row r="247" spans="1:26" x14ac:dyDescent="0.2">
      <c r="A247" t="s">
        <v>100</v>
      </c>
      <c r="B247" s="3">
        <v>45945</v>
      </c>
      <c r="C247" s="3">
        <v>45946</v>
      </c>
      <c r="D247" s="377">
        <v>103</v>
      </c>
      <c r="E247" s="254" t="s">
        <v>138</v>
      </c>
      <c r="F247" s="254" t="s">
        <v>293</v>
      </c>
      <c r="G247" s="254" t="s">
        <v>180</v>
      </c>
      <c r="H247" s="254" t="s">
        <v>116</v>
      </c>
      <c r="I247" s="230"/>
      <c r="J247" s="248">
        <v>6450000</v>
      </c>
      <c r="K247" s="156">
        <f>+Tableau6[[#This Row],[MONTANT HT BIEN]]+Tableau6[[#This Row],[MONTANT HT SERVICE]]</f>
        <v>6450000</v>
      </c>
      <c r="L247" s="10">
        <v>0</v>
      </c>
      <c r="M247" s="10">
        <f>+IFERROR(IF(Tableau6[[#This Row],[CODE TVA]]="TVAF",Tableau6[[#This Row],[MONTANT HT]]*0.18,0),0)</f>
        <v>1161000</v>
      </c>
      <c r="N247" s="10">
        <f>Tableau6[[#This Row],[MONTANT HT]]+Tableau6[[#This Row],[TVA]]-Tableau6[[#This Row],[ACOMPTE SUR HT]]</f>
        <v>7611000</v>
      </c>
      <c r="O247" s="10"/>
      <c r="P247" s="10">
        <f>+ROUND(Tableau6[[#This Row],[MONTANT TTC]]-Tableau6[[#This Row],[ACOMPTE SUR TTC]],0)</f>
        <v>7611000</v>
      </c>
      <c r="Q247" t="s">
        <v>254</v>
      </c>
      <c r="R247" s="4">
        <f>IFERROR(INDEX(Tableau2[[ID BC UNIQUE]:[MONTANT HT VALIDE]],MATCH(Tableau6[[#This Row],[N° BC]],Tableau2[ID BC UNIQUE],0),6),0)</f>
        <v>6450000</v>
      </c>
      <c r="S247" s="225">
        <f>IFERROR(INDEX(Tableau2[[DATE]:[DELAIS DE PAIEMENT FACTURES EN JOUR]],MATCH(Tableau6[[#This Row],[N° BC]],Tableau2[ID BC UNIQUE],0),5),0)</f>
        <v>30</v>
      </c>
      <c r="T247" s="3">
        <f>IF(ISBLANK(Tableau6[[#This Row],[DATE DE DEPOT]]),"",Tableau6[[#This Row],[DATE DE DEPOT]]+Tableau6[[#This Row],[DELAI]])</f>
        <v>45976</v>
      </c>
      <c r="U247" s="225">
        <f ca="1">+IF(AND(W247=0,Tableau6[[#This Row],[DATE LIMITE]]&lt;TODAY()),TODAY()-Tableau6[[#This Row],[DATE LIMITE]],0)</f>
        <v>0</v>
      </c>
      <c r="V247"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47" s="231">
        <f>SUMIF(Tableau3[FACTURE],Tableau6[[#This Row],[NUM DE FACTURE]],Tableau3[MONTANT TTC])</f>
        <v>7611000</v>
      </c>
      <c r="X247" s="7"/>
      <c r="Y247" s="90">
        <f>+Tableau6[[#This Row],[NET A PAYER]]-Tableau6[[#This Row],[MONTANT PAYE]]</f>
        <v>0</v>
      </c>
      <c r="Z247"/>
    </row>
    <row r="248" spans="1:26" x14ac:dyDescent="0.2">
      <c r="A248" t="s">
        <v>100</v>
      </c>
      <c r="B248" s="3">
        <v>45945</v>
      </c>
      <c r="C248" s="3">
        <v>45946</v>
      </c>
      <c r="D248" s="377">
        <v>104</v>
      </c>
      <c r="E248" s="254" t="s">
        <v>138</v>
      </c>
      <c r="F248" s="254" t="s">
        <v>292</v>
      </c>
      <c r="G248" s="254" t="s">
        <v>180</v>
      </c>
      <c r="H248" s="254" t="s">
        <v>116</v>
      </c>
      <c r="I248" s="230"/>
      <c r="J248" s="248">
        <v>7770000</v>
      </c>
      <c r="K248" s="156">
        <f>+Tableau6[[#This Row],[MONTANT HT BIEN]]+Tableau6[[#This Row],[MONTANT HT SERVICE]]</f>
        <v>7770000</v>
      </c>
      <c r="L248" s="10">
        <v>0</v>
      </c>
      <c r="M248" s="10">
        <f>+IFERROR(IF(Tableau6[[#This Row],[CODE TVA]]="TVAF",Tableau6[[#This Row],[MONTANT HT]]*0.18,0),0)</f>
        <v>1398600</v>
      </c>
      <c r="N248" s="10">
        <f>Tableau6[[#This Row],[MONTANT HT]]+Tableau6[[#This Row],[TVA]]-Tableau6[[#This Row],[ACOMPTE SUR HT]]</f>
        <v>9168600</v>
      </c>
      <c r="O248" s="10"/>
      <c r="P248" s="10">
        <f>+ROUND(Tableau6[[#This Row],[MONTANT TTC]]-Tableau6[[#This Row],[ACOMPTE SUR TTC]],0)</f>
        <v>9168600</v>
      </c>
      <c r="Q248" t="s">
        <v>255</v>
      </c>
      <c r="R248" s="4">
        <f>IFERROR(INDEX(Tableau2[[ID BC UNIQUE]:[MONTANT HT VALIDE]],MATCH(Tableau6[[#This Row],[N° BC]],Tableau2[ID BC UNIQUE],0),6),0)</f>
        <v>7770000</v>
      </c>
      <c r="S248" s="225">
        <f>IFERROR(INDEX(Tableau2[[DATE]:[DELAIS DE PAIEMENT FACTURES EN JOUR]],MATCH(Tableau6[[#This Row],[N° BC]],Tableau2[ID BC UNIQUE],0),5),0)</f>
        <v>30</v>
      </c>
      <c r="T248" s="3">
        <f>IF(ISBLANK(Tableau6[[#This Row],[DATE DE DEPOT]]),"",Tableau6[[#This Row],[DATE DE DEPOT]]+Tableau6[[#This Row],[DELAI]])</f>
        <v>45976</v>
      </c>
      <c r="U248" s="225">
        <f ca="1">+IF(AND(W248=0,Tableau6[[#This Row],[DATE LIMITE]]&lt;TODAY()),TODAY()-Tableau6[[#This Row],[DATE LIMITE]],0)</f>
        <v>0</v>
      </c>
      <c r="V2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48" s="231">
        <f>SUMIF(Tableau3[FACTURE],Tableau6[[#This Row],[NUM DE FACTURE]],Tableau3[MONTANT TTC])</f>
        <v>9168600</v>
      </c>
      <c r="X248" s="7"/>
      <c r="Y248" s="90">
        <f>+Tableau6[[#This Row],[NET A PAYER]]-Tableau6[[#This Row],[MONTANT PAYE]]</f>
        <v>0</v>
      </c>
      <c r="Z248"/>
    </row>
    <row r="249" spans="1:26" x14ac:dyDescent="0.2">
      <c r="A249" t="s">
        <v>100</v>
      </c>
      <c r="B249" s="3">
        <v>45945</v>
      </c>
      <c r="C249" s="3">
        <v>45946</v>
      </c>
      <c r="D249" s="377">
        <v>105</v>
      </c>
      <c r="E249" s="254" t="s">
        <v>138</v>
      </c>
      <c r="F249" s="254" t="s">
        <v>294</v>
      </c>
      <c r="G249" s="254" t="s">
        <v>180</v>
      </c>
      <c r="H249" s="254" t="s">
        <v>116</v>
      </c>
      <c r="I249" s="230"/>
      <c r="J249" s="248">
        <v>35447400</v>
      </c>
      <c r="K249" s="156">
        <f>+Tableau6[[#This Row],[MONTANT HT BIEN]]+Tableau6[[#This Row],[MONTANT HT SERVICE]]</f>
        <v>35447400</v>
      </c>
      <c r="L249" s="10">
        <v>0</v>
      </c>
      <c r="M249" s="10">
        <f>+IFERROR(IF(Tableau6[[#This Row],[CODE TVA]]="TVAF",Tableau6[[#This Row],[MONTANT HT]]*0.18,0),0)</f>
        <v>6380532</v>
      </c>
      <c r="N249" s="10">
        <f>Tableau6[[#This Row],[MONTANT HT]]+Tableau6[[#This Row],[TVA]]-Tableau6[[#This Row],[ACOMPTE SUR HT]]</f>
        <v>41827932</v>
      </c>
      <c r="O249" s="10"/>
      <c r="P249" s="10">
        <f>+ROUND(Tableau6[[#This Row],[MONTANT TTC]]-Tableau6[[#This Row],[ACOMPTE SUR TTC]],0)</f>
        <v>41827932</v>
      </c>
      <c r="Q249" t="s">
        <v>256</v>
      </c>
      <c r="R249" s="4">
        <f>IFERROR(INDEX(Tableau2[[ID BC UNIQUE]:[MONTANT HT VALIDE]],MATCH(Tableau6[[#This Row],[N° BC]],Tableau2[ID BC UNIQUE],0),6),0)</f>
        <v>35447400</v>
      </c>
      <c r="S249" s="225">
        <f>IFERROR(INDEX(Tableau2[[DATE]:[DELAIS DE PAIEMENT FACTURES EN JOUR]],MATCH(Tableau6[[#This Row],[N° BC]],Tableau2[ID BC UNIQUE],0),5),0)</f>
        <v>30</v>
      </c>
      <c r="T249" s="3">
        <f>IF(ISBLANK(Tableau6[[#This Row],[DATE DE DEPOT]]),"",Tableau6[[#This Row],[DATE DE DEPOT]]+Tableau6[[#This Row],[DELAI]])</f>
        <v>45976</v>
      </c>
      <c r="U249" s="225">
        <f ca="1">+IF(AND(W249=0,Tableau6[[#This Row],[DATE LIMITE]]&lt;TODAY()),TODAY()-Tableau6[[#This Row],[DATE LIMITE]],0)</f>
        <v>0</v>
      </c>
      <c r="V249"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49" s="231">
        <f>SUMIF(Tableau3[FACTURE],Tableau6[[#This Row],[NUM DE FACTURE]],Tableau3[MONTANT TTC])</f>
        <v>41827932</v>
      </c>
      <c r="X249" s="7"/>
      <c r="Y249" s="90">
        <f>+Tableau6[[#This Row],[NET A PAYER]]-Tableau6[[#This Row],[MONTANT PAYE]]</f>
        <v>0</v>
      </c>
      <c r="Z249"/>
    </row>
    <row r="250" spans="1:26" x14ac:dyDescent="0.2">
      <c r="A250" t="s">
        <v>100</v>
      </c>
      <c r="B250" s="3">
        <v>45945</v>
      </c>
      <c r="C250" s="3">
        <v>45946</v>
      </c>
      <c r="D250" s="377">
        <v>106</v>
      </c>
      <c r="E250" s="254" t="s">
        <v>138</v>
      </c>
      <c r="F250" s="254" t="s">
        <v>295</v>
      </c>
      <c r="G250" s="254" t="s">
        <v>186</v>
      </c>
      <c r="H250" s="254" t="s">
        <v>116</v>
      </c>
      <c r="I250" s="230"/>
      <c r="J250" s="248">
        <v>23360009</v>
      </c>
      <c r="K250" s="156">
        <f>+Tableau6[[#This Row],[MONTANT HT BIEN]]+Tableau6[[#This Row],[MONTANT HT SERVICE]]</f>
        <v>23360009</v>
      </c>
      <c r="L250" s="10">
        <v>0</v>
      </c>
      <c r="M250" s="10">
        <f>+IFERROR(IF(Tableau6[[#This Row],[CODE TVA]]="TVAF",Tableau6[[#This Row],[MONTANT HT]]*0.18,0),0)</f>
        <v>4204801.62</v>
      </c>
      <c r="N250" s="10">
        <f>Tableau6[[#This Row],[MONTANT HT]]+Tableau6[[#This Row],[TVA]]-Tableau6[[#This Row],[ACOMPTE SUR HT]]</f>
        <v>27564810.620000001</v>
      </c>
      <c r="O250" s="10"/>
      <c r="P250" s="10">
        <f>+ROUND(Tableau6[[#This Row],[MONTANT TTC]]-Tableau6[[#This Row],[ACOMPTE SUR TTC]],0)</f>
        <v>27564811</v>
      </c>
      <c r="Q250" t="s">
        <v>257</v>
      </c>
      <c r="R250" s="4">
        <f>IFERROR(INDEX(Tableau2[[ID BC UNIQUE]:[MONTANT HT VALIDE]],MATCH(Tableau6[[#This Row],[N° BC]],Tableau2[ID BC UNIQUE],0),6),0)</f>
        <v>23360009</v>
      </c>
      <c r="S250" s="225">
        <f>IFERROR(INDEX(Tableau2[[DATE]:[DELAIS DE PAIEMENT FACTURES EN JOUR]],MATCH(Tableau6[[#This Row],[N° BC]],Tableau2[ID BC UNIQUE],0),5),0)</f>
        <v>30</v>
      </c>
      <c r="T250" s="3">
        <f>IF(ISBLANK(Tableau6[[#This Row],[DATE DE DEPOT]]),"",Tableau6[[#This Row],[DATE DE DEPOT]]+Tableau6[[#This Row],[DELAI]])</f>
        <v>45976</v>
      </c>
      <c r="U250" s="225">
        <f ca="1">+IF(AND(W250=0,Tableau6[[#This Row],[DATE LIMITE]]&lt;TODAY()),TODAY()-Tableau6[[#This Row],[DATE LIMITE]],0)</f>
        <v>0</v>
      </c>
      <c r="V25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50" s="231">
        <f>SUMIF(Tableau3[FACTURE],Tableau6[[#This Row],[NUM DE FACTURE]],Tableau3[MONTANT TTC])</f>
        <v>27564811</v>
      </c>
      <c r="X250" s="7"/>
      <c r="Y250" s="90">
        <f>+Tableau6[[#This Row],[NET A PAYER]]-Tableau6[[#This Row],[MONTANT PAYE]]</f>
        <v>0</v>
      </c>
      <c r="Z250"/>
    </row>
    <row r="251" spans="1:26" x14ac:dyDescent="0.2">
      <c r="A251" t="s">
        <v>100</v>
      </c>
      <c r="B251" s="3">
        <v>45945</v>
      </c>
      <c r="C251" s="3">
        <v>45946</v>
      </c>
      <c r="D251" s="377">
        <v>107</v>
      </c>
      <c r="E251" s="254" t="s">
        <v>138</v>
      </c>
      <c r="F251" s="254" t="s">
        <v>296</v>
      </c>
      <c r="G251" s="254" t="s">
        <v>190</v>
      </c>
      <c r="H251" s="254" t="s">
        <v>116</v>
      </c>
      <c r="I251" s="230"/>
      <c r="J251" s="248">
        <v>10595000</v>
      </c>
      <c r="K251" s="156">
        <f>+Tableau6[[#This Row],[MONTANT HT BIEN]]+Tableau6[[#This Row],[MONTANT HT SERVICE]]</f>
        <v>10595000</v>
      </c>
      <c r="L251" s="10">
        <v>0</v>
      </c>
      <c r="M251" s="10">
        <f>+IFERROR(IF(Tableau6[[#This Row],[CODE TVA]]="TVAF",Tableau6[[#This Row],[MONTANT HT]]*0.18,0),0)</f>
        <v>1907100</v>
      </c>
      <c r="N251" s="10">
        <f>Tableau6[[#This Row],[MONTANT HT]]+Tableau6[[#This Row],[TVA]]-Tableau6[[#This Row],[ACOMPTE SUR HT]]</f>
        <v>12502100</v>
      </c>
      <c r="O251" s="10"/>
      <c r="P251" s="10">
        <f>+ROUND(Tableau6[[#This Row],[MONTANT TTC]]-Tableau6[[#This Row],[ACOMPTE SUR TTC]],0)</f>
        <v>12502100</v>
      </c>
      <c r="Q251" t="s">
        <v>258</v>
      </c>
      <c r="R251" s="4">
        <f>IFERROR(INDEX(Tableau2[[ID BC UNIQUE]:[MONTANT HT VALIDE]],MATCH(Tableau6[[#This Row],[N° BC]],Tableau2[ID BC UNIQUE],0),6),0)</f>
        <v>10595000</v>
      </c>
      <c r="S251" s="225">
        <f>IFERROR(INDEX(Tableau2[[DATE]:[DELAIS DE PAIEMENT FACTURES EN JOUR]],MATCH(Tableau6[[#This Row],[N° BC]],Tableau2[ID BC UNIQUE],0),5),0)</f>
        <v>30</v>
      </c>
      <c r="T251" s="3">
        <f>IF(ISBLANK(Tableau6[[#This Row],[DATE DE DEPOT]]),"",Tableau6[[#This Row],[DATE DE DEPOT]]+Tableau6[[#This Row],[DELAI]])</f>
        <v>45976</v>
      </c>
      <c r="U251" s="225">
        <f ca="1">+IF(AND(W251=0,Tableau6[[#This Row],[DATE LIMITE]]&lt;TODAY()),TODAY()-Tableau6[[#This Row],[DATE LIMITE]],0)</f>
        <v>0</v>
      </c>
      <c r="V25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51" s="231">
        <f>SUMIF(Tableau3[FACTURE],Tableau6[[#This Row],[NUM DE FACTURE]],Tableau3[MONTANT TTC])</f>
        <v>12502100</v>
      </c>
      <c r="X251" s="7"/>
      <c r="Y251" s="90">
        <f>+Tableau6[[#This Row],[NET A PAYER]]-Tableau6[[#This Row],[MONTANT PAYE]]</f>
        <v>0</v>
      </c>
      <c r="Z251"/>
    </row>
    <row r="252" spans="1:26" x14ac:dyDescent="0.2">
      <c r="A252" t="s">
        <v>100</v>
      </c>
      <c r="B252" s="3">
        <v>45945</v>
      </c>
      <c r="C252" s="3">
        <v>45946</v>
      </c>
      <c r="D252" s="377">
        <v>108</v>
      </c>
      <c r="E252" s="254" t="s">
        <v>138</v>
      </c>
      <c r="F252" s="254" t="s">
        <v>296</v>
      </c>
      <c r="G252" s="254" t="s">
        <v>178</v>
      </c>
      <c r="H252" s="254" t="s">
        <v>116</v>
      </c>
      <c r="I252" s="230"/>
      <c r="J252" s="248">
        <v>8580016</v>
      </c>
      <c r="K252" s="156">
        <f>+Tableau6[[#This Row],[MONTANT HT BIEN]]+Tableau6[[#This Row],[MONTANT HT SERVICE]]</f>
        <v>8580016</v>
      </c>
      <c r="L252" s="10">
        <v>0</v>
      </c>
      <c r="M252" s="10">
        <f>+IFERROR(IF(Tableau6[[#This Row],[CODE TVA]]="TVAF",Tableau6[[#This Row],[MONTANT HT]]*0.18,0),0)</f>
        <v>1544402.88</v>
      </c>
      <c r="N252" s="10">
        <f>Tableau6[[#This Row],[MONTANT HT]]+Tableau6[[#This Row],[TVA]]-Tableau6[[#This Row],[ACOMPTE SUR HT]]</f>
        <v>10124418.879999999</v>
      </c>
      <c r="O252" s="10"/>
      <c r="P252" s="10">
        <f>+ROUND(Tableau6[[#This Row],[MONTANT TTC]]-Tableau6[[#This Row],[ACOMPTE SUR TTC]],0)</f>
        <v>10124419</v>
      </c>
      <c r="Q252" t="s">
        <v>259</v>
      </c>
      <c r="R252" s="4">
        <f>IFERROR(INDEX(Tableau2[[ID BC UNIQUE]:[MONTANT HT VALIDE]],MATCH(Tableau6[[#This Row],[N° BC]],Tableau2[ID BC UNIQUE],0),6),0)</f>
        <v>8580016</v>
      </c>
      <c r="S252" s="225">
        <f>IFERROR(INDEX(Tableau2[[DATE]:[DELAIS DE PAIEMENT FACTURES EN JOUR]],MATCH(Tableau6[[#This Row],[N° BC]],Tableau2[ID BC UNIQUE],0),5),0)</f>
        <v>30</v>
      </c>
      <c r="T252" s="3">
        <f>IF(ISBLANK(Tableau6[[#This Row],[DATE DE DEPOT]]),"",Tableau6[[#This Row],[DATE DE DEPOT]]+Tableau6[[#This Row],[DELAI]])</f>
        <v>45976</v>
      </c>
      <c r="U252" s="225">
        <f ca="1">+IF(AND(W252=0,Tableau6[[#This Row],[DATE LIMITE]]&lt;TODAY()),TODAY()-Tableau6[[#This Row],[DATE LIMITE]],0)</f>
        <v>0</v>
      </c>
      <c r="V25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52" s="231">
        <f>SUMIF(Tableau3[FACTURE],Tableau6[[#This Row],[NUM DE FACTURE]],Tableau3[MONTANT TTC])</f>
        <v>10124419</v>
      </c>
      <c r="X252" s="7"/>
      <c r="Y252" s="90">
        <f>+Tableau6[[#This Row],[NET A PAYER]]-Tableau6[[#This Row],[MONTANT PAYE]]</f>
        <v>0</v>
      </c>
      <c r="Z252"/>
    </row>
    <row r="253" spans="1:26" x14ac:dyDescent="0.2">
      <c r="A253" t="s">
        <v>100</v>
      </c>
      <c r="B253" s="3">
        <v>45945</v>
      </c>
      <c r="C253" s="3">
        <v>45946</v>
      </c>
      <c r="D253" s="377">
        <v>109</v>
      </c>
      <c r="E253" s="254" t="s">
        <v>138</v>
      </c>
      <c r="F253" s="254" t="s">
        <v>295</v>
      </c>
      <c r="G253" s="254" t="s">
        <v>190</v>
      </c>
      <c r="H253" s="254" t="s">
        <v>116</v>
      </c>
      <c r="I253" s="230"/>
      <c r="J253" s="248">
        <v>11710000</v>
      </c>
      <c r="K253" s="156">
        <f>+Tableau6[[#This Row],[MONTANT HT BIEN]]+Tableau6[[#This Row],[MONTANT HT SERVICE]]</f>
        <v>11710000</v>
      </c>
      <c r="L253" s="10">
        <v>0</v>
      </c>
      <c r="M253" s="10">
        <f>+IFERROR(IF(Tableau6[[#This Row],[CODE TVA]]="TVAF",Tableau6[[#This Row],[MONTANT HT]]*0.18,0),0)</f>
        <v>2107800</v>
      </c>
      <c r="N253" s="10">
        <f>Tableau6[[#This Row],[MONTANT HT]]+Tableau6[[#This Row],[TVA]]-Tableau6[[#This Row],[ACOMPTE SUR HT]]</f>
        <v>13817800</v>
      </c>
      <c r="O253" s="10"/>
      <c r="P253" s="10">
        <f>+ROUND(Tableau6[[#This Row],[MONTANT TTC]]-Tableau6[[#This Row],[ACOMPTE SUR TTC]],0)</f>
        <v>13817800</v>
      </c>
      <c r="Q253" t="s">
        <v>260</v>
      </c>
      <c r="R253" s="4">
        <f>IFERROR(INDEX(Tableau2[[ID BC UNIQUE]:[MONTANT HT VALIDE]],MATCH(Tableau6[[#This Row],[N° BC]],Tableau2[ID BC UNIQUE],0),6),0)</f>
        <v>11710000</v>
      </c>
      <c r="S253" s="225">
        <f>IFERROR(INDEX(Tableau2[[DATE]:[DELAIS DE PAIEMENT FACTURES EN JOUR]],MATCH(Tableau6[[#This Row],[N° BC]],Tableau2[ID BC UNIQUE],0),5),0)</f>
        <v>30</v>
      </c>
      <c r="T253" s="3">
        <f>IF(ISBLANK(Tableau6[[#This Row],[DATE DE DEPOT]]),"",Tableau6[[#This Row],[DATE DE DEPOT]]+Tableau6[[#This Row],[DELAI]])</f>
        <v>45976</v>
      </c>
      <c r="U253" s="225">
        <f ca="1">+IF(AND(W253=0,Tableau6[[#This Row],[DATE LIMITE]]&lt;TODAY()),TODAY()-Tableau6[[#This Row],[DATE LIMITE]],0)</f>
        <v>0</v>
      </c>
      <c r="V25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53" s="231">
        <f>SUMIF(Tableau3[FACTURE],Tableau6[[#This Row],[NUM DE FACTURE]],Tableau3[MONTANT TTC])</f>
        <v>13817800</v>
      </c>
      <c r="X253" s="7"/>
      <c r="Y253" s="90">
        <f>+Tableau6[[#This Row],[NET A PAYER]]-Tableau6[[#This Row],[MONTANT PAYE]]</f>
        <v>0</v>
      </c>
      <c r="Z253"/>
    </row>
    <row r="254" spans="1:26" x14ac:dyDescent="0.2">
      <c r="A254" t="s">
        <v>100</v>
      </c>
      <c r="B254" s="3">
        <v>45959</v>
      </c>
      <c r="C254" s="3">
        <v>45959</v>
      </c>
      <c r="D254" s="377">
        <v>111</v>
      </c>
      <c r="E254" s="254" t="s">
        <v>138</v>
      </c>
      <c r="F254" s="254" t="s">
        <v>297</v>
      </c>
      <c r="G254" s="254" t="s">
        <v>182</v>
      </c>
      <c r="H254" s="254" t="s">
        <v>116</v>
      </c>
      <c r="I254" s="230"/>
      <c r="J254" s="248">
        <v>1840000</v>
      </c>
      <c r="K254" s="156">
        <f>+Tableau6[[#This Row],[MONTANT HT BIEN]]+Tableau6[[#This Row],[MONTANT HT SERVICE]]</f>
        <v>1840000</v>
      </c>
      <c r="L254" s="10">
        <v>0</v>
      </c>
      <c r="M254" s="10">
        <f>+IFERROR(IF(Tableau6[[#This Row],[CODE TVA]]="TVAF",Tableau6[[#This Row],[MONTANT HT]]*0.18,0),0)</f>
        <v>331200</v>
      </c>
      <c r="N254" s="10">
        <f>Tableau6[[#This Row],[MONTANT HT]]+Tableau6[[#This Row],[TVA]]-Tableau6[[#This Row],[ACOMPTE SUR HT]]</f>
        <v>2171200</v>
      </c>
      <c r="O254" s="10"/>
      <c r="P254" s="10">
        <f>+ROUND(Tableau6[[#This Row],[MONTANT TTC]]-Tableau6[[#This Row],[ACOMPTE SUR TTC]],0)</f>
        <v>2171200</v>
      </c>
      <c r="Q254" t="s">
        <v>267</v>
      </c>
      <c r="R254" s="4">
        <f>IFERROR(INDEX(Tableau2[[ID BC UNIQUE]:[MONTANT HT VALIDE]],MATCH(Tableau6[[#This Row],[N° BC]],Tableau2[ID BC UNIQUE],0),6),0)</f>
        <v>1840000</v>
      </c>
      <c r="S254" s="225">
        <f>IFERROR(INDEX(Tableau2[[DATE]:[DELAIS DE PAIEMENT FACTURES EN JOUR]],MATCH(Tableau6[[#This Row],[N° BC]],Tableau2[ID BC UNIQUE],0),5),0)</f>
        <v>30</v>
      </c>
      <c r="T254" s="3">
        <f>IF(ISBLANK(Tableau6[[#This Row],[DATE DE DEPOT]]),"",Tableau6[[#This Row],[DATE DE DEPOT]]+Tableau6[[#This Row],[DELAI]])</f>
        <v>45989</v>
      </c>
      <c r="U254" s="225">
        <f ca="1">+IF(AND(W254=0,Tableau6[[#This Row],[DATE LIMITE]]&lt;TODAY()),TODAY()-Tableau6[[#This Row],[DATE LIMITE]],0)</f>
        <v>0</v>
      </c>
      <c r="V254"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54" s="231">
        <f>SUMIF(Tableau3[FACTURE],Tableau6[[#This Row],[NUM DE FACTURE]],Tableau3[MONTANT TTC])</f>
        <v>2171200</v>
      </c>
      <c r="X254" s="7"/>
      <c r="Y254" s="90">
        <f>+Tableau6[[#This Row],[NET A PAYER]]-Tableau6[[#This Row],[MONTANT PAYE]]</f>
        <v>0</v>
      </c>
      <c r="Z254"/>
    </row>
    <row r="255" spans="1:26" x14ac:dyDescent="0.2">
      <c r="A255" t="s">
        <v>100</v>
      </c>
      <c r="B255" s="3">
        <v>45959</v>
      </c>
      <c r="C255" s="3">
        <v>45959</v>
      </c>
      <c r="D255" s="377">
        <v>112</v>
      </c>
      <c r="E255" s="254" t="s">
        <v>138</v>
      </c>
      <c r="F255" s="254" t="s">
        <v>289</v>
      </c>
      <c r="G255" s="254" t="s">
        <v>183</v>
      </c>
      <c r="H255" s="254" t="s">
        <v>116</v>
      </c>
      <c r="I255" s="230"/>
      <c r="J255" s="248">
        <v>1890000</v>
      </c>
      <c r="K255" s="156">
        <f>+Tableau6[[#This Row],[MONTANT HT BIEN]]+Tableau6[[#This Row],[MONTANT HT SERVICE]]</f>
        <v>1890000</v>
      </c>
      <c r="L255" s="10">
        <v>0</v>
      </c>
      <c r="M255" s="10">
        <f>+IFERROR(IF(Tableau6[[#This Row],[CODE TVA]]="TVAF",Tableau6[[#This Row],[MONTANT HT]]*0.18,0),0)</f>
        <v>340200</v>
      </c>
      <c r="N255" s="10">
        <f>Tableau6[[#This Row],[MONTANT HT]]+Tableau6[[#This Row],[TVA]]-Tableau6[[#This Row],[ACOMPTE SUR HT]]</f>
        <v>2230200</v>
      </c>
      <c r="O255" s="10"/>
      <c r="P255" s="10">
        <f>+ROUND(Tableau6[[#This Row],[MONTANT TTC]]-Tableau6[[#This Row],[ACOMPTE SUR TTC]],0)</f>
        <v>2230200</v>
      </c>
      <c r="Q255" t="s">
        <v>268</v>
      </c>
      <c r="R255" s="4">
        <f>IFERROR(INDEX(Tableau2[[ID BC UNIQUE]:[MONTANT HT VALIDE]],MATCH(Tableau6[[#This Row],[N° BC]],Tableau2[ID BC UNIQUE],0),6),0)</f>
        <v>1890000</v>
      </c>
      <c r="S255" s="225">
        <f>IFERROR(INDEX(Tableau2[[DATE]:[DELAIS DE PAIEMENT FACTURES EN JOUR]],MATCH(Tableau6[[#This Row],[N° BC]],Tableau2[ID BC UNIQUE],0),5),0)</f>
        <v>30</v>
      </c>
      <c r="T255" s="3">
        <f>IF(ISBLANK(Tableau6[[#This Row],[DATE DE DEPOT]]),"",Tableau6[[#This Row],[DATE DE DEPOT]]+Tableau6[[#This Row],[DELAI]])</f>
        <v>45989</v>
      </c>
      <c r="U255" s="225">
        <f ca="1">+IF(AND(W255=0,Tableau6[[#This Row],[DATE LIMITE]]&lt;TODAY()),TODAY()-Tableau6[[#This Row],[DATE LIMITE]],0)</f>
        <v>0</v>
      </c>
      <c r="V25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55" s="231">
        <f>SUMIF(Tableau3[FACTURE],Tableau6[[#This Row],[NUM DE FACTURE]],Tableau3[MONTANT TTC])</f>
        <v>2230200</v>
      </c>
      <c r="X255" s="7"/>
      <c r="Y255" s="90">
        <f>+Tableau6[[#This Row],[NET A PAYER]]-Tableau6[[#This Row],[MONTANT PAYE]]</f>
        <v>0</v>
      </c>
      <c r="Z255"/>
    </row>
    <row r="256" spans="1:26" x14ac:dyDescent="0.2">
      <c r="A256" t="s">
        <v>100</v>
      </c>
      <c r="B256" s="3">
        <v>45959</v>
      </c>
      <c r="C256" s="3">
        <v>45973</v>
      </c>
      <c r="D256" s="377">
        <v>113</v>
      </c>
      <c r="E256" s="254" t="s">
        <v>138</v>
      </c>
      <c r="F256" s="254" t="s">
        <v>289</v>
      </c>
      <c r="G256" s="254" t="s">
        <v>183</v>
      </c>
      <c r="H256" s="254" t="s">
        <v>116</v>
      </c>
      <c r="I256" s="230"/>
      <c r="J256" s="248">
        <v>200000</v>
      </c>
      <c r="K256" s="156">
        <f>+Tableau6[[#This Row],[MONTANT HT BIEN]]+Tableau6[[#This Row],[MONTANT HT SERVICE]]</f>
        <v>200000</v>
      </c>
      <c r="L256" s="10">
        <v>0</v>
      </c>
      <c r="M256" s="10">
        <f>+IFERROR(IF(Tableau6[[#This Row],[CODE TVA]]="TVAF",Tableau6[[#This Row],[MONTANT HT]]*0.18,0),0)</f>
        <v>36000</v>
      </c>
      <c r="N256" s="10">
        <f>Tableau6[[#This Row],[MONTANT HT]]+Tableau6[[#This Row],[TVA]]-Tableau6[[#This Row],[ACOMPTE SUR HT]]</f>
        <v>236000</v>
      </c>
      <c r="O256" s="10"/>
      <c r="P256" s="10">
        <f>+ROUND(Tableau6[[#This Row],[MONTANT TTC]]-Tableau6[[#This Row],[ACOMPTE SUR TTC]],0)</f>
        <v>236000</v>
      </c>
      <c r="Q256" t="s">
        <v>274</v>
      </c>
      <c r="R256" s="4">
        <f>IFERROR(INDEX(Tableau2[[ID BC UNIQUE]:[MONTANT HT VALIDE]],MATCH(Tableau6[[#This Row],[N° BC]],Tableau2[ID BC UNIQUE],0),6),0)</f>
        <v>200000</v>
      </c>
      <c r="S256" s="225">
        <f>IFERROR(INDEX(Tableau2[[DATE]:[DELAIS DE PAIEMENT FACTURES EN JOUR]],MATCH(Tableau6[[#This Row],[N° BC]],Tableau2[ID BC UNIQUE],0),5),0)</f>
        <v>30</v>
      </c>
      <c r="T256" s="3">
        <f>IF(ISBLANK(Tableau6[[#This Row],[DATE DE DEPOT]]),"",Tableau6[[#This Row],[DATE DE DEPOT]]+Tableau6[[#This Row],[DELAI]])</f>
        <v>46003</v>
      </c>
      <c r="U256" s="225">
        <f ca="1">+IF(AND(W256=0,Tableau6[[#This Row],[DATE LIMITE]]&lt;TODAY()),TODAY()-Tableau6[[#This Row],[DATE LIMITE]],0)</f>
        <v>0</v>
      </c>
      <c r="V256"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56" s="231">
        <f>SUMIF(Tableau3[FACTURE],Tableau6[[#This Row],[NUM DE FACTURE]],Tableau3[MONTANT TTC])</f>
        <v>236000</v>
      </c>
      <c r="X256" s="7"/>
      <c r="Y256" s="90">
        <f>+Tableau6[[#This Row],[NET A PAYER]]-Tableau6[[#This Row],[MONTANT PAYE]]</f>
        <v>0</v>
      </c>
      <c r="Z256"/>
    </row>
    <row r="257" spans="1:26" x14ac:dyDescent="0.2">
      <c r="A257" t="s">
        <v>100</v>
      </c>
      <c r="B257" s="3">
        <v>45959</v>
      </c>
      <c r="C257" s="3">
        <v>45959</v>
      </c>
      <c r="D257" s="377">
        <v>114</v>
      </c>
      <c r="E257" s="254" t="s">
        <v>138</v>
      </c>
      <c r="F257" s="254" t="s">
        <v>298</v>
      </c>
      <c r="G257" s="254" t="s">
        <v>183</v>
      </c>
      <c r="H257" s="254" t="s">
        <v>116</v>
      </c>
      <c r="I257" s="230"/>
      <c r="J257" s="248">
        <v>3780000</v>
      </c>
      <c r="K257" s="156">
        <f>+Tableau6[[#This Row],[MONTANT HT BIEN]]+Tableau6[[#This Row],[MONTANT HT SERVICE]]</f>
        <v>3780000</v>
      </c>
      <c r="L257" s="10">
        <v>0</v>
      </c>
      <c r="M257" s="10">
        <f>+IFERROR(IF(Tableau6[[#This Row],[CODE TVA]]="TVAF",Tableau6[[#This Row],[MONTANT HT]]*0.18,0),0)</f>
        <v>680400</v>
      </c>
      <c r="N257" s="10">
        <f>Tableau6[[#This Row],[MONTANT HT]]+Tableau6[[#This Row],[TVA]]-Tableau6[[#This Row],[ACOMPTE SUR HT]]</f>
        <v>4460400</v>
      </c>
      <c r="O257" s="10"/>
      <c r="P257" s="10">
        <f>+ROUND(Tableau6[[#This Row],[MONTANT TTC]]-Tableau6[[#This Row],[ACOMPTE SUR TTC]],0)</f>
        <v>4460400</v>
      </c>
      <c r="Q257" t="s">
        <v>269</v>
      </c>
      <c r="R257" s="4">
        <f>IFERROR(INDEX(Tableau2[[ID BC UNIQUE]:[MONTANT HT VALIDE]],MATCH(Tableau6[[#This Row],[N° BC]],Tableau2[ID BC UNIQUE],0),6),0)</f>
        <v>3780000</v>
      </c>
      <c r="S257" s="225">
        <f>IFERROR(INDEX(Tableau2[[DATE]:[DELAIS DE PAIEMENT FACTURES EN JOUR]],MATCH(Tableau6[[#This Row],[N° BC]],Tableau2[ID BC UNIQUE],0),5),0)</f>
        <v>30</v>
      </c>
      <c r="T257" s="3">
        <f>IF(ISBLANK(Tableau6[[#This Row],[DATE DE DEPOT]]),"",Tableau6[[#This Row],[DATE DE DEPOT]]+Tableau6[[#This Row],[DELAI]])</f>
        <v>45989</v>
      </c>
      <c r="U257" s="225">
        <f ca="1">+IF(AND(W257=0,Tableau6[[#This Row],[DATE LIMITE]]&lt;TODAY()),TODAY()-Tableau6[[#This Row],[DATE LIMITE]],0)</f>
        <v>0</v>
      </c>
      <c r="V257"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57" s="231">
        <f>SUMIF(Tableau3[FACTURE],Tableau6[[#This Row],[NUM DE FACTURE]],Tableau3[MONTANT TTC])</f>
        <v>4460400</v>
      </c>
      <c r="X257" s="7"/>
      <c r="Y257" s="90">
        <f>+Tableau6[[#This Row],[NET A PAYER]]-Tableau6[[#This Row],[MONTANT PAYE]]</f>
        <v>0</v>
      </c>
      <c r="Z257"/>
    </row>
    <row r="258" spans="1:26" x14ac:dyDescent="0.2">
      <c r="A258" t="s">
        <v>100</v>
      </c>
      <c r="B258" s="3">
        <v>45959</v>
      </c>
      <c r="C258" s="3">
        <v>45960</v>
      </c>
      <c r="D258" s="377">
        <v>115</v>
      </c>
      <c r="E258" s="254" t="s">
        <v>138</v>
      </c>
      <c r="F258" s="254" t="s">
        <v>299</v>
      </c>
      <c r="G258" s="254" t="s">
        <v>180</v>
      </c>
      <c r="H258" s="254" t="s">
        <v>116</v>
      </c>
      <c r="I258" s="230"/>
      <c r="J258" s="248">
        <v>21973200</v>
      </c>
      <c r="K258" s="156">
        <f>+Tableau6[[#This Row],[MONTANT HT BIEN]]+Tableau6[[#This Row],[MONTANT HT SERVICE]]</f>
        <v>21973200</v>
      </c>
      <c r="L258" s="10">
        <v>0</v>
      </c>
      <c r="M258" s="10">
        <f>+IFERROR(IF(Tableau6[[#This Row],[CODE TVA]]="TVAF",Tableau6[[#This Row],[MONTANT HT]]*0.18,0),0)</f>
        <v>3955176</v>
      </c>
      <c r="N258" s="10">
        <f>Tableau6[[#This Row],[MONTANT HT]]+Tableau6[[#This Row],[TVA]]-Tableau6[[#This Row],[ACOMPTE SUR HT]]</f>
        <v>25928376</v>
      </c>
      <c r="O258" s="10"/>
      <c r="P258" s="10">
        <f>+ROUND(Tableau6[[#This Row],[MONTANT TTC]]-Tableau6[[#This Row],[ACOMPTE SUR TTC]],0)</f>
        <v>25928376</v>
      </c>
      <c r="Q258" t="s">
        <v>266</v>
      </c>
      <c r="R258" s="4">
        <f>IFERROR(INDEX(Tableau2[[ID BC UNIQUE]:[MONTANT HT VALIDE]],MATCH(Tableau6[[#This Row],[N° BC]],Tableau2[ID BC UNIQUE],0),6),0)</f>
        <v>21973200</v>
      </c>
      <c r="S258" s="225">
        <f>IFERROR(INDEX(Tableau2[[DATE]:[DELAIS DE PAIEMENT FACTURES EN JOUR]],MATCH(Tableau6[[#This Row],[N° BC]],Tableau2[ID BC UNIQUE],0),5),0)</f>
        <v>30</v>
      </c>
      <c r="T258" s="3">
        <f>IF(ISBLANK(Tableau6[[#This Row],[DATE DE DEPOT]]),"",Tableau6[[#This Row],[DATE DE DEPOT]]+Tableau6[[#This Row],[DELAI]])</f>
        <v>45990</v>
      </c>
      <c r="U258" s="225">
        <f ca="1">+IF(AND(W258=0,Tableau6[[#This Row],[DATE LIMITE]]&lt;TODAY()),TODAY()-Tableau6[[#This Row],[DATE LIMITE]],0)</f>
        <v>126</v>
      </c>
      <c r="V25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ECHUE NON REGLEE</v>
      </c>
      <c r="W258" s="231">
        <f>SUMIF(Tableau3[FACTURE],Tableau6[[#This Row],[NUM DE FACTURE]],Tableau3[MONTANT TTC])</f>
        <v>0</v>
      </c>
      <c r="X258" s="7"/>
      <c r="Y258" s="90">
        <f>+Tableau6[[#This Row],[NET A PAYER]]-Tableau6[[#This Row],[MONTANT PAYE]]</f>
        <v>25928376</v>
      </c>
      <c r="Z258"/>
    </row>
    <row r="259" spans="1:26" x14ac:dyDescent="0.2">
      <c r="A259" t="s">
        <v>100</v>
      </c>
      <c r="B259" s="3">
        <v>45959</v>
      </c>
      <c r="C259" s="7">
        <v>45959</v>
      </c>
      <c r="D259" s="354">
        <v>116</v>
      </c>
      <c r="E259" s="254" t="s">
        <v>138</v>
      </c>
      <c r="F259" s="254" t="s">
        <v>300</v>
      </c>
      <c r="G259" s="254" t="s">
        <v>180</v>
      </c>
      <c r="H259" s="254" t="s">
        <v>116</v>
      </c>
      <c r="I259" s="260"/>
      <c r="J259" s="233">
        <v>25622500</v>
      </c>
      <c r="K259" s="155">
        <f>+Tableau6[[#This Row],[MONTANT HT BIEN]]+Tableau6[[#This Row],[MONTANT HT SERVICE]]</f>
        <v>25622500</v>
      </c>
      <c r="L259" s="153">
        <v>0</v>
      </c>
      <c r="M259" s="153">
        <f>+IFERROR(IF(Tableau6[[#This Row],[CODE TVA]]="TVAF",Tableau6[[#This Row],[MONTANT HT]]*0.18,0),0)</f>
        <v>4612050</v>
      </c>
      <c r="N259" s="153">
        <f>Tableau6[[#This Row],[MONTANT HT]]+Tableau6[[#This Row],[TVA]]-Tableau6[[#This Row],[ACOMPTE SUR HT]]</f>
        <v>30234550</v>
      </c>
      <c r="O259" s="153"/>
      <c r="P259" s="153">
        <f>+ROUND(Tableau6[[#This Row],[MONTANT TTC]]-Tableau6[[#This Row],[ACOMPTE SUR TTC]],0)</f>
        <v>30234550</v>
      </c>
      <c r="Q259" s="2" t="s">
        <v>270</v>
      </c>
      <c r="R259" s="5">
        <f>IFERROR(INDEX(Tableau2[[ID BC UNIQUE]:[MONTANT HT VALIDE]],MATCH(Tableau6[[#This Row],[N° BC]],Tableau2[ID BC UNIQUE],0),6),0)</f>
        <v>25622500</v>
      </c>
      <c r="S259" s="25">
        <f>IFERROR(INDEX(Tableau2[[DATE]:[DELAIS DE PAIEMENT FACTURES EN JOUR]],MATCH(Tableau6[[#This Row],[N° BC]],Tableau2[ID BC UNIQUE],0),5),0)</f>
        <v>30</v>
      </c>
      <c r="T259" s="7">
        <f>IF(ISBLANK(Tableau6[[#This Row],[DATE DE DEPOT]]),"",Tableau6[[#This Row],[DATE DE DEPOT]]+Tableau6[[#This Row],[DELAI]])</f>
        <v>45989</v>
      </c>
      <c r="U259" s="25">
        <f ca="1">+IF(AND(W259=0,Tableau6[[#This Row],[DATE LIMITE]]&lt;TODAY()),TODAY()-Tableau6[[#This Row],[DATE LIMITE]],0)</f>
        <v>0</v>
      </c>
      <c r="V259"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59" s="23">
        <f>SUMIF(Tableau3[FACTURE],Tableau6[[#This Row],[NUM DE FACTURE]],Tableau3[MONTANT TTC])</f>
        <v>30234550</v>
      </c>
      <c r="X259" s="7"/>
      <c r="Y259" s="90">
        <f>+Tableau6[[#This Row],[NET A PAYER]]-Tableau6[[#This Row],[MONTANT PAYE]]</f>
        <v>0</v>
      </c>
      <c r="Z259"/>
    </row>
    <row r="260" spans="1:26" x14ac:dyDescent="0.2">
      <c r="A260" t="s">
        <v>100</v>
      </c>
      <c r="B260" s="3">
        <v>45959</v>
      </c>
      <c r="C260" s="7">
        <v>45959</v>
      </c>
      <c r="D260" s="377">
        <v>117</v>
      </c>
      <c r="E260" s="254" t="s">
        <v>138</v>
      </c>
      <c r="F260" s="254" t="s">
        <v>301</v>
      </c>
      <c r="G260" s="254" t="s">
        <v>183</v>
      </c>
      <c r="H260" s="254" t="s">
        <v>116</v>
      </c>
      <c r="I260" s="230"/>
      <c r="J260" s="248">
        <v>1200000</v>
      </c>
      <c r="K260" s="156">
        <f>+Tableau6[[#This Row],[MONTANT HT BIEN]]+Tableau6[[#This Row],[MONTANT HT SERVICE]]</f>
        <v>1200000</v>
      </c>
      <c r="L260" s="10">
        <v>0</v>
      </c>
      <c r="M260" s="10">
        <f>+IFERROR(IF(Tableau6[[#This Row],[CODE TVA]]="TVAF",Tableau6[[#This Row],[MONTANT HT]]*0.18,0),0)</f>
        <v>216000</v>
      </c>
      <c r="N260" s="10">
        <f>Tableau6[[#This Row],[MONTANT HT]]+Tableau6[[#This Row],[TVA]]-Tableau6[[#This Row],[ACOMPTE SUR HT]]</f>
        <v>1416000</v>
      </c>
      <c r="O260" s="10"/>
      <c r="P260" s="10">
        <f>+ROUND(Tableau6[[#This Row],[MONTANT TTC]]-Tableau6[[#This Row],[ACOMPTE SUR TTC]],0)</f>
        <v>1416000</v>
      </c>
      <c r="Q260" t="s">
        <v>271</v>
      </c>
      <c r="R260" s="4">
        <f>IFERROR(INDEX(Tableau2[[ID BC UNIQUE]:[MONTANT HT VALIDE]],MATCH(Tableau6[[#This Row],[N° BC]],Tableau2[ID BC UNIQUE],0),6),0)</f>
        <v>1200000</v>
      </c>
      <c r="S260" s="225">
        <f>IFERROR(INDEX(Tableau2[[DATE]:[DELAIS DE PAIEMENT FACTURES EN JOUR]],MATCH(Tableau6[[#This Row],[N° BC]],Tableau2[ID BC UNIQUE],0),5),0)</f>
        <v>30</v>
      </c>
      <c r="T260" s="3">
        <f>IF(ISBLANK(Tableau6[[#This Row],[DATE DE DEPOT]]),"",Tableau6[[#This Row],[DATE DE DEPOT]]+Tableau6[[#This Row],[DELAI]])</f>
        <v>45989</v>
      </c>
      <c r="U260" s="225">
        <f ca="1">+IF(AND(W260=0,Tableau6[[#This Row],[DATE LIMITE]]&lt;TODAY()),TODAY()-Tableau6[[#This Row],[DATE LIMITE]],0)</f>
        <v>0</v>
      </c>
      <c r="V26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60" s="231">
        <f>SUMIF(Tableau3[FACTURE],Tableau6[[#This Row],[NUM DE FACTURE]],Tableau3[MONTANT TTC])</f>
        <v>1416000</v>
      </c>
      <c r="X260" s="3"/>
      <c r="Y260" s="90">
        <f>+Tableau6[[#This Row],[NET A PAYER]]-Tableau6[[#This Row],[MONTANT PAYE]]</f>
        <v>0</v>
      </c>
      <c r="Z260"/>
    </row>
    <row r="261" spans="1:26" x14ac:dyDescent="0.2">
      <c r="A261" t="s">
        <v>100</v>
      </c>
      <c r="B261" s="3">
        <v>45959</v>
      </c>
      <c r="C261" s="7">
        <v>45960</v>
      </c>
      <c r="D261" s="377">
        <v>118</v>
      </c>
      <c r="E261" s="254" t="s">
        <v>138</v>
      </c>
      <c r="F261" s="254" t="s">
        <v>302</v>
      </c>
      <c r="G261" s="254" t="s">
        <v>183</v>
      </c>
      <c r="H261" s="254" t="s">
        <v>116</v>
      </c>
      <c r="I261" s="230"/>
      <c r="J261" s="248">
        <v>2630000</v>
      </c>
      <c r="K261" s="156">
        <f>+Tableau6[[#This Row],[MONTANT HT BIEN]]+Tableau6[[#This Row],[MONTANT HT SERVICE]]</f>
        <v>2630000</v>
      </c>
      <c r="L261" s="10">
        <v>0</v>
      </c>
      <c r="M261" s="10">
        <f>+IFERROR(IF(Tableau6[[#This Row],[CODE TVA]]="TVAF",Tableau6[[#This Row],[MONTANT HT]]*0.18,0),0)</f>
        <v>473400</v>
      </c>
      <c r="N261" s="10">
        <f>Tableau6[[#This Row],[MONTANT HT]]+Tableau6[[#This Row],[TVA]]-Tableau6[[#This Row],[ACOMPTE SUR HT]]</f>
        <v>3103400</v>
      </c>
      <c r="O261" s="10"/>
      <c r="P261" s="10">
        <f>+ROUND(Tableau6[[#This Row],[MONTANT TTC]]-Tableau6[[#This Row],[ACOMPTE SUR TTC]],0)</f>
        <v>3103400</v>
      </c>
      <c r="Q261" t="s">
        <v>265</v>
      </c>
      <c r="R261" s="4">
        <f>IFERROR(INDEX(Tableau2[[ID BC UNIQUE]:[MONTANT HT VALIDE]],MATCH(Tableau6[[#This Row],[N° BC]],Tableau2[ID BC UNIQUE],0),6),0)</f>
        <v>2630000</v>
      </c>
      <c r="S261" s="225">
        <f>IFERROR(INDEX(Tableau2[[DATE]:[DELAIS DE PAIEMENT FACTURES EN JOUR]],MATCH(Tableau6[[#This Row],[N° BC]],Tableau2[ID BC UNIQUE],0),5),0)</f>
        <v>30</v>
      </c>
      <c r="T261" s="3">
        <f>IF(ISBLANK(Tableau6[[#This Row],[DATE DE DEPOT]]),"",Tableau6[[#This Row],[DATE DE DEPOT]]+Tableau6[[#This Row],[DELAI]])</f>
        <v>45990</v>
      </c>
      <c r="U261" s="225">
        <f ca="1">+IF(AND(W261=0,Tableau6[[#This Row],[DATE LIMITE]]&lt;TODAY()),TODAY()-Tableau6[[#This Row],[DATE LIMITE]],0)</f>
        <v>0</v>
      </c>
      <c r="V26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61" s="231">
        <f>SUMIF(Tableau3[FACTURE],Tableau6[[#This Row],[NUM DE FACTURE]],Tableau3[MONTANT TTC])</f>
        <v>3103400</v>
      </c>
      <c r="X261" s="3"/>
      <c r="Y261" s="90">
        <f>+Tableau6[[#This Row],[NET A PAYER]]-Tableau6[[#This Row],[MONTANT PAYE]]</f>
        <v>0</v>
      </c>
      <c r="Z261"/>
    </row>
    <row r="262" spans="1:26" x14ac:dyDescent="0.2">
      <c r="A262" t="s">
        <v>100</v>
      </c>
      <c r="B262" s="211">
        <v>45971</v>
      </c>
      <c r="C262" s="212">
        <v>45972</v>
      </c>
      <c r="D262" s="259">
        <v>119</v>
      </c>
      <c r="E262" s="254" t="s">
        <v>138</v>
      </c>
      <c r="F262" s="254" t="s">
        <v>279</v>
      </c>
      <c r="G262" s="254" t="s">
        <v>178</v>
      </c>
      <c r="H262" s="254" t="s">
        <v>116</v>
      </c>
      <c r="I262" s="287"/>
      <c r="J262" s="288">
        <v>7500015</v>
      </c>
      <c r="K262" s="219">
        <f>+Tableau6[[#This Row],[MONTANT HT BIEN]]+Tableau6[[#This Row],[MONTANT HT SERVICE]]</f>
        <v>7500015</v>
      </c>
      <c r="L262" s="10">
        <v>0</v>
      </c>
      <c r="M262" s="380">
        <f>+IFERROR(IF(Tableau6[[#This Row],[CODE TVA]]="TVAF",Tableau6[[#This Row],[MONTANT HT]]*0.18,0),0)</f>
        <v>1350002.7</v>
      </c>
      <c r="N262" s="380">
        <f>Tableau6[[#This Row],[MONTANT HT]]+Tableau6[[#This Row],[TVA]]-Tableau6[[#This Row],[ACOMPTE SUR HT]]</f>
        <v>8850017.6999999993</v>
      </c>
      <c r="O262" s="380"/>
      <c r="P262" s="380">
        <f>+ROUND(Tableau6[[#This Row],[MONTANT TTC]]-Tableau6[[#This Row],[ACOMPTE SUR TTC]],0)</f>
        <v>8850018</v>
      </c>
      <c r="Q262" t="s">
        <v>280</v>
      </c>
      <c r="R262" s="382">
        <f>IFERROR(INDEX(Tableau2[[ID BC UNIQUE]:[MONTANT HT VALIDE]],MATCH(Tableau6[[#This Row],[N° BC]],Tableau2[ID BC UNIQUE],0),6),0)</f>
        <v>7500016</v>
      </c>
      <c r="S262" s="227">
        <f>IFERROR(INDEX(Tableau2[[DATE]:[DELAIS DE PAIEMENT FACTURES EN JOUR]],MATCH(Tableau6[[#This Row],[N° BC]],Tableau2[ID BC UNIQUE],0),5),0)</f>
        <v>30</v>
      </c>
      <c r="T262" s="211">
        <f>IF(ISBLANK(Tableau6[[#This Row],[DATE DE DEPOT]]),"",Tableau6[[#This Row],[DATE DE DEPOT]]+Tableau6[[#This Row],[DELAI]])</f>
        <v>46002</v>
      </c>
      <c r="U262" s="227">
        <f ca="1">+IF(AND(W262=0,Tableau6[[#This Row],[DATE LIMITE]]&lt;TODAY()),TODAY()-Tableau6[[#This Row],[DATE LIMITE]],0)</f>
        <v>0</v>
      </c>
      <c r="V262"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62" s="289">
        <f>SUMIF(Tableau3[FACTURE],Tableau6[[#This Row],[NUM DE FACTURE]],Tableau3[MONTANT TTC])</f>
        <v>8850018</v>
      </c>
      <c r="X262" s="211"/>
      <c r="Y262" s="226">
        <f>+Tableau6[[#This Row],[NET A PAYER]]-Tableau6[[#This Row],[MONTANT PAYE]]</f>
        <v>0</v>
      </c>
      <c r="Z262" s="210"/>
    </row>
    <row r="263" spans="1:26" x14ac:dyDescent="0.2">
      <c r="A263" t="s">
        <v>100</v>
      </c>
      <c r="B263" s="211">
        <v>45971</v>
      </c>
      <c r="C263" s="212">
        <v>45972</v>
      </c>
      <c r="D263" s="259">
        <v>120</v>
      </c>
      <c r="E263" s="254" t="s">
        <v>138</v>
      </c>
      <c r="F263" s="254" t="s">
        <v>281</v>
      </c>
      <c r="G263" s="254" t="s">
        <v>190</v>
      </c>
      <c r="H263" s="254" t="s">
        <v>116</v>
      </c>
      <c r="I263" s="287"/>
      <c r="J263" s="288">
        <v>14580000</v>
      </c>
      <c r="K263" s="219">
        <f>+Tableau6[[#This Row],[MONTANT HT BIEN]]+Tableau6[[#This Row],[MONTANT HT SERVICE]]</f>
        <v>14580000</v>
      </c>
      <c r="L263" s="10">
        <v>0</v>
      </c>
      <c r="M263" s="380">
        <f>+IFERROR(IF(Tableau6[[#This Row],[CODE TVA]]="TVAF",Tableau6[[#This Row],[MONTANT HT]]*0.18,0),0)</f>
        <v>2624400</v>
      </c>
      <c r="N263" s="380">
        <f>Tableau6[[#This Row],[MONTANT HT]]+Tableau6[[#This Row],[TVA]]-Tableau6[[#This Row],[ACOMPTE SUR HT]]</f>
        <v>17204400</v>
      </c>
      <c r="O263" s="380"/>
      <c r="P263" s="380">
        <f>+ROUND(Tableau6[[#This Row],[MONTANT TTC]]-Tableau6[[#This Row],[ACOMPTE SUR TTC]],0)</f>
        <v>17204400</v>
      </c>
      <c r="Q263" t="s">
        <v>282</v>
      </c>
      <c r="R263" s="382">
        <f>IFERROR(INDEX(Tableau2[[ID BC UNIQUE]:[MONTANT HT VALIDE]],MATCH(Tableau6[[#This Row],[N° BC]],Tableau2[ID BC UNIQUE],0),6),0)</f>
        <v>14580000</v>
      </c>
      <c r="S263" s="227">
        <f>IFERROR(INDEX(Tableau2[[DATE]:[DELAIS DE PAIEMENT FACTURES EN JOUR]],MATCH(Tableau6[[#This Row],[N° BC]],Tableau2[ID BC UNIQUE],0),5),0)</f>
        <v>30</v>
      </c>
      <c r="T263" s="211">
        <f>IF(ISBLANK(Tableau6[[#This Row],[DATE DE DEPOT]]),"",Tableau6[[#This Row],[DATE DE DEPOT]]+Tableau6[[#This Row],[DELAI]])</f>
        <v>46002</v>
      </c>
      <c r="U263" s="227">
        <f ca="1">+IF(AND(W263=0,Tableau6[[#This Row],[DATE LIMITE]]&lt;TODAY()),TODAY()-Tableau6[[#This Row],[DATE LIMITE]],0)</f>
        <v>0</v>
      </c>
      <c r="V263"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63" s="289">
        <f>SUMIF(Tableau3[FACTURE],Tableau6[[#This Row],[NUM DE FACTURE]],Tableau3[MONTANT TTC])</f>
        <v>17204400</v>
      </c>
      <c r="X263" s="211"/>
      <c r="Y263" s="226">
        <f>+Tableau6[[#This Row],[NET A PAYER]]-Tableau6[[#This Row],[MONTANT PAYE]]</f>
        <v>0</v>
      </c>
      <c r="Z263" s="210"/>
    </row>
    <row r="264" spans="1:26" x14ac:dyDescent="0.2">
      <c r="A264" t="s">
        <v>100</v>
      </c>
      <c r="B264" s="291">
        <v>45980</v>
      </c>
      <c r="C264" s="292">
        <v>46001</v>
      </c>
      <c r="D264" s="378">
        <v>123</v>
      </c>
      <c r="E264" s="254" t="s">
        <v>138</v>
      </c>
      <c r="F264" s="254" t="s">
        <v>111</v>
      </c>
      <c r="G264" s="254" t="s">
        <v>629</v>
      </c>
      <c r="H264" s="254" t="s">
        <v>305</v>
      </c>
      <c r="I264" s="304"/>
      <c r="J264" s="305">
        <v>6510000</v>
      </c>
      <c r="K264" s="306">
        <f>+Tableau6[[#This Row],[MONTANT HT BIEN]]+Tableau6[[#This Row],[MONTANT HT SERVICE]]</f>
        <v>6510000</v>
      </c>
      <c r="L264" s="10">
        <v>0</v>
      </c>
      <c r="M264" s="381">
        <f>+IFERROR(IF(Tableau6[[#This Row],[CODE TVA]]="TVAF",Tableau6[[#This Row],[MONTANT HT]]*0.18,0),0)</f>
        <v>0</v>
      </c>
      <c r="N264" s="381">
        <f>Tableau6[[#This Row],[MONTANT HT]]+Tableau6[[#This Row],[TVA]]-Tableau6[[#This Row],[ACOMPTE SUR HT]]</f>
        <v>6510000</v>
      </c>
      <c r="O264" s="381"/>
      <c r="P264" s="381">
        <f>+ROUND(Tableau6[[#This Row],[MONTANT TTC]]-Tableau6[[#This Row],[ACOMPTE SUR TTC]],0)</f>
        <v>6510000</v>
      </c>
      <c r="Q264" t="s">
        <v>342</v>
      </c>
      <c r="R264" s="383">
        <f>IFERROR(INDEX(Tableau2[[ID BC UNIQUE]:[MONTANT HT VALIDE]],MATCH(Tableau6[[#This Row],[N° BC]],Tableau2[ID BC UNIQUE],0),6),0)</f>
        <v>6510000</v>
      </c>
      <c r="S264" s="384">
        <f>IFERROR(INDEX(Tableau2[[DATE]:[DELAIS DE PAIEMENT FACTURES EN JOUR]],MATCH(Tableau6[[#This Row],[N° BC]],Tableau2[ID BC UNIQUE],0),5),0)</f>
        <v>30</v>
      </c>
      <c r="T264" s="291">
        <f>IF(ISBLANK(Tableau6[[#This Row],[DATE DE DEPOT]]),"",Tableau6[[#This Row],[DATE DE DEPOT]]+Tableau6[[#This Row],[DELAI]])</f>
        <v>46031</v>
      </c>
      <c r="U264" s="384">
        <f ca="1">+IF(AND(W264=0,Tableau6[[#This Row],[DATE LIMITE]]&lt;TODAY()),TODAY()-Tableau6[[#This Row],[DATE LIMITE]],0)</f>
        <v>0</v>
      </c>
      <c r="V264" s="29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64" s="307">
        <f>SUMIF(Tableau3[FACTURE],Tableau6[[#This Row],[NUM DE FACTURE]],Tableau3[MONTANT TTC])</f>
        <v>6510000</v>
      </c>
      <c r="X264" s="291"/>
      <c r="Y264" s="301">
        <f>+Tableau6[[#This Row],[NET A PAYER]]-Tableau6[[#This Row],[MONTANT PAYE]]</f>
        <v>0</v>
      </c>
      <c r="Z264" s="290"/>
    </row>
    <row r="265" spans="1:26" x14ac:dyDescent="0.2">
      <c r="A265" t="s">
        <v>100</v>
      </c>
      <c r="B265" s="291">
        <v>45980</v>
      </c>
      <c r="C265" s="292">
        <v>46001</v>
      </c>
      <c r="D265" s="378">
        <v>124</v>
      </c>
      <c r="E265" s="254" t="s">
        <v>138</v>
      </c>
      <c r="F265" s="254" t="s">
        <v>111</v>
      </c>
      <c r="G265" s="254" t="s">
        <v>629</v>
      </c>
      <c r="H265" s="254" t="s">
        <v>305</v>
      </c>
      <c r="I265" s="304"/>
      <c r="J265" s="305">
        <v>12600000</v>
      </c>
      <c r="K265" s="306">
        <f>+Tableau6[[#This Row],[MONTANT HT BIEN]]+Tableau6[[#This Row],[MONTANT HT SERVICE]]</f>
        <v>12600000</v>
      </c>
      <c r="L265" s="10">
        <v>0</v>
      </c>
      <c r="M265" s="381">
        <f>+IFERROR(IF(Tableau6[[#This Row],[CODE TVA]]="TVAF",Tableau6[[#This Row],[MONTANT HT]]*0.18,0),0)</f>
        <v>0</v>
      </c>
      <c r="N265" s="381">
        <f>Tableau6[[#This Row],[MONTANT HT]]+Tableau6[[#This Row],[TVA]]-Tableau6[[#This Row],[ACOMPTE SUR HT]]</f>
        <v>12600000</v>
      </c>
      <c r="O265" s="381"/>
      <c r="P265" s="381">
        <f>+ROUND(Tableau6[[#This Row],[MONTANT TTC]]-Tableau6[[#This Row],[ACOMPTE SUR TTC]],0)</f>
        <v>12600000</v>
      </c>
      <c r="Q265" t="s">
        <v>343</v>
      </c>
      <c r="R265" s="383">
        <f>IFERROR(INDEX(Tableau2[[ID BC UNIQUE]:[MONTANT HT VALIDE]],MATCH(Tableau6[[#This Row],[N° BC]],Tableau2[ID BC UNIQUE],0),6),0)</f>
        <v>12600000</v>
      </c>
      <c r="S265" s="384">
        <f>IFERROR(INDEX(Tableau2[[DATE]:[DELAIS DE PAIEMENT FACTURES EN JOUR]],MATCH(Tableau6[[#This Row],[N° BC]],Tableau2[ID BC UNIQUE],0),5),0)</f>
        <v>30</v>
      </c>
      <c r="T265" s="291">
        <f>IF(ISBLANK(Tableau6[[#This Row],[DATE DE DEPOT]]),"",Tableau6[[#This Row],[DATE DE DEPOT]]+Tableau6[[#This Row],[DELAI]])</f>
        <v>46031</v>
      </c>
      <c r="U265" s="384">
        <f ca="1">+IF(AND(W265=0,Tableau6[[#This Row],[DATE LIMITE]]&lt;TODAY()),TODAY()-Tableau6[[#This Row],[DATE LIMITE]],0)</f>
        <v>0</v>
      </c>
      <c r="V265" s="29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65" s="307">
        <f>SUMIF(Tableau3[FACTURE],Tableau6[[#This Row],[NUM DE FACTURE]],Tableau3[MONTANT TTC])</f>
        <v>12600000</v>
      </c>
      <c r="X265" s="291"/>
      <c r="Y265" s="301">
        <f>+Tableau6[[#This Row],[NET A PAYER]]-Tableau6[[#This Row],[MONTANT PAYE]]</f>
        <v>0</v>
      </c>
      <c r="Z265" s="290"/>
    </row>
    <row r="266" spans="1:26" x14ac:dyDescent="0.2">
      <c r="A266" t="s">
        <v>100</v>
      </c>
      <c r="B266" s="211">
        <v>45987</v>
      </c>
      <c r="C266" s="212">
        <v>45987</v>
      </c>
      <c r="D266" s="259">
        <v>126</v>
      </c>
      <c r="E266" s="254" t="s">
        <v>138</v>
      </c>
      <c r="F266" s="254" t="s">
        <v>304</v>
      </c>
      <c r="G266" s="254" t="s">
        <v>179</v>
      </c>
      <c r="H266" s="254" t="s">
        <v>305</v>
      </c>
      <c r="I266" s="287"/>
      <c r="J266" s="288">
        <v>770000</v>
      </c>
      <c r="K266" s="219">
        <f>+Tableau6[[#This Row],[MONTANT HT BIEN]]+Tableau6[[#This Row],[MONTANT HT SERVICE]]</f>
        <v>770000</v>
      </c>
      <c r="L266" s="10">
        <v>0</v>
      </c>
      <c r="M266" s="380">
        <f>+IFERROR(IF(Tableau6[[#This Row],[CODE TVA]]="TVAF",Tableau6[[#This Row],[MONTANT HT]]*0.18,0),0)</f>
        <v>0</v>
      </c>
      <c r="N266" s="380">
        <f>Tableau6[[#This Row],[MONTANT HT]]+Tableau6[[#This Row],[TVA]]-Tableau6[[#This Row],[ACOMPTE SUR HT]]</f>
        <v>770000</v>
      </c>
      <c r="O266" s="380"/>
      <c r="P266" s="380">
        <f>+ROUND(Tableau6[[#This Row],[MONTANT TTC]]-Tableau6[[#This Row],[ACOMPTE SUR TTC]],0)</f>
        <v>770000</v>
      </c>
      <c r="Q266" t="s">
        <v>311</v>
      </c>
      <c r="R266" s="382">
        <f>IFERROR(INDEX(Tableau2[[ID BC UNIQUE]:[MONTANT HT VALIDE]],MATCH(Tableau6[[#This Row],[N° BC]],Tableau2[ID BC UNIQUE],0),6),0)</f>
        <v>770000</v>
      </c>
      <c r="S266" s="227">
        <f>IFERROR(INDEX(Tableau2[[DATE]:[DELAIS DE PAIEMENT FACTURES EN JOUR]],MATCH(Tableau6[[#This Row],[N° BC]],Tableau2[ID BC UNIQUE],0),5),0)</f>
        <v>30</v>
      </c>
      <c r="T266" s="211">
        <f>IF(ISBLANK(Tableau6[[#This Row],[DATE DE DEPOT]]),"",Tableau6[[#This Row],[DATE DE DEPOT]]+Tableau6[[#This Row],[DELAI]])</f>
        <v>46017</v>
      </c>
      <c r="U266" s="227">
        <f ca="1">+IF(AND(W266=0,Tableau6[[#This Row],[DATE LIMITE]]&lt;TODAY()),TODAY()-Tableau6[[#This Row],[DATE LIMITE]],0)</f>
        <v>0</v>
      </c>
      <c r="V266"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66" s="289">
        <f>SUMIF(Tableau3[FACTURE],Tableau6[[#This Row],[NUM DE FACTURE]],Tableau3[MONTANT TTC])</f>
        <v>770000</v>
      </c>
      <c r="X266" s="211"/>
      <c r="Y266" s="226">
        <f>+Tableau6[[#This Row],[NET A PAYER]]-Tableau6[[#This Row],[MONTANT PAYE]]</f>
        <v>0</v>
      </c>
      <c r="Z266" s="210"/>
    </row>
    <row r="267" spans="1:26" x14ac:dyDescent="0.2">
      <c r="A267" t="s">
        <v>100</v>
      </c>
      <c r="B267" s="211">
        <v>45987</v>
      </c>
      <c r="C267" s="212">
        <v>45987</v>
      </c>
      <c r="D267" s="259">
        <v>127</v>
      </c>
      <c r="E267" s="254" t="s">
        <v>138</v>
      </c>
      <c r="F267" s="254" t="s">
        <v>304</v>
      </c>
      <c r="G267" s="254" t="s">
        <v>182</v>
      </c>
      <c r="H267" s="254" t="s">
        <v>116</v>
      </c>
      <c r="I267" s="287"/>
      <c r="J267" s="288">
        <v>3220000</v>
      </c>
      <c r="K267" s="219">
        <f>+Tableau6[[#This Row],[MONTANT HT BIEN]]+Tableau6[[#This Row],[MONTANT HT SERVICE]]</f>
        <v>3220000</v>
      </c>
      <c r="L267" s="10">
        <v>0</v>
      </c>
      <c r="M267" s="380">
        <f>+IFERROR(IF(Tableau6[[#This Row],[CODE TVA]]="TVAF",Tableau6[[#This Row],[MONTANT HT]]*0.18,0),0)</f>
        <v>579600</v>
      </c>
      <c r="N267" s="380">
        <f>Tableau6[[#This Row],[MONTANT HT]]+Tableau6[[#This Row],[TVA]]-Tableau6[[#This Row],[ACOMPTE SUR HT]]</f>
        <v>3799600</v>
      </c>
      <c r="O267" s="380"/>
      <c r="P267" s="380">
        <f>+ROUND(Tableau6[[#This Row],[MONTANT TTC]]-Tableau6[[#This Row],[ACOMPTE SUR TTC]],0)</f>
        <v>3799600</v>
      </c>
      <c r="Q267" t="s">
        <v>310</v>
      </c>
      <c r="R267" s="382">
        <f>IFERROR(INDEX(Tableau2[[ID BC UNIQUE]:[MONTANT HT VALIDE]],MATCH(Tableau6[[#This Row],[N° BC]],Tableau2[ID BC UNIQUE],0),6),0)</f>
        <v>3220000</v>
      </c>
      <c r="S267" s="227">
        <f>IFERROR(INDEX(Tableau2[[DATE]:[DELAIS DE PAIEMENT FACTURES EN JOUR]],MATCH(Tableau6[[#This Row],[N° BC]],Tableau2[ID BC UNIQUE],0),5),0)</f>
        <v>30</v>
      </c>
      <c r="T267" s="211">
        <f>IF(ISBLANK(Tableau6[[#This Row],[DATE DE DEPOT]]),"",Tableau6[[#This Row],[DATE DE DEPOT]]+Tableau6[[#This Row],[DELAI]])</f>
        <v>46017</v>
      </c>
      <c r="U267" s="227">
        <f ca="1">+IF(AND(W267=0,Tableau6[[#This Row],[DATE LIMITE]]&lt;TODAY()),TODAY()-Tableau6[[#This Row],[DATE LIMITE]],0)</f>
        <v>0</v>
      </c>
      <c r="V267"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67" s="289">
        <f>SUMIF(Tableau3[FACTURE],Tableau6[[#This Row],[NUM DE FACTURE]],Tableau3[MONTANT TTC])</f>
        <v>3799600</v>
      </c>
      <c r="X267" s="211"/>
      <c r="Y267" s="226">
        <f>+Tableau6[[#This Row],[NET A PAYER]]-Tableau6[[#This Row],[MONTANT PAYE]]</f>
        <v>0</v>
      </c>
      <c r="Z267" s="210"/>
    </row>
    <row r="268" spans="1:26" x14ac:dyDescent="0.2">
      <c r="A268" t="s">
        <v>100</v>
      </c>
      <c r="B268" s="211">
        <v>45987</v>
      </c>
      <c r="C268" s="212">
        <v>45987</v>
      </c>
      <c r="D268" s="259">
        <v>128</v>
      </c>
      <c r="E268" s="254" t="s">
        <v>138</v>
      </c>
      <c r="F268" s="254" t="s">
        <v>304</v>
      </c>
      <c r="G268" s="254" t="s">
        <v>180</v>
      </c>
      <c r="H268" s="254" t="s">
        <v>116</v>
      </c>
      <c r="I268" s="287"/>
      <c r="J268" s="288">
        <v>8265000</v>
      </c>
      <c r="K268" s="219">
        <f>+Tableau6[[#This Row],[MONTANT HT BIEN]]+Tableau6[[#This Row],[MONTANT HT SERVICE]]</f>
        <v>8265000</v>
      </c>
      <c r="L268" s="10">
        <v>0</v>
      </c>
      <c r="M268" s="380">
        <f>+IFERROR(IF(Tableau6[[#This Row],[CODE TVA]]="TVAF",Tableau6[[#This Row],[MONTANT HT]]*0.18,0),0)</f>
        <v>1487700</v>
      </c>
      <c r="N268" s="380">
        <f>Tableau6[[#This Row],[MONTANT HT]]+Tableau6[[#This Row],[TVA]]-Tableau6[[#This Row],[ACOMPTE SUR HT]]</f>
        <v>9752700</v>
      </c>
      <c r="O268" s="380"/>
      <c r="P268" s="380">
        <f>+ROUND(Tableau6[[#This Row],[MONTANT TTC]]-Tableau6[[#This Row],[ACOMPTE SUR TTC]],0)</f>
        <v>9752700</v>
      </c>
      <c r="Q268" t="s">
        <v>309</v>
      </c>
      <c r="R268" s="382">
        <f>IFERROR(INDEX(Tableau2[[ID BC UNIQUE]:[MONTANT HT VALIDE]],MATCH(Tableau6[[#This Row],[N° BC]],Tableau2[ID BC UNIQUE],0),6),0)</f>
        <v>8265000</v>
      </c>
      <c r="S268" s="227">
        <f>IFERROR(INDEX(Tableau2[[DATE]:[DELAIS DE PAIEMENT FACTURES EN JOUR]],MATCH(Tableau6[[#This Row],[N° BC]],Tableau2[ID BC UNIQUE],0),5),0)</f>
        <v>30</v>
      </c>
      <c r="T268" s="211">
        <f>IF(ISBLANK(Tableau6[[#This Row],[DATE DE DEPOT]]),"",Tableau6[[#This Row],[DATE DE DEPOT]]+Tableau6[[#This Row],[DELAI]])</f>
        <v>46017</v>
      </c>
      <c r="U268" s="227">
        <f ca="1">+IF(AND(W268=0,Tableau6[[#This Row],[DATE LIMITE]]&lt;TODAY()),TODAY()-Tableau6[[#This Row],[DATE LIMITE]],0)</f>
        <v>0</v>
      </c>
      <c r="V268"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68" s="289">
        <f>SUMIF(Tableau3[FACTURE],Tableau6[[#This Row],[NUM DE FACTURE]],Tableau3[MONTANT TTC])</f>
        <v>9752700</v>
      </c>
      <c r="X268" s="211"/>
      <c r="Y268" s="226">
        <f>+Tableau6[[#This Row],[NET A PAYER]]-Tableau6[[#This Row],[MONTANT PAYE]]</f>
        <v>0</v>
      </c>
      <c r="Z268" s="210"/>
    </row>
    <row r="269" spans="1:26" x14ac:dyDescent="0.2">
      <c r="A269" t="s">
        <v>100</v>
      </c>
      <c r="B269" s="211">
        <v>45987</v>
      </c>
      <c r="C269" s="212">
        <v>45987</v>
      </c>
      <c r="D269" s="259">
        <v>129</v>
      </c>
      <c r="E269" s="254" t="s">
        <v>138</v>
      </c>
      <c r="F269" s="254" t="s">
        <v>303</v>
      </c>
      <c r="G269" s="254" t="s">
        <v>179</v>
      </c>
      <c r="H269" s="254" t="s">
        <v>305</v>
      </c>
      <c r="I269" s="287"/>
      <c r="J269" s="288">
        <v>1300000</v>
      </c>
      <c r="K269" s="219">
        <f>+Tableau6[[#This Row],[MONTANT HT BIEN]]+Tableau6[[#This Row],[MONTANT HT SERVICE]]</f>
        <v>1300000</v>
      </c>
      <c r="L269" s="10">
        <v>0</v>
      </c>
      <c r="M269" s="380">
        <f>+IFERROR(IF(Tableau6[[#This Row],[CODE TVA]]="TVAF",Tableau6[[#This Row],[MONTANT HT]]*0.18,0),0)</f>
        <v>0</v>
      </c>
      <c r="N269" s="380">
        <f>Tableau6[[#This Row],[MONTANT HT]]+Tableau6[[#This Row],[TVA]]-Tableau6[[#This Row],[ACOMPTE SUR HT]]</f>
        <v>1300000</v>
      </c>
      <c r="O269" s="380"/>
      <c r="P269" s="380">
        <f>+ROUND(Tableau6[[#This Row],[MONTANT TTC]]-Tableau6[[#This Row],[ACOMPTE SUR TTC]],0)</f>
        <v>1300000</v>
      </c>
      <c r="Q269" t="s">
        <v>308</v>
      </c>
      <c r="R269" s="382">
        <f>IFERROR(INDEX(Tableau2[[ID BC UNIQUE]:[MONTANT HT VALIDE]],MATCH(Tableau6[[#This Row],[N° BC]],Tableau2[ID BC UNIQUE],0),6),0)</f>
        <v>1300000</v>
      </c>
      <c r="S269" s="227">
        <f>IFERROR(INDEX(Tableau2[[DATE]:[DELAIS DE PAIEMENT FACTURES EN JOUR]],MATCH(Tableau6[[#This Row],[N° BC]],Tableau2[ID BC UNIQUE],0),5),0)</f>
        <v>30</v>
      </c>
      <c r="T269" s="211">
        <f>IF(ISBLANK(Tableau6[[#This Row],[DATE DE DEPOT]]),"",Tableau6[[#This Row],[DATE DE DEPOT]]+Tableau6[[#This Row],[DELAI]])</f>
        <v>46017</v>
      </c>
      <c r="U269" s="227">
        <f ca="1">+IF(AND(W269=0,Tableau6[[#This Row],[DATE LIMITE]]&lt;TODAY()),TODAY()-Tableau6[[#This Row],[DATE LIMITE]],0)</f>
        <v>0</v>
      </c>
      <c r="V269"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69" s="289">
        <f>SUMIF(Tableau3[FACTURE],Tableau6[[#This Row],[NUM DE FACTURE]],Tableau3[MONTANT TTC])</f>
        <v>1300000</v>
      </c>
      <c r="X269" s="211"/>
      <c r="Y269" s="226">
        <f>+Tableau6[[#This Row],[NET A PAYER]]-Tableau6[[#This Row],[MONTANT PAYE]]</f>
        <v>0</v>
      </c>
      <c r="Z269" s="210"/>
    </row>
    <row r="270" spans="1:26" x14ac:dyDescent="0.2">
      <c r="A270" t="s">
        <v>100</v>
      </c>
      <c r="B270" s="211">
        <v>45987</v>
      </c>
      <c r="C270" s="212">
        <v>45987</v>
      </c>
      <c r="D270" s="379">
        <v>130</v>
      </c>
      <c r="E270" s="254" t="s">
        <v>138</v>
      </c>
      <c r="F270" s="254" t="s">
        <v>306</v>
      </c>
      <c r="G270" s="254" t="s">
        <v>185</v>
      </c>
      <c r="H270" s="254" t="s">
        <v>116</v>
      </c>
      <c r="I270" s="287"/>
      <c r="J270" s="288">
        <v>1350000</v>
      </c>
      <c r="K270" s="219">
        <f>+Tableau6[[#This Row],[MONTANT HT BIEN]]+Tableau6[[#This Row],[MONTANT HT SERVICE]]</f>
        <v>1350000</v>
      </c>
      <c r="L270" s="10">
        <v>0</v>
      </c>
      <c r="M270" s="380">
        <f>+IFERROR(IF(Tableau6[[#This Row],[CODE TVA]]="TVAF",Tableau6[[#This Row],[MONTANT HT]]*0.18,0),0)</f>
        <v>243000</v>
      </c>
      <c r="N270" s="380">
        <f>Tableau6[[#This Row],[MONTANT HT]]+Tableau6[[#This Row],[TVA]]-Tableau6[[#This Row],[ACOMPTE SUR HT]]</f>
        <v>1593000</v>
      </c>
      <c r="O270" s="380"/>
      <c r="P270" s="380">
        <f>+ROUND(Tableau6[[#This Row],[MONTANT TTC]]-Tableau6[[#This Row],[ACOMPTE SUR TTC]],0)</f>
        <v>1593000</v>
      </c>
      <c r="Q270" t="s">
        <v>322</v>
      </c>
      <c r="R270" s="382">
        <f>IFERROR(INDEX(Tableau2[[ID BC UNIQUE]:[MONTANT HT VALIDE]],MATCH(Tableau6[[#This Row],[N° BC]],Tableau2[ID BC UNIQUE],0),6),0)</f>
        <v>1350000</v>
      </c>
      <c r="S270" s="227">
        <f>IFERROR(INDEX(Tableau2[[DATE]:[DELAIS DE PAIEMENT FACTURES EN JOUR]],MATCH(Tableau6[[#This Row],[N° BC]],Tableau2[ID BC UNIQUE],0),5),0)</f>
        <v>30</v>
      </c>
      <c r="T270" s="211">
        <f>IF(ISBLANK(Tableau6[[#This Row],[DATE DE DEPOT]]),"",Tableau6[[#This Row],[DATE DE DEPOT]]+Tableau6[[#This Row],[DELAI]])</f>
        <v>46017</v>
      </c>
      <c r="U270" s="227">
        <f ca="1">+IF(AND(W270=0,Tableau6[[#This Row],[DATE LIMITE]]&lt;TODAY()),TODAY()-Tableau6[[#This Row],[DATE LIMITE]],0)</f>
        <v>0</v>
      </c>
      <c r="V270"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70" s="289">
        <f>SUMIF(Tableau3[FACTURE],Tableau6[[#This Row],[NUM DE FACTURE]],Tableau3[MONTANT TTC])</f>
        <v>1593000</v>
      </c>
      <c r="X270" s="211"/>
      <c r="Y270" s="226">
        <f>+Tableau6[[#This Row],[NET A PAYER]]-Tableau6[[#This Row],[MONTANT PAYE]]</f>
        <v>0</v>
      </c>
      <c r="Z270" s="210"/>
    </row>
    <row r="271" spans="1:26" x14ac:dyDescent="0.2">
      <c r="A271" t="s">
        <v>100</v>
      </c>
      <c r="B271" s="211">
        <v>45987</v>
      </c>
      <c r="C271" s="212">
        <v>45987</v>
      </c>
      <c r="D271" s="259">
        <v>131</v>
      </c>
      <c r="E271" s="254" t="s">
        <v>138</v>
      </c>
      <c r="F271" s="254" t="s">
        <v>306</v>
      </c>
      <c r="G271" s="254" t="s">
        <v>185</v>
      </c>
      <c r="H271" s="254" t="s">
        <v>116</v>
      </c>
      <c r="I271" s="287"/>
      <c r="J271" s="288">
        <v>1495000</v>
      </c>
      <c r="K271" s="219">
        <f>+Tableau6[[#This Row],[MONTANT HT BIEN]]+Tableau6[[#This Row],[MONTANT HT SERVICE]]</f>
        <v>1495000</v>
      </c>
      <c r="L271" s="10">
        <v>0</v>
      </c>
      <c r="M271" s="380">
        <f>+IFERROR(IF(Tableau6[[#This Row],[CODE TVA]]="TVAF",Tableau6[[#This Row],[MONTANT HT]]*0.18,0),0)</f>
        <v>269100</v>
      </c>
      <c r="N271" s="380">
        <f>Tableau6[[#This Row],[MONTANT HT]]+Tableau6[[#This Row],[TVA]]-Tableau6[[#This Row],[ACOMPTE SUR HT]]</f>
        <v>1764100</v>
      </c>
      <c r="O271" s="380"/>
      <c r="P271" s="380">
        <f>+ROUND(Tableau6[[#This Row],[MONTANT TTC]]-Tableau6[[#This Row],[ACOMPTE SUR TTC]],0)</f>
        <v>1764100</v>
      </c>
      <c r="Q271" t="s">
        <v>307</v>
      </c>
      <c r="R271" s="382">
        <f>IFERROR(INDEX(Tableau2[[ID BC UNIQUE]:[MONTANT HT VALIDE]],MATCH(Tableau6[[#This Row],[N° BC]],Tableau2[ID BC UNIQUE],0),6),0)</f>
        <v>1495000</v>
      </c>
      <c r="S271" s="227">
        <f>IFERROR(INDEX(Tableau2[[DATE]:[DELAIS DE PAIEMENT FACTURES EN JOUR]],MATCH(Tableau6[[#This Row],[N° BC]],Tableau2[ID BC UNIQUE],0),5),0)</f>
        <v>30</v>
      </c>
      <c r="T271" s="211">
        <f>IF(ISBLANK(Tableau6[[#This Row],[DATE DE DEPOT]]),"",Tableau6[[#This Row],[DATE DE DEPOT]]+Tableau6[[#This Row],[DELAI]])</f>
        <v>46017</v>
      </c>
      <c r="U271" s="227">
        <f ca="1">+IF(AND(W271=0,Tableau6[[#This Row],[DATE LIMITE]]&lt;TODAY()),TODAY()-Tableau6[[#This Row],[DATE LIMITE]],0)</f>
        <v>0</v>
      </c>
      <c r="V271"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71" s="289">
        <f>SUMIF(Tableau3[FACTURE],Tableau6[[#This Row],[NUM DE FACTURE]],Tableau3[MONTANT TTC])</f>
        <v>1764100</v>
      </c>
      <c r="X271" s="211"/>
      <c r="Y271" s="226">
        <f>+Tableau6[[#This Row],[NET A PAYER]]-Tableau6[[#This Row],[MONTANT PAYE]]</f>
        <v>0</v>
      </c>
      <c r="Z271" s="210"/>
    </row>
    <row r="272" spans="1:26" x14ac:dyDescent="0.2">
      <c r="A272" t="s">
        <v>100</v>
      </c>
      <c r="B272" s="211">
        <v>45987</v>
      </c>
      <c r="C272" s="212">
        <v>45987</v>
      </c>
      <c r="D272" s="259">
        <v>133</v>
      </c>
      <c r="E272" s="254" t="s">
        <v>138</v>
      </c>
      <c r="F272" s="254" t="s">
        <v>303</v>
      </c>
      <c r="G272" s="254" t="s">
        <v>182</v>
      </c>
      <c r="H272" s="254" t="s">
        <v>116</v>
      </c>
      <c r="I272" s="287"/>
      <c r="J272" s="288">
        <v>3700000</v>
      </c>
      <c r="K272" s="219">
        <f>+Tableau6[[#This Row],[MONTANT HT BIEN]]+Tableau6[[#This Row],[MONTANT HT SERVICE]]</f>
        <v>3700000</v>
      </c>
      <c r="L272" s="10">
        <v>0</v>
      </c>
      <c r="M272" s="380">
        <f>+IFERROR(IF(Tableau6[[#This Row],[CODE TVA]]="TVAF",Tableau6[[#This Row],[MONTANT HT]]*0.18,0),0)</f>
        <v>666000</v>
      </c>
      <c r="N272" s="380">
        <f>Tableau6[[#This Row],[MONTANT HT]]+Tableau6[[#This Row],[TVA]]-Tableau6[[#This Row],[ACOMPTE SUR HT]]</f>
        <v>4366000</v>
      </c>
      <c r="O272" s="380"/>
      <c r="P272" s="380">
        <f>+ROUND(Tableau6[[#This Row],[MONTANT TTC]]-Tableau6[[#This Row],[ACOMPTE SUR TTC]],0)</f>
        <v>4366000</v>
      </c>
      <c r="Q272" t="s">
        <v>312</v>
      </c>
      <c r="R272" s="382">
        <f>IFERROR(INDEX(Tableau2[[ID BC UNIQUE]:[MONTANT HT VALIDE]],MATCH(Tableau6[[#This Row],[N° BC]],Tableau2[ID BC UNIQUE],0),6),0)</f>
        <v>3700000</v>
      </c>
      <c r="S272" s="227">
        <f>IFERROR(INDEX(Tableau2[[DATE]:[DELAIS DE PAIEMENT FACTURES EN JOUR]],MATCH(Tableau6[[#This Row],[N° BC]],Tableau2[ID BC UNIQUE],0),5),0)</f>
        <v>30</v>
      </c>
      <c r="T272" s="211">
        <f>IF(ISBLANK(Tableau6[[#This Row],[DATE DE DEPOT]]),"",Tableau6[[#This Row],[DATE DE DEPOT]]+Tableau6[[#This Row],[DELAI]])</f>
        <v>46017</v>
      </c>
      <c r="U272" s="227">
        <f ca="1">+IF(AND(W272=0,Tableau6[[#This Row],[DATE LIMITE]]&lt;TODAY()),TODAY()-Tableau6[[#This Row],[DATE LIMITE]],0)</f>
        <v>0</v>
      </c>
      <c r="V272"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72" s="289">
        <f>SUMIF(Tableau3[FACTURE],Tableau6[[#This Row],[NUM DE FACTURE]],Tableau3[MONTANT TTC])</f>
        <v>4366000</v>
      </c>
      <c r="X272" s="211"/>
      <c r="Y272" s="226">
        <f>+Tableau6[[#This Row],[NET A PAYER]]-Tableau6[[#This Row],[MONTANT PAYE]]</f>
        <v>0</v>
      </c>
      <c r="Z272" s="210"/>
    </row>
    <row r="273" spans="1:26" x14ac:dyDescent="0.2">
      <c r="A273" t="s">
        <v>100</v>
      </c>
      <c r="B273" s="211">
        <v>45987</v>
      </c>
      <c r="C273" s="212">
        <v>45987</v>
      </c>
      <c r="D273" s="259">
        <v>134</v>
      </c>
      <c r="E273" s="254" t="s">
        <v>138</v>
      </c>
      <c r="F273" s="254" t="s">
        <v>303</v>
      </c>
      <c r="G273" s="254" t="s">
        <v>179</v>
      </c>
      <c r="H273" s="254" t="s">
        <v>305</v>
      </c>
      <c r="I273" s="287"/>
      <c r="J273" s="288">
        <v>770000</v>
      </c>
      <c r="K273" s="219">
        <f>+Tableau6[[#This Row],[MONTANT HT BIEN]]+Tableau6[[#This Row],[MONTANT HT SERVICE]]</f>
        <v>770000</v>
      </c>
      <c r="L273" s="10">
        <v>0</v>
      </c>
      <c r="M273" s="380">
        <f>+IFERROR(IF(Tableau6[[#This Row],[CODE TVA]]="TVAF",Tableau6[[#This Row],[MONTANT HT]]*0.18,0),0)</f>
        <v>0</v>
      </c>
      <c r="N273" s="380">
        <f>Tableau6[[#This Row],[MONTANT HT]]+Tableau6[[#This Row],[TVA]]-Tableau6[[#This Row],[ACOMPTE SUR HT]]</f>
        <v>770000</v>
      </c>
      <c r="O273" s="380"/>
      <c r="P273" s="380">
        <f>+ROUND(Tableau6[[#This Row],[MONTANT TTC]]-Tableau6[[#This Row],[ACOMPTE SUR TTC]],0)</f>
        <v>770000</v>
      </c>
      <c r="Q273" t="s">
        <v>313</v>
      </c>
      <c r="R273" s="382">
        <f>IFERROR(INDEX(Tableau2[[ID BC UNIQUE]:[MONTANT HT VALIDE]],MATCH(Tableau6[[#This Row],[N° BC]],Tableau2[ID BC UNIQUE],0),6),0)</f>
        <v>770000</v>
      </c>
      <c r="S273" s="227">
        <f>IFERROR(INDEX(Tableau2[[DATE]:[DELAIS DE PAIEMENT FACTURES EN JOUR]],MATCH(Tableau6[[#This Row],[N° BC]],Tableau2[ID BC UNIQUE],0),5),0)</f>
        <v>30</v>
      </c>
      <c r="T273" s="211">
        <f>IF(ISBLANK(Tableau6[[#This Row],[DATE DE DEPOT]]),"",Tableau6[[#This Row],[DATE DE DEPOT]]+Tableau6[[#This Row],[DELAI]])</f>
        <v>46017</v>
      </c>
      <c r="U273" s="227">
        <f ca="1">+IF(AND(W273=0,Tableau6[[#This Row],[DATE LIMITE]]&lt;TODAY()),TODAY()-Tableau6[[#This Row],[DATE LIMITE]],0)</f>
        <v>0</v>
      </c>
      <c r="V273"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73" s="289">
        <f>SUMIF(Tableau3[FACTURE],Tableau6[[#This Row],[NUM DE FACTURE]],Tableau3[MONTANT TTC])</f>
        <v>770000</v>
      </c>
      <c r="X273" s="211"/>
      <c r="Y273" s="226">
        <f>+Tableau6[[#This Row],[NET A PAYER]]-Tableau6[[#This Row],[MONTANT PAYE]]</f>
        <v>0</v>
      </c>
      <c r="Z273" s="210"/>
    </row>
    <row r="274" spans="1:26" x14ac:dyDescent="0.2">
      <c r="A274" t="s">
        <v>100</v>
      </c>
      <c r="B274" s="211">
        <v>45987</v>
      </c>
      <c r="C274" s="212">
        <v>45987</v>
      </c>
      <c r="D274" s="259">
        <v>135</v>
      </c>
      <c r="E274" s="254" t="s">
        <v>138</v>
      </c>
      <c r="F274" s="254" t="s">
        <v>321</v>
      </c>
      <c r="G274" s="254" t="s">
        <v>178</v>
      </c>
      <c r="H274" s="254" t="s">
        <v>116</v>
      </c>
      <c r="I274" s="287"/>
      <c r="J274" s="288">
        <v>7500016</v>
      </c>
      <c r="K274" s="219">
        <f>+Tableau6[[#This Row],[MONTANT HT BIEN]]+Tableau6[[#This Row],[MONTANT HT SERVICE]]</f>
        <v>7500016</v>
      </c>
      <c r="L274" s="10">
        <v>0</v>
      </c>
      <c r="M274" s="380">
        <f>+IFERROR(IF(Tableau6[[#This Row],[CODE TVA]]="TVAF",Tableau6[[#This Row],[MONTANT HT]]*0.18,0),0)</f>
        <v>1350002.88</v>
      </c>
      <c r="N274" s="380">
        <f>Tableau6[[#This Row],[MONTANT HT]]+Tableau6[[#This Row],[TVA]]-Tableau6[[#This Row],[ACOMPTE SUR HT]]</f>
        <v>8850018.879999999</v>
      </c>
      <c r="O274" s="380"/>
      <c r="P274" s="380">
        <f>+ROUND(Tableau6[[#This Row],[MONTANT TTC]]-Tableau6[[#This Row],[ACOMPTE SUR TTC]],0)</f>
        <v>8850019</v>
      </c>
      <c r="Q274" t="s">
        <v>314</v>
      </c>
      <c r="R274" s="382">
        <f>IFERROR(INDEX(Tableau2[[ID BC UNIQUE]:[MONTANT HT VALIDE]],MATCH(Tableau6[[#This Row],[N° BC]],Tableau2[ID BC UNIQUE],0),6),0)</f>
        <v>7500016</v>
      </c>
      <c r="S274" s="227">
        <f>IFERROR(INDEX(Tableau2[[DATE]:[DELAIS DE PAIEMENT FACTURES EN JOUR]],MATCH(Tableau6[[#This Row],[N° BC]],Tableau2[ID BC UNIQUE],0),5),0)</f>
        <v>30</v>
      </c>
      <c r="T274" s="211">
        <f>IF(ISBLANK(Tableau6[[#This Row],[DATE DE DEPOT]]),"",Tableau6[[#This Row],[DATE DE DEPOT]]+Tableau6[[#This Row],[DELAI]])</f>
        <v>46017</v>
      </c>
      <c r="U274" s="227">
        <f ca="1">+IF(AND(W274=0,Tableau6[[#This Row],[DATE LIMITE]]&lt;TODAY()),TODAY()-Tableau6[[#This Row],[DATE LIMITE]],0)</f>
        <v>0</v>
      </c>
      <c r="V274"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74" s="289">
        <f>SUMIF(Tableau3[FACTURE],Tableau6[[#This Row],[NUM DE FACTURE]],Tableau3[MONTANT TTC])</f>
        <v>8850019</v>
      </c>
      <c r="X274" s="211"/>
      <c r="Y274" s="226">
        <f>+Tableau6[[#This Row],[NET A PAYER]]-Tableau6[[#This Row],[MONTANT PAYE]]</f>
        <v>0</v>
      </c>
      <c r="Z274" s="210"/>
    </row>
    <row r="275" spans="1:26" x14ac:dyDescent="0.2">
      <c r="A275" t="s">
        <v>100</v>
      </c>
      <c r="B275" s="211">
        <v>45987</v>
      </c>
      <c r="C275" s="212">
        <v>45987</v>
      </c>
      <c r="D275" s="259">
        <v>136</v>
      </c>
      <c r="E275" s="254" t="s">
        <v>138</v>
      </c>
      <c r="F275" s="254" t="s">
        <v>306</v>
      </c>
      <c r="G275" s="254" t="s">
        <v>179</v>
      </c>
      <c r="H275" s="254" t="s">
        <v>305</v>
      </c>
      <c r="I275" s="287"/>
      <c r="J275" s="288">
        <v>15995384</v>
      </c>
      <c r="K275" s="219">
        <f>+Tableau6[[#This Row],[MONTANT HT BIEN]]+Tableau6[[#This Row],[MONTANT HT SERVICE]]</f>
        <v>15995384</v>
      </c>
      <c r="L275" s="10">
        <v>0</v>
      </c>
      <c r="M275" s="380">
        <f>+IFERROR(IF(Tableau6[[#This Row],[CODE TVA]]="TVAF",Tableau6[[#This Row],[MONTANT HT]]*0.18,0),0)</f>
        <v>0</v>
      </c>
      <c r="N275" s="380">
        <f>Tableau6[[#This Row],[MONTANT HT]]+Tableau6[[#This Row],[TVA]]-Tableau6[[#This Row],[ACOMPTE SUR HT]]</f>
        <v>15995384</v>
      </c>
      <c r="O275" s="380"/>
      <c r="P275" s="380">
        <f>+ROUND(Tableau6[[#This Row],[MONTANT TTC]]-Tableau6[[#This Row],[ACOMPTE SUR TTC]],0)</f>
        <v>15995384</v>
      </c>
      <c r="Q275" t="s">
        <v>315</v>
      </c>
      <c r="R275" s="382">
        <f>IFERROR(INDEX(Tableau2[[ID BC UNIQUE]:[MONTANT HT VALIDE]],MATCH(Tableau6[[#This Row],[N° BC]],Tableau2[ID BC UNIQUE],0),6),0)</f>
        <v>15995384</v>
      </c>
      <c r="S275" s="227">
        <f>IFERROR(INDEX(Tableau2[[DATE]:[DELAIS DE PAIEMENT FACTURES EN JOUR]],MATCH(Tableau6[[#This Row],[N° BC]],Tableau2[ID BC UNIQUE],0),5),0)</f>
        <v>30</v>
      </c>
      <c r="T275" s="211">
        <f>IF(ISBLANK(Tableau6[[#This Row],[DATE DE DEPOT]]),"",Tableau6[[#This Row],[DATE DE DEPOT]]+Tableau6[[#This Row],[DELAI]])</f>
        <v>46017</v>
      </c>
      <c r="U275" s="227">
        <f ca="1">+IF(AND(W275=0,Tableau6[[#This Row],[DATE LIMITE]]&lt;TODAY()),TODAY()-Tableau6[[#This Row],[DATE LIMITE]],0)</f>
        <v>0</v>
      </c>
      <c r="V275"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PAIEMENT PARTIEL</v>
      </c>
      <c r="W275" s="289">
        <f>SUMIF(Tableau3[FACTURE],Tableau6[[#This Row],[NUM DE FACTURE]],Tableau3[MONTANT TTC])</f>
        <v>15994000</v>
      </c>
      <c r="X275" s="211"/>
      <c r="Y275" s="226">
        <f>+Tableau6[[#This Row],[NET A PAYER]]-Tableau6[[#This Row],[MONTANT PAYE]]</f>
        <v>1384</v>
      </c>
      <c r="Z275" s="210"/>
    </row>
    <row r="276" spans="1:26" x14ac:dyDescent="0.2">
      <c r="A276" t="s">
        <v>100</v>
      </c>
      <c r="B276" s="211">
        <v>45987</v>
      </c>
      <c r="C276" s="211">
        <v>45987</v>
      </c>
      <c r="D276" s="259">
        <v>137</v>
      </c>
      <c r="E276" s="254" t="s">
        <v>138</v>
      </c>
      <c r="F276" s="254" t="s">
        <v>303</v>
      </c>
      <c r="G276" s="254" t="s">
        <v>182</v>
      </c>
      <c r="H276" s="254" t="s">
        <v>116</v>
      </c>
      <c r="I276" s="287"/>
      <c r="J276" s="288">
        <v>2000000</v>
      </c>
      <c r="K276" s="219">
        <f>+Tableau6[[#This Row],[MONTANT HT BIEN]]+Tableau6[[#This Row],[MONTANT HT SERVICE]]</f>
        <v>2000000</v>
      </c>
      <c r="L276" s="10">
        <v>0</v>
      </c>
      <c r="M276" s="380">
        <f>+IFERROR(IF(Tableau6[[#This Row],[CODE TVA]]="TVAF",Tableau6[[#This Row],[MONTANT HT]]*0.18,0),0)</f>
        <v>360000</v>
      </c>
      <c r="N276" s="380">
        <f>Tableau6[[#This Row],[MONTANT HT]]+Tableau6[[#This Row],[TVA]]-Tableau6[[#This Row],[ACOMPTE SUR HT]]</f>
        <v>2360000</v>
      </c>
      <c r="O276" s="380"/>
      <c r="P276" s="380">
        <f>+ROUND(Tableau6[[#This Row],[MONTANT TTC]]-Tableau6[[#This Row],[ACOMPTE SUR TTC]],0)</f>
        <v>2360000</v>
      </c>
      <c r="Q276" t="s">
        <v>316</v>
      </c>
      <c r="R276" s="382">
        <f>IFERROR(INDEX(Tableau2[[ID BC UNIQUE]:[MONTANT HT VALIDE]],MATCH(Tableau6[[#This Row],[N° BC]],Tableau2[ID BC UNIQUE],0),6),0)</f>
        <v>2000000</v>
      </c>
      <c r="S276" s="227">
        <f>IFERROR(INDEX(Tableau2[[DATE]:[DELAIS DE PAIEMENT FACTURES EN JOUR]],MATCH(Tableau6[[#This Row],[N° BC]],Tableau2[ID BC UNIQUE],0),5),0)</f>
        <v>30</v>
      </c>
      <c r="T276" s="211">
        <f>IF(ISBLANK(Tableau6[[#This Row],[DATE DE DEPOT]]),"",Tableau6[[#This Row],[DATE DE DEPOT]]+Tableau6[[#This Row],[DELAI]])</f>
        <v>46017</v>
      </c>
      <c r="U276" s="227">
        <f ca="1">+IF(AND(W276=0,Tableau6[[#This Row],[DATE LIMITE]]&lt;TODAY()),TODAY()-Tableau6[[#This Row],[DATE LIMITE]],0)</f>
        <v>0</v>
      </c>
      <c r="V276"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76" s="289">
        <f>SUMIF(Tableau3[FACTURE],Tableau6[[#This Row],[NUM DE FACTURE]],Tableau3[MONTANT TTC])</f>
        <v>2360000</v>
      </c>
      <c r="X276" s="211"/>
      <c r="Y276" s="226">
        <f>+Tableau6[[#This Row],[NET A PAYER]]-Tableau6[[#This Row],[MONTANT PAYE]]</f>
        <v>0</v>
      </c>
      <c r="Z276" s="210"/>
    </row>
    <row r="277" spans="1:26" x14ac:dyDescent="0.2">
      <c r="A277" t="s">
        <v>100</v>
      </c>
      <c r="B277" s="211">
        <v>45987</v>
      </c>
      <c r="C277" s="211">
        <v>45987</v>
      </c>
      <c r="D277" s="259">
        <v>138</v>
      </c>
      <c r="E277" s="254" t="s">
        <v>138</v>
      </c>
      <c r="F277" s="254" t="s">
        <v>304</v>
      </c>
      <c r="G277" s="254" t="s">
        <v>182</v>
      </c>
      <c r="H277" s="254" t="s">
        <v>116</v>
      </c>
      <c r="I277" s="287"/>
      <c r="J277" s="288">
        <v>1080000</v>
      </c>
      <c r="K277" s="219">
        <f>+Tableau6[[#This Row],[MONTANT HT BIEN]]+Tableau6[[#This Row],[MONTANT HT SERVICE]]</f>
        <v>1080000</v>
      </c>
      <c r="L277" s="10">
        <v>0</v>
      </c>
      <c r="M277" s="380">
        <f>+IFERROR(IF(Tableau6[[#This Row],[CODE TVA]]="TVAF",Tableau6[[#This Row],[MONTANT HT]]*0.18,0),0)</f>
        <v>194400</v>
      </c>
      <c r="N277" s="380">
        <f>Tableau6[[#This Row],[MONTANT HT]]+Tableau6[[#This Row],[TVA]]-Tableau6[[#This Row],[ACOMPTE SUR HT]]</f>
        <v>1274400</v>
      </c>
      <c r="O277" s="380"/>
      <c r="P277" s="380">
        <f>+ROUND(Tableau6[[#This Row],[MONTANT TTC]]-Tableau6[[#This Row],[ACOMPTE SUR TTC]],0)</f>
        <v>1274400</v>
      </c>
      <c r="Q277" t="s">
        <v>317</v>
      </c>
      <c r="R277" s="382">
        <f>IFERROR(INDEX(Tableau2[[ID BC UNIQUE]:[MONTANT HT VALIDE]],MATCH(Tableau6[[#This Row],[N° BC]],Tableau2[ID BC UNIQUE],0),6),0)</f>
        <v>1080000</v>
      </c>
      <c r="S277" s="227">
        <f>IFERROR(INDEX(Tableau2[[DATE]:[DELAIS DE PAIEMENT FACTURES EN JOUR]],MATCH(Tableau6[[#This Row],[N° BC]],Tableau2[ID BC UNIQUE],0),5),0)</f>
        <v>30</v>
      </c>
      <c r="T277" s="211">
        <f>IF(ISBLANK(Tableau6[[#This Row],[DATE DE DEPOT]]),"",Tableau6[[#This Row],[DATE DE DEPOT]]+Tableau6[[#This Row],[DELAI]])</f>
        <v>46017</v>
      </c>
      <c r="U277" s="227">
        <f ca="1">+IF(AND(W277=0,Tableau6[[#This Row],[DATE LIMITE]]&lt;TODAY()),TODAY()-Tableau6[[#This Row],[DATE LIMITE]],0)</f>
        <v>0</v>
      </c>
      <c r="V277"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77" s="289">
        <f>SUMIF(Tableau3[FACTURE],Tableau6[[#This Row],[NUM DE FACTURE]],Tableau3[MONTANT TTC])</f>
        <v>1274400</v>
      </c>
      <c r="X277" s="211"/>
      <c r="Y277" s="226">
        <f>+Tableau6[[#This Row],[NET A PAYER]]-Tableau6[[#This Row],[MONTANT PAYE]]</f>
        <v>0</v>
      </c>
      <c r="Z277" s="210"/>
    </row>
    <row r="278" spans="1:26" x14ac:dyDescent="0.2">
      <c r="A278" t="s">
        <v>100</v>
      </c>
      <c r="B278" s="211">
        <v>45987</v>
      </c>
      <c r="C278" s="212">
        <v>45987</v>
      </c>
      <c r="D278" s="355">
        <v>139</v>
      </c>
      <c r="E278" s="254" t="s">
        <v>138</v>
      </c>
      <c r="F278" s="254" t="s">
        <v>303</v>
      </c>
      <c r="G278" s="254" t="s">
        <v>179</v>
      </c>
      <c r="H278" s="254" t="s">
        <v>305</v>
      </c>
      <c r="I278" s="258"/>
      <c r="J278" s="247">
        <v>16250001</v>
      </c>
      <c r="K278" s="213">
        <f>+Tableau6[[#This Row],[MONTANT HT BIEN]]+Tableau6[[#This Row],[MONTANT HT SERVICE]]</f>
        <v>16250001</v>
      </c>
      <c r="L278" s="153">
        <v>0</v>
      </c>
      <c r="M278" s="214">
        <f>+IFERROR(IF(Tableau6[[#This Row],[CODE TVA]]="TVAF",Tableau6[[#This Row],[MONTANT HT]]*0.18,0),0)</f>
        <v>0</v>
      </c>
      <c r="N278" s="214">
        <f>Tableau6[[#This Row],[MONTANT HT]]+Tableau6[[#This Row],[TVA]]-Tableau6[[#This Row],[ACOMPTE SUR HT]]</f>
        <v>16250001</v>
      </c>
      <c r="O278" s="214"/>
      <c r="P278" s="214">
        <f>+ROUND(Tableau6[[#This Row],[MONTANT TTC]]-Tableau6[[#This Row],[ACOMPTE SUR TTC]],0)</f>
        <v>16250001</v>
      </c>
      <c r="Q278" s="2" t="s">
        <v>318</v>
      </c>
      <c r="R278" s="215">
        <f>IFERROR(INDEX(Tableau2[[ID BC UNIQUE]:[MONTANT HT VALIDE]],MATCH(Tableau6[[#This Row],[N° BC]],Tableau2[ID BC UNIQUE],0),6),0)</f>
        <v>16250001</v>
      </c>
      <c r="S278" s="216">
        <f>IFERROR(INDEX(Tableau2[[DATE]:[DELAIS DE PAIEMENT FACTURES EN JOUR]],MATCH(Tableau6[[#This Row],[N° BC]],Tableau2[ID BC UNIQUE],0),5),0)</f>
        <v>30</v>
      </c>
      <c r="T278" s="212">
        <f>IF(ISBLANK(Tableau6[[#This Row],[DATE DE DEPOT]]),"",Tableau6[[#This Row],[DATE DE DEPOT]]+Tableau6[[#This Row],[DELAI]])</f>
        <v>46017</v>
      </c>
      <c r="U278" s="216">
        <f ca="1">+IF(AND(W278=0,Tableau6[[#This Row],[DATE LIMITE]]&lt;TODAY()),TODAY()-Tableau6[[#This Row],[DATE LIMITE]],0)</f>
        <v>0</v>
      </c>
      <c r="V278" s="217"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78" s="218">
        <f>SUMIF(Tableau3[FACTURE],Tableau6[[#This Row],[NUM DE FACTURE]],Tableau3[MONTANT TTC])</f>
        <v>16250001</v>
      </c>
      <c r="X278" s="212"/>
      <c r="Y278" s="226">
        <f>+Tableau6[[#This Row],[NET A PAYER]]-Tableau6[[#This Row],[MONTANT PAYE]]</f>
        <v>0</v>
      </c>
      <c r="Z278" s="210"/>
    </row>
    <row r="279" spans="1:26" x14ac:dyDescent="0.2">
      <c r="A279" t="s">
        <v>100</v>
      </c>
      <c r="B279" s="211">
        <v>45987</v>
      </c>
      <c r="C279" s="211">
        <v>45987</v>
      </c>
      <c r="D279" s="259">
        <v>140</v>
      </c>
      <c r="E279" s="254" t="s">
        <v>138</v>
      </c>
      <c r="F279" s="254" t="s">
        <v>303</v>
      </c>
      <c r="G279" s="254" t="s">
        <v>181</v>
      </c>
      <c r="H279" s="254" t="s">
        <v>116</v>
      </c>
      <c r="I279" s="287"/>
      <c r="J279" s="288">
        <v>26889880</v>
      </c>
      <c r="K279" s="219">
        <f>+Tableau6[[#This Row],[MONTANT HT BIEN]]+Tableau6[[#This Row],[MONTANT HT SERVICE]]</f>
        <v>26889880</v>
      </c>
      <c r="L279" s="10">
        <v>0</v>
      </c>
      <c r="M279" s="380">
        <f>+IFERROR(IF(Tableau6[[#This Row],[CODE TVA]]="TVAF",Tableau6[[#This Row],[MONTANT HT]]*0.18,0),0)</f>
        <v>4840178.3999999994</v>
      </c>
      <c r="N279" s="380">
        <f>Tableau6[[#This Row],[MONTANT HT]]+Tableau6[[#This Row],[TVA]]-Tableau6[[#This Row],[ACOMPTE SUR HT]]</f>
        <v>31730058.399999999</v>
      </c>
      <c r="O279" s="380"/>
      <c r="P279" s="380">
        <f>+ROUND(Tableau6[[#This Row],[MONTANT TTC]]-Tableau6[[#This Row],[ACOMPTE SUR TTC]],0)</f>
        <v>31730058</v>
      </c>
      <c r="Q279" t="s">
        <v>319</v>
      </c>
      <c r="R279" s="382">
        <f>IFERROR(INDEX(Tableau2[[ID BC UNIQUE]:[MONTANT HT VALIDE]],MATCH(Tableau6[[#This Row],[N° BC]],Tableau2[ID BC UNIQUE],0),6),0)</f>
        <v>26889880</v>
      </c>
      <c r="S279" s="227">
        <f>IFERROR(INDEX(Tableau2[[DATE]:[DELAIS DE PAIEMENT FACTURES EN JOUR]],MATCH(Tableau6[[#This Row],[N° BC]],Tableau2[ID BC UNIQUE],0),5),0)</f>
        <v>30</v>
      </c>
      <c r="T279" s="211">
        <f>IF(ISBLANK(Tableau6[[#This Row],[DATE DE DEPOT]]),"",Tableau6[[#This Row],[DATE DE DEPOT]]+Tableau6[[#This Row],[DELAI]])</f>
        <v>46017</v>
      </c>
      <c r="U279" s="227">
        <f ca="1">+IF(AND(W279=0,Tableau6[[#This Row],[DATE LIMITE]]&lt;TODAY()),TODAY()-Tableau6[[#This Row],[DATE LIMITE]],0)</f>
        <v>0</v>
      </c>
      <c r="V279"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79" s="289">
        <f>SUMIF(Tableau3[FACTURE],Tableau6[[#This Row],[NUM DE FACTURE]],Tableau3[MONTANT TTC])</f>
        <v>31730058</v>
      </c>
      <c r="X279" s="211"/>
      <c r="Y279" s="226">
        <f>+Tableau6[[#This Row],[NET A PAYER]]-Tableau6[[#This Row],[MONTANT PAYE]]</f>
        <v>0</v>
      </c>
      <c r="Z279" s="210"/>
    </row>
    <row r="280" spans="1:26" x14ac:dyDescent="0.2">
      <c r="A280" t="s">
        <v>100</v>
      </c>
      <c r="B280" s="211">
        <v>45987</v>
      </c>
      <c r="C280" s="211">
        <v>45987</v>
      </c>
      <c r="D280" s="259">
        <v>141</v>
      </c>
      <c r="E280" s="254" t="s">
        <v>138</v>
      </c>
      <c r="F280" s="254" t="s">
        <v>321</v>
      </c>
      <c r="G280" s="254" t="s">
        <v>179</v>
      </c>
      <c r="H280" s="254" t="s">
        <v>305</v>
      </c>
      <c r="I280" s="287"/>
      <c r="J280" s="288">
        <v>11300000</v>
      </c>
      <c r="K280" s="219">
        <f>+Tableau6[[#This Row],[MONTANT HT BIEN]]+Tableau6[[#This Row],[MONTANT HT SERVICE]]</f>
        <v>11300000</v>
      </c>
      <c r="L280" s="10">
        <v>0</v>
      </c>
      <c r="M280" s="380">
        <f>+IFERROR(IF(Tableau6[[#This Row],[CODE TVA]]="TVAF",Tableau6[[#This Row],[MONTANT HT]]*0.18,0),0)</f>
        <v>0</v>
      </c>
      <c r="N280" s="380">
        <f>Tableau6[[#This Row],[MONTANT HT]]+Tableau6[[#This Row],[TVA]]-Tableau6[[#This Row],[ACOMPTE SUR HT]]</f>
        <v>11300000</v>
      </c>
      <c r="O280" s="380"/>
      <c r="P280" s="380">
        <f>+ROUND(Tableau6[[#This Row],[MONTANT TTC]]-Tableau6[[#This Row],[ACOMPTE SUR TTC]],0)</f>
        <v>11300000</v>
      </c>
      <c r="Q280" t="s">
        <v>320</v>
      </c>
      <c r="R280" s="382">
        <f>IFERROR(INDEX(Tableau2[[ID BC UNIQUE]:[MONTANT HT VALIDE]],MATCH(Tableau6[[#This Row],[N° BC]],Tableau2[ID BC UNIQUE],0),6),0)</f>
        <v>11300000</v>
      </c>
      <c r="S280" s="227">
        <f>IFERROR(INDEX(Tableau2[[DATE]:[DELAIS DE PAIEMENT FACTURES EN JOUR]],MATCH(Tableau6[[#This Row],[N° BC]],Tableau2[ID BC UNIQUE],0),5),0)</f>
        <v>30</v>
      </c>
      <c r="T280" s="211">
        <f>IF(ISBLANK(Tableau6[[#This Row],[DATE DE DEPOT]]),"",Tableau6[[#This Row],[DATE DE DEPOT]]+Tableau6[[#This Row],[DELAI]])</f>
        <v>46017</v>
      </c>
      <c r="U280" s="227">
        <f ca="1">+IF(AND(W280=0,Tableau6[[#This Row],[DATE LIMITE]]&lt;TODAY()),TODAY()-Tableau6[[#This Row],[DATE LIMITE]],0)</f>
        <v>0</v>
      </c>
      <c r="V280"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80" s="289">
        <f>SUMIF(Tableau3[FACTURE],Tableau6[[#This Row],[NUM DE FACTURE]],Tableau3[MONTANT TTC])</f>
        <v>11300000</v>
      </c>
      <c r="X280" s="211"/>
      <c r="Y280" s="226">
        <f>+Tableau6[[#This Row],[NET A PAYER]]-Tableau6[[#This Row],[MONTANT PAYE]]</f>
        <v>0</v>
      </c>
      <c r="Z280" s="210"/>
    </row>
    <row r="281" spans="1:26" x14ac:dyDescent="0.2">
      <c r="A281" t="s">
        <v>100</v>
      </c>
      <c r="B281" s="211">
        <v>45989</v>
      </c>
      <c r="C281" s="211">
        <v>45989</v>
      </c>
      <c r="D281" s="259">
        <v>142</v>
      </c>
      <c r="E281" s="254" t="s">
        <v>138</v>
      </c>
      <c r="F281" s="254" t="s">
        <v>304</v>
      </c>
      <c r="G281" s="254" t="s">
        <v>179</v>
      </c>
      <c r="H281" s="254" t="s">
        <v>305</v>
      </c>
      <c r="I281" s="287"/>
      <c r="J281" s="288">
        <v>21034000</v>
      </c>
      <c r="K281" s="219">
        <f>+Tableau6[[#This Row],[MONTANT HT BIEN]]+Tableau6[[#This Row],[MONTANT HT SERVICE]]</f>
        <v>21034000</v>
      </c>
      <c r="L281" s="10">
        <v>0</v>
      </c>
      <c r="M281" s="380">
        <f>+IFERROR(IF(Tableau6[[#This Row],[CODE TVA]]="TVAF",Tableau6[[#This Row],[MONTANT HT]]*0.18,0),0)</f>
        <v>0</v>
      </c>
      <c r="N281" s="380">
        <f>Tableau6[[#This Row],[MONTANT HT]]+Tableau6[[#This Row],[TVA]]-Tableau6[[#This Row],[ACOMPTE SUR HT]]</f>
        <v>21034000</v>
      </c>
      <c r="O281" s="380"/>
      <c r="P281" s="380">
        <f>+ROUND(Tableau6[[#This Row],[MONTANT TTC]]-Tableau6[[#This Row],[ACOMPTE SUR TTC]],0)</f>
        <v>21034000</v>
      </c>
      <c r="Q281" t="s">
        <v>323</v>
      </c>
      <c r="R281" s="382">
        <f>IFERROR(INDEX(Tableau2[[ID BC UNIQUE]:[MONTANT HT VALIDE]],MATCH(Tableau6[[#This Row],[N° BC]],Tableau2[ID BC UNIQUE],0),6),0)</f>
        <v>21034000</v>
      </c>
      <c r="S281" s="227">
        <f>IFERROR(INDEX(Tableau2[[DATE]:[DELAIS DE PAIEMENT FACTURES EN JOUR]],MATCH(Tableau6[[#This Row],[N° BC]],Tableau2[ID BC UNIQUE],0),5),0)</f>
        <v>30</v>
      </c>
      <c r="T281" s="211">
        <f>IF(ISBLANK(Tableau6[[#This Row],[DATE DE DEPOT]]),"",Tableau6[[#This Row],[DATE DE DEPOT]]+Tableau6[[#This Row],[DELAI]])</f>
        <v>46019</v>
      </c>
      <c r="U281" s="227">
        <f ca="1">+IF(AND(W281=0,Tableau6[[#This Row],[DATE LIMITE]]&lt;TODAY()),TODAY()-Tableau6[[#This Row],[DATE LIMITE]],0)</f>
        <v>0</v>
      </c>
      <c r="V281"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81" s="289">
        <f>SUMIF(Tableau3[FACTURE],Tableau6[[#This Row],[NUM DE FACTURE]],Tableau3[MONTANT TTC])</f>
        <v>21034000</v>
      </c>
      <c r="X281" s="211"/>
      <c r="Y281" s="226">
        <f>+Tableau6[[#This Row],[NET A PAYER]]-Tableau6[[#This Row],[MONTANT PAYE]]</f>
        <v>0</v>
      </c>
      <c r="Z281" s="210"/>
    </row>
    <row r="282" spans="1:26" x14ac:dyDescent="0.2">
      <c r="A282" t="s">
        <v>100</v>
      </c>
      <c r="B282" s="211">
        <v>45989</v>
      </c>
      <c r="C282" s="211">
        <v>45989</v>
      </c>
      <c r="D282" s="259">
        <v>143</v>
      </c>
      <c r="E282" s="254" t="s">
        <v>138</v>
      </c>
      <c r="F282" s="254" t="s">
        <v>304</v>
      </c>
      <c r="G282" s="254" t="s">
        <v>186</v>
      </c>
      <c r="H282" s="254" t="s">
        <v>116</v>
      </c>
      <c r="I282" s="287"/>
      <c r="J282" s="288">
        <v>12950000</v>
      </c>
      <c r="K282" s="219">
        <f>+Tableau6[[#This Row],[MONTANT HT BIEN]]+Tableau6[[#This Row],[MONTANT HT SERVICE]]</f>
        <v>12950000</v>
      </c>
      <c r="L282" s="10">
        <v>0</v>
      </c>
      <c r="M282" s="380">
        <f>+IFERROR(IF(Tableau6[[#This Row],[CODE TVA]]="TVAF",Tableau6[[#This Row],[MONTANT HT]]*0.18,0),0)</f>
        <v>2331000</v>
      </c>
      <c r="N282" s="380">
        <f>Tableau6[[#This Row],[MONTANT HT]]+Tableau6[[#This Row],[TVA]]-Tableau6[[#This Row],[ACOMPTE SUR HT]]</f>
        <v>15281000</v>
      </c>
      <c r="O282" s="380"/>
      <c r="P282" s="380">
        <f>+ROUND(Tableau6[[#This Row],[MONTANT TTC]]-Tableau6[[#This Row],[ACOMPTE SUR TTC]],0)</f>
        <v>15281000</v>
      </c>
      <c r="Q282" t="s">
        <v>324</v>
      </c>
      <c r="R282" s="382">
        <f>IFERROR(INDEX(Tableau2[[ID BC UNIQUE]:[MONTANT HT VALIDE]],MATCH(Tableau6[[#This Row],[N° BC]],Tableau2[ID BC UNIQUE],0),6),0)</f>
        <v>12950000</v>
      </c>
      <c r="S282" s="227">
        <f>IFERROR(INDEX(Tableau2[[DATE]:[DELAIS DE PAIEMENT FACTURES EN JOUR]],MATCH(Tableau6[[#This Row],[N° BC]],Tableau2[ID BC UNIQUE],0),5),0)</f>
        <v>30</v>
      </c>
      <c r="T282" s="211">
        <f>IF(ISBLANK(Tableau6[[#This Row],[DATE DE DEPOT]]),"",Tableau6[[#This Row],[DATE DE DEPOT]]+Tableau6[[#This Row],[DELAI]])</f>
        <v>46019</v>
      </c>
      <c r="U282" s="227">
        <f ca="1">+IF(AND(W282=0,Tableau6[[#This Row],[DATE LIMITE]]&lt;TODAY()),TODAY()-Tableau6[[#This Row],[DATE LIMITE]],0)</f>
        <v>0</v>
      </c>
      <c r="V282" s="21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82" s="289">
        <f>SUMIF(Tableau3[FACTURE],Tableau6[[#This Row],[NUM DE FACTURE]],Tableau3[MONTANT TTC])</f>
        <v>15281000</v>
      </c>
      <c r="X282" s="211"/>
      <c r="Y282" s="226">
        <f>+Tableau6[[#This Row],[NET A PAYER]]-Tableau6[[#This Row],[MONTANT PAYE]]</f>
        <v>0</v>
      </c>
      <c r="Z282" s="210"/>
    </row>
    <row r="283" spans="1:26" x14ac:dyDescent="0.2">
      <c r="A283" t="s">
        <v>100</v>
      </c>
      <c r="B283" s="291">
        <v>45989</v>
      </c>
      <c r="C283" s="291">
        <v>45989</v>
      </c>
      <c r="D283" s="378">
        <v>144</v>
      </c>
      <c r="E283" s="254" t="s">
        <v>138</v>
      </c>
      <c r="F283" s="254" t="s">
        <v>303</v>
      </c>
      <c r="G283" s="254" t="s">
        <v>178</v>
      </c>
      <c r="H283" s="254" t="s">
        <v>116</v>
      </c>
      <c r="I283" s="304"/>
      <c r="J283" s="305">
        <v>2040000</v>
      </c>
      <c r="K283" s="306">
        <f>+Tableau6[[#This Row],[MONTANT HT BIEN]]+Tableau6[[#This Row],[MONTANT HT SERVICE]]</f>
        <v>2040000</v>
      </c>
      <c r="L283" s="10">
        <v>0</v>
      </c>
      <c r="M283" s="381">
        <f>+IFERROR(IF(Tableau6[[#This Row],[CODE TVA]]="TVAF",Tableau6[[#This Row],[MONTANT HT]]*0.18,0),0)</f>
        <v>367200</v>
      </c>
      <c r="N283" s="381">
        <f>Tableau6[[#This Row],[MONTANT HT]]+Tableau6[[#This Row],[TVA]]-Tableau6[[#This Row],[ACOMPTE SUR HT]]</f>
        <v>2407200</v>
      </c>
      <c r="O283" s="381"/>
      <c r="P283" s="381">
        <f>+ROUND(Tableau6[[#This Row],[MONTANT TTC]]-Tableau6[[#This Row],[ACOMPTE SUR TTC]],0)</f>
        <v>2407200</v>
      </c>
      <c r="Q283" t="s">
        <v>325</v>
      </c>
      <c r="R283" s="383">
        <f>IFERROR(INDEX(Tableau2[[ID BC UNIQUE]:[MONTANT HT VALIDE]],MATCH(Tableau6[[#This Row],[N° BC]],Tableau2[ID BC UNIQUE],0),6),0)</f>
        <v>2040000</v>
      </c>
      <c r="S283" s="384">
        <f>IFERROR(INDEX(Tableau2[[DATE]:[DELAIS DE PAIEMENT FACTURES EN JOUR]],MATCH(Tableau6[[#This Row],[N° BC]],Tableau2[ID BC UNIQUE],0),5),0)</f>
        <v>30</v>
      </c>
      <c r="T283" s="291">
        <f>IF(ISBLANK(Tableau6[[#This Row],[DATE DE DEPOT]]),"",Tableau6[[#This Row],[DATE DE DEPOT]]+Tableau6[[#This Row],[DELAI]])</f>
        <v>46019</v>
      </c>
      <c r="U283" s="384">
        <f ca="1">+IF(AND(W283=0,Tableau6[[#This Row],[DATE LIMITE]]&lt;TODAY()),TODAY()-Tableau6[[#This Row],[DATE LIMITE]],0)</f>
        <v>0</v>
      </c>
      <c r="V283" s="29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83" s="307">
        <f>SUMIF(Tableau3[FACTURE],Tableau6[[#This Row],[NUM DE FACTURE]],Tableau3[MONTANT TTC])</f>
        <v>2407200</v>
      </c>
      <c r="X283" s="291"/>
      <c r="Y283" s="301">
        <f>+Tableau6[[#This Row],[NET A PAYER]]-Tableau6[[#This Row],[MONTANT PAYE]]</f>
        <v>0</v>
      </c>
      <c r="Z283" s="290"/>
    </row>
    <row r="284" spans="1:26" x14ac:dyDescent="0.2">
      <c r="A284" t="s">
        <v>100</v>
      </c>
      <c r="B284" s="291">
        <v>45990</v>
      </c>
      <c r="C284" s="292">
        <v>46000</v>
      </c>
      <c r="D284" s="353">
        <v>145</v>
      </c>
      <c r="E284" s="254" t="s">
        <v>102</v>
      </c>
      <c r="F284" s="254" t="s">
        <v>303</v>
      </c>
      <c r="G284" s="254" t="s">
        <v>426</v>
      </c>
      <c r="H284" s="254" t="s">
        <v>116</v>
      </c>
      <c r="I284" s="293"/>
      <c r="J284" s="294">
        <v>850000</v>
      </c>
      <c r="K284" s="295">
        <f>+Tableau6[[#This Row],[MONTANT HT BIEN]]+Tableau6[[#This Row],[MONTANT HT SERVICE]]</f>
        <v>850000</v>
      </c>
      <c r="L284" s="153">
        <v>0</v>
      </c>
      <c r="M284" s="296">
        <f>+IFERROR(IF(Tableau6[[#This Row],[CODE TVA]]="TVAF",Tableau6[[#This Row],[MONTANT HT]]*0.18,0),0)</f>
        <v>153000</v>
      </c>
      <c r="N284" s="296">
        <f>Tableau6[[#This Row],[MONTANT HT]]+Tableau6[[#This Row],[TVA]]-Tableau6[[#This Row],[ACOMPTE SUR HT]]</f>
        <v>1003000</v>
      </c>
      <c r="O284" s="296"/>
      <c r="P284" s="296">
        <f>+ROUND(Tableau6[[#This Row],[MONTANT TTC]]-Tableau6[[#This Row],[ACOMPTE SUR TTC]],0)</f>
        <v>1003000</v>
      </c>
      <c r="Q284" s="2" t="s">
        <v>341</v>
      </c>
      <c r="R284" s="298">
        <f>IFERROR(INDEX(Tableau2[[ID BC UNIQUE]:[MONTANT HT VALIDE]],MATCH(Tableau6[[#This Row],[N° BC]],Tableau2[ID BC UNIQUE],0),6),0)</f>
        <v>850000</v>
      </c>
      <c r="S284" s="299">
        <f>IFERROR(INDEX(Tableau2[[DATE]:[DELAIS DE PAIEMENT FACTURES EN JOUR]],MATCH(Tableau6[[#This Row],[N° BC]],Tableau2[ID BC UNIQUE],0),5),0)</f>
        <v>30</v>
      </c>
      <c r="T284" s="292">
        <f>IF(ISBLANK(Tableau6[[#This Row],[DATE DE DEPOT]]),"",Tableau6[[#This Row],[DATE DE DEPOT]]+Tableau6[[#This Row],[DELAI]])</f>
        <v>46030</v>
      </c>
      <c r="U284" s="299">
        <f ca="1">+IF(AND(W284=0,Tableau6[[#This Row],[DATE LIMITE]]&lt;TODAY()),TODAY()-Tableau6[[#This Row],[DATE LIMITE]],0)</f>
        <v>0</v>
      </c>
      <c r="V284" s="297"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84" s="300">
        <f>SUMIF(Tableau3[FACTURE],Tableau6[[#This Row],[NUM DE FACTURE]],Tableau3[MONTANT TTC])</f>
        <v>1003000</v>
      </c>
      <c r="X284" s="292"/>
      <c r="Y284" s="301">
        <f>+Tableau6[[#This Row],[NET A PAYER]]-Tableau6[[#This Row],[MONTANT PAYE]]</f>
        <v>0</v>
      </c>
      <c r="Z284" s="290"/>
    </row>
    <row r="285" spans="1:26" x14ac:dyDescent="0.2">
      <c r="A285" t="s">
        <v>100</v>
      </c>
      <c r="B285" s="291">
        <v>45990</v>
      </c>
      <c r="C285" s="292">
        <v>46000</v>
      </c>
      <c r="D285" s="353">
        <v>146</v>
      </c>
      <c r="E285" s="254" t="s">
        <v>102</v>
      </c>
      <c r="F285" s="254" t="s">
        <v>329</v>
      </c>
      <c r="G285" s="254" t="s">
        <v>426</v>
      </c>
      <c r="H285" s="254" t="s">
        <v>116</v>
      </c>
      <c r="I285" s="293"/>
      <c r="J285" s="294">
        <v>1955000</v>
      </c>
      <c r="K285" s="295">
        <f>+Tableau6[[#This Row],[MONTANT HT BIEN]]+Tableau6[[#This Row],[MONTANT HT SERVICE]]</f>
        <v>1955000</v>
      </c>
      <c r="L285" s="153">
        <v>0</v>
      </c>
      <c r="M285" s="296">
        <f>+IFERROR(IF(Tableau6[[#This Row],[CODE TVA]]="TVAF",Tableau6[[#This Row],[MONTANT HT]]*0.18,0),0)</f>
        <v>351900</v>
      </c>
      <c r="N285" s="296">
        <f>Tableau6[[#This Row],[MONTANT HT]]+Tableau6[[#This Row],[TVA]]-Tableau6[[#This Row],[ACOMPTE SUR HT]]</f>
        <v>2306900</v>
      </c>
      <c r="O285" s="296"/>
      <c r="P285" s="296">
        <f>+ROUND(Tableau6[[#This Row],[MONTANT TTC]]-Tableau6[[#This Row],[ACOMPTE SUR TTC]],0)</f>
        <v>2306900</v>
      </c>
      <c r="Q285" s="2" t="s">
        <v>340</v>
      </c>
      <c r="R285" s="298">
        <f>IFERROR(INDEX(Tableau2[[ID BC UNIQUE]:[MONTANT HT VALIDE]],MATCH(Tableau6[[#This Row],[N° BC]],Tableau2[ID BC UNIQUE],0),6),0)</f>
        <v>1955000</v>
      </c>
      <c r="S285" s="299">
        <f>IFERROR(INDEX(Tableau2[[DATE]:[DELAIS DE PAIEMENT FACTURES EN JOUR]],MATCH(Tableau6[[#This Row],[N° BC]],Tableau2[ID BC UNIQUE],0),5),0)</f>
        <v>30</v>
      </c>
      <c r="T285" s="292">
        <f>IF(ISBLANK(Tableau6[[#This Row],[DATE DE DEPOT]]),"",Tableau6[[#This Row],[DATE DE DEPOT]]+Tableau6[[#This Row],[DELAI]])</f>
        <v>46030</v>
      </c>
      <c r="U285" s="299">
        <f ca="1">+IF(AND(W285=0,Tableau6[[#This Row],[DATE LIMITE]]&lt;TODAY()),TODAY()-Tableau6[[#This Row],[DATE LIMITE]],0)</f>
        <v>0</v>
      </c>
      <c r="V285" s="297"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85" s="300">
        <f>SUMIF(Tableau3[FACTURE],Tableau6[[#This Row],[NUM DE FACTURE]],Tableau3[MONTANT TTC])</f>
        <v>2306900</v>
      </c>
      <c r="X285" s="292"/>
      <c r="Y285" s="301">
        <f>+Tableau6[[#This Row],[NET A PAYER]]-Tableau6[[#This Row],[MONTANT PAYE]]</f>
        <v>0</v>
      </c>
      <c r="Z285" s="290"/>
    </row>
    <row r="286" spans="1:26" x14ac:dyDescent="0.2">
      <c r="A286" s="314" t="s">
        <v>100</v>
      </c>
      <c r="B286" s="315">
        <v>46006</v>
      </c>
      <c r="C286" s="316">
        <v>46007</v>
      </c>
      <c r="D286" s="356">
        <v>25000000001</v>
      </c>
      <c r="E286" s="254" t="s">
        <v>138</v>
      </c>
      <c r="F286" s="254" t="s">
        <v>358</v>
      </c>
      <c r="G286" s="254" t="s">
        <v>188</v>
      </c>
      <c r="H286" s="254" t="s">
        <v>116</v>
      </c>
      <c r="I286" s="317"/>
      <c r="J286" s="318">
        <v>2520000</v>
      </c>
      <c r="K286" s="319">
        <f>+Tableau6[[#This Row],[MONTANT HT BIEN]]+Tableau6[[#This Row],[MONTANT HT SERVICE]]</f>
        <v>2520000</v>
      </c>
      <c r="L286" s="153">
        <v>0</v>
      </c>
      <c r="M286" s="320">
        <f>+IFERROR(IF(Tableau6[[#This Row],[CODE TVA]]="TVAF",Tableau6[[#This Row],[MONTANT HT]]*0.18,0),0)</f>
        <v>453600</v>
      </c>
      <c r="N286" s="320">
        <f>Tableau6[[#This Row],[MONTANT HT]]+Tableau6[[#This Row],[TVA]]-Tableau6[[#This Row],[ACOMPTE SUR HT]]</f>
        <v>2973600</v>
      </c>
      <c r="O286" s="320"/>
      <c r="P286" s="320">
        <f>+ROUND(Tableau6[[#This Row],[MONTANT TTC]]-Tableau6[[#This Row],[ACOMPTE SUR TTC]],0)</f>
        <v>2973600</v>
      </c>
      <c r="Q286" s="2" t="s">
        <v>359</v>
      </c>
      <c r="R286" s="322">
        <f>IFERROR(INDEX(Tableau2[[ID BC UNIQUE]:[MONTANT HT VALIDE]],MATCH(Tableau6[[#This Row],[N° BC]],Tableau2[ID BC UNIQUE],0),6),0)</f>
        <v>2520000</v>
      </c>
      <c r="S286" s="323">
        <f>IFERROR(INDEX(Tableau2[[DATE]:[DELAIS DE PAIEMENT FACTURES EN JOUR]],MATCH(Tableau6[[#This Row],[N° BC]],Tableau2[ID BC UNIQUE],0),5),0)</f>
        <v>30</v>
      </c>
      <c r="T286" s="316">
        <f>IF(ISBLANK(Tableau6[[#This Row],[DATE DE DEPOT]]),"",Tableau6[[#This Row],[DATE DE DEPOT]]+Tableau6[[#This Row],[DELAI]])</f>
        <v>46037</v>
      </c>
      <c r="U286" s="323">
        <f ca="1">+IF(AND(W286=0,Tableau6[[#This Row],[DATE LIMITE]]&lt;TODAY()),TODAY()-Tableau6[[#This Row],[DATE LIMITE]],0)</f>
        <v>0</v>
      </c>
      <c r="V286" s="32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86" s="324">
        <f>SUMIF(Tableau3[FACTURE],Tableau6[[#This Row],[NUM DE FACTURE]],Tableau3[MONTANT TTC])</f>
        <v>2973600</v>
      </c>
      <c r="X286" s="316"/>
      <c r="Y286" s="325">
        <f>+Tableau6[[#This Row],[NET A PAYER]]-Tableau6[[#This Row],[MONTANT PAYE]]</f>
        <v>0</v>
      </c>
      <c r="Z286" s="314"/>
    </row>
    <row r="287" spans="1:26" x14ac:dyDescent="0.2">
      <c r="A287" s="314" t="s">
        <v>100</v>
      </c>
      <c r="B287" s="315">
        <v>46006</v>
      </c>
      <c r="C287" s="315">
        <v>46007</v>
      </c>
      <c r="D287" s="356">
        <v>25000000002</v>
      </c>
      <c r="E287" s="254" t="s">
        <v>138</v>
      </c>
      <c r="F287" s="254" t="s">
        <v>358</v>
      </c>
      <c r="G287" s="254" t="s">
        <v>180</v>
      </c>
      <c r="H287" s="254" t="s">
        <v>116</v>
      </c>
      <c r="I287" s="317"/>
      <c r="J287" s="318">
        <v>6285000</v>
      </c>
      <c r="K287" s="319">
        <f>+Tableau6[[#This Row],[MONTANT HT BIEN]]+Tableau6[[#This Row],[MONTANT HT SERVICE]]</f>
        <v>6285000</v>
      </c>
      <c r="L287" s="153">
        <v>0</v>
      </c>
      <c r="M287" s="320">
        <f>+IFERROR(IF(Tableau6[[#This Row],[CODE TVA]]="TVAF",Tableau6[[#This Row],[MONTANT HT]]*0.18,0),0)</f>
        <v>1131300</v>
      </c>
      <c r="N287" s="320">
        <f>Tableau6[[#This Row],[MONTANT HT]]+Tableau6[[#This Row],[TVA]]-Tableau6[[#This Row],[ACOMPTE SUR HT]]</f>
        <v>7416300</v>
      </c>
      <c r="O287" s="320"/>
      <c r="P287" s="320">
        <f>+ROUND(Tableau6[[#This Row],[MONTANT TTC]]-Tableau6[[#This Row],[ACOMPTE SUR TTC]],0)</f>
        <v>7416300</v>
      </c>
      <c r="Q287" s="2" t="s">
        <v>360</v>
      </c>
      <c r="R287" s="322">
        <f>IFERROR(INDEX(Tableau2[[ID BC UNIQUE]:[MONTANT HT VALIDE]],MATCH(Tableau6[[#This Row],[N° BC]],Tableau2[ID BC UNIQUE],0),6),0)</f>
        <v>6285000</v>
      </c>
      <c r="S287" s="323">
        <f>IFERROR(INDEX(Tableau2[[DATE]:[DELAIS DE PAIEMENT FACTURES EN JOUR]],MATCH(Tableau6[[#This Row],[N° BC]],Tableau2[ID BC UNIQUE],0),5),0)</f>
        <v>30</v>
      </c>
      <c r="T287" s="316">
        <f>IF(ISBLANK(Tableau6[[#This Row],[DATE DE DEPOT]]),"",Tableau6[[#This Row],[DATE DE DEPOT]]+Tableau6[[#This Row],[DELAI]])</f>
        <v>46037</v>
      </c>
      <c r="U287" s="323">
        <f ca="1">+IF(AND(W287=0,Tableau6[[#This Row],[DATE LIMITE]]&lt;TODAY()),TODAY()-Tableau6[[#This Row],[DATE LIMITE]],0)</f>
        <v>0</v>
      </c>
      <c r="V287" s="32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87" s="324">
        <f>SUMIF(Tableau3[FACTURE],Tableau6[[#This Row],[NUM DE FACTURE]],Tableau3[MONTANT TTC])</f>
        <v>7416300</v>
      </c>
      <c r="X287" s="316"/>
      <c r="Y287" s="325">
        <f>+Tableau6[[#This Row],[NET A PAYER]]-Tableau6[[#This Row],[MONTANT PAYE]]</f>
        <v>0</v>
      </c>
      <c r="Z287" s="314"/>
    </row>
    <row r="288" spans="1:26" x14ac:dyDescent="0.2">
      <c r="A288" s="314" t="s">
        <v>100</v>
      </c>
      <c r="B288" s="315">
        <v>46006</v>
      </c>
      <c r="C288" s="315">
        <v>46007</v>
      </c>
      <c r="D288" s="356">
        <v>25000000003</v>
      </c>
      <c r="E288" s="254" t="s">
        <v>138</v>
      </c>
      <c r="F288" s="254" t="s">
        <v>361</v>
      </c>
      <c r="G288" s="254" t="s">
        <v>180</v>
      </c>
      <c r="H288" s="254" t="s">
        <v>116</v>
      </c>
      <c r="I288" s="440"/>
      <c r="J288" s="442">
        <v>23504700</v>
      </c>
      <c r="K288" s="445">
        <f>+Tableau6[[#This Row],[MONTANT HT BIEN]]+Tableau6[[#This Row],[MONTANT HT SERVICE]]</f>
        <v>23504700</v>
      </c>
      <c r="L288" s="10">
        <v>0</v>
      </c>
      <c r="M288" s="447">
        <f>+IFERROR(IF(Tableau6[[#This Row],[CODE TVA]]="TVAF",Tableau6[[#This Row],[MONTANT HT]]*0.18,0),0)</f>
        <v>4230846</v>
      </c>
      <c r="N288" s="447">
        <f>Tableau6[[#This Row],[MONTANT HT]]+Tableau6[[#This Row],[TVA]]-Tableau6[[#This Row],[ACOMPTE SUR HT]]</f>
        <v>27735546</v>
      </c>
      <c r="O288" s="447"/>
      <c r="P288" s="447">
        <f>+ROUND(Tableau6[[#This Row],[MONTANT TTC]]-Tableau6[[#This Row],[ACOMPTE SUR TTC]],0)</f>
        <v>27735546</v>
      </c>
      <c r="Q288" t="s">
        <v>362</v>
      </c>
      <c r="R288" s="451">
        <f>IFERROR(INDEX(Tableau2[[ID BC UNIQUE]:[MONTANT HT VALIDE]],MATCH(Tableau6[[#This Row],[N° BC]],Tableau2[ID BC UNIQUE],0),6),0)</f>
        <v>23504700</v>
      </c>
      <c r="S288" s="454">
        <f>IFERROR(INDEX(Tableau2[[DATE]:[DELAIS DE PAIEMENT FACTURES EN JOUR]],MATCH(Tableau6[[#This Row],[N° BC]],Tableau2[ID BC UNIQUE],0),5),0)</f>
        <v>30</v>
      </c>
      <c r="T288" s="315">
        <f>IF(ISBLANK(Tableau6[[#This Row],[DATE DE DEPOT]]),"",Tableau6[[#This Row],[DATE DE DEPOT]]+Tableau6[[#This Row],[DELAI]])</f>
        <v>46037</v>
      </c>
      <c r="U288" s="454">
        <f ca="1">+IF(AND(W288=0,Tableau6[[#This Row],[DATE LIMITE]]&lt;TODAY()),TODAY()-Tableau6[[#This Row],[DATE LIMITE]],0)</f>
        <v>0</v>
      </c>
      <c r="V288" s="314"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88" s="457">
        <f>SUMIF(Tableau3[FACTURE],Tableau6[[#This Row],[NUM DE FACTURE]],Tableau3[MONTANT TTC])</f>
        <v>27735546</v>
      </c>
      <c r="X288" s="315"/>
      <c r="Y288" s="325">
        <f>+Tableau6[[#This Row],[NET A PAYER]]-Tableau6[[#This Row],[MONTANT PAYE]]</f>
        <v>0</v>
      </c>
      <c r="Z288" s="314"/>
    </row>
    <row r="289" spans="1:26" x14ac:dyDescent="0.2">
      <c r="A289" s="332" t="s">
        <v>100</v>
      </c>
      <c r="B289" s="333">
        <v>46007</v>
      </c>
      <c r="C289" s="333">
        <v>46008</v>
      </c>
      <c r="D289" s="356">
        <v>25000000004</v>
      </c>
      <c r="E289" s="254" t="s">
        <v>138</v>
      </c>
      <c r="F289" s="254" t="s">
        <v>363</v>
      </c>
      <c r="G289" s="254" t="s">
        <v>156</v>
      </c>
      <c r="H289" s="254" t="s">
        <v>116</v>
      </c>
      <c r="I289" s="344"/>
      <c r="J289" s="345">
        <v>2160000</v>
      </c>
      <c r="K289" s="346">
        <f>+Tableau6[[#This Row],[MONTANT HT BIEN]]+Tableau6[[#This Row],[MONTANT HT SERVICE]]</f>
        <v>2160000</v>
      </c>
      <c r="L289" s="10">
        <v>0</v>
      </c>
      <c r="M289" s="347">
        <f>+IFERROR(IF(Tableau6[[#This Row],[CODE TVA]]="TVAF",Tableau6[[#This Row],[MONTANT HT]]*0.18,0),0)</f>
        <v>388800</v>
      </c>
      <c r="N289" s="347">
        <f>Tableau6[[#This Row],[MONTANT HT]]+Tableau6[[#This Row],[TVA]]-Tableau6[[#This Row],[ACOMPTE SUR HT]]</f>
        <v>2548800</v>
      </c>
      <c r="O289" s="347"/>
      <c r="P289" s="347">
        <f>+ROUND(Tableau6[[#This Row],[MONTANT TTC]]-Tableau6[[#This Row],[ACOMPTE SUR TTC]],0)</f>
        <v>2548800</v>
      </c>
      <c r="Q289" s="332" t="s">
        <v>353</v>
      </c>
      <c r="R289" s="348">
        <f>IFERROR(INDEX(Tableau2[[ID BC UNIQUE]:[MONTANT HT VALIDE]],MATCH(Tableau6[[#This Row],[N° BC]],Tableau2[ID BC UNIQUE],0),6),0)</f>
        <v>2160000</v>
      </c>
      <c r="S289" s="349">
        <f>IFERROR(INDEX(Tableau2[[DATE]:[DELAIS DE PAIEMENT FACTURES EN JOUR]],MATCH(Tableau6[[#This Row],[N° BC]],Tableau2[ID BC UNIQUE],0),5),0)</f>
        <v>30</v>
      </c>
      <c r="T289" s="333">
        <f>IF(ISBLANK(Tableau6[[#This Row],[DATE DE DEPOT]]),"",Tableau6[[#This Row],[DATE DE DEPOT]]+Tableau6[[#This Row],[DELAI]])</f>
        <v>46038</v>
      </c>
      <c r="U289" s="349">
        <f ca="1">+IF(AND(W289=0,Tableau6[[#This Row],[DATE LIMITE]]&lt;TODAY()),TODAY()-Tableau6[[#This Row],[DATE LIMITE]],0)</f>
        <v>0</v>
      </c>
      <c r="V289"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89" s="350">
        <f>SUMIF(Tableau3[FACTURE],Tableau6[[#This Row],[NUM DE FACTURE]],Tableau3[MONTANT TTC])</f>
        <v>2548800</v>
      </c>
      <c r="X289" s="333"/>
      <c r="Y289" s="343">
        <f>+Tableau6[[#This Row],[NET A PAYER]]-Tableau6[[#This Row],[MONTANT PAYE]]</f>
        <v>0</v>
      </c>
      <c r="Z289" s="332"/>
    </row>
    <row r="290" spans="1:26" x14ac:dyDescent="0.2">
      <c r="A290" s="332" t="s">
        <v>100</v>
      </c>
      <c r="B290" s="333">
        <v>46007</v>
      </c>
      <c r="C290" s="333">
        <v>46007</v>
      </c>
      <c r="D290" s="356">
        <v>25000000005</v>
      </c>
      <c r="E290" s="254" t="s">
        <v>138</v>
      </c>
      <c r="F290" s="254" t="s">
        <v>358</v>
      </c>
      <c r="G290" s="254" t="s">
        <v>190</v>
      </c>
      <c r="H290" s="254" t="s">
        <v>116</v>
      </c>
      <c r="I290" s="344"/>
      <c r="J290" s="345">
        <v>9160000</v>
      </c>
      <c r="K290" s="346">
        <f>+Tableau6[[#This Row],[MONTANT HT BIEN]]+Tableau6[[#This Row],[MONTANT HT SERVICE]]</f>
        <v>9160000</v>
      </c>
      <c r="L290" s="10">
        <v>0</v>
      </c>
      <c r="M290" s="347">
        <f>+IFERROR(IF(Tableau6[[#This Row],[CODE TVA]]="TVAF",Tableau6[[#This Row],[MONTANT HT]]*0.18,0),0)</f>
        <v>1648800</v>
      </c>
      <c r="N290" s="347">
        <f>Tableau6[[#This Row],[MONTANT HT]]+Tableau6[[#This Row],[TVA]]-Tableau6[[#This Row],[ACOMPTE SUR HT]]</f>
        <v>10808800</v>
      </c>
      <c r="O290" s="347"/>
      <c r="P290" s="347">
        <f>+ROUND(Tableau6[[#This Row],[MONTANT TTC]]-Tableau6[[#This Row],[ACOMPTE SUR TTC]],0)</f>
        <v>10808800</v>
      </c>
      <c r="Q290" s="332" t="s">
        <v>354</v>
      </c>
      <c r="R290" s="348">
        <f>IFERROR(INDEX(Tableau2[[ID BC UNIQUE]:[MONTANT HT VALIDE]],MATCH(Tableau6[[#This Row],[N° BC]],Tableau2[ID BC UNIQUE],0),6),0)</f>
        <v>9160000</v>
      </c>
      <c r="S290" s="349">
        <f>IFERROR(INDEX(Tableau2[[DATE]:[DELAIS DE PAIEMENT FACTURES EN JOUR]],MATCH(Tableau6[[#This Row],[N° BC]],Tableau2[ID BC UNIQUE],0),5),0)</f>
        <v>30</v>
      </c>
      <c r="T290" s="333">
        <f>IF(ISBLANK(Tableau6[[#This Row],[DATE DE DEPOT]]),"",Tableau6[[#This Row],[DATE DE DEPOT]]+Tableau6[[#This Row],[DELAI]])</f>
        <v>46037</v>
      </c>
      <c r="U290" s="349">
        <f ca="1">+IF(AND(W290=0,Tableau6[[#This Row],[DATE LIMITE]]&lt;TODAY()),TODAY()-Tableau6[[#This Row],[DATE LIMITE]],0)</f>
        <v>0</v>
      </c>
      <c r="V290"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90" s="350">
        <f>SUMIF(Tableau3[FACTURE],Tableau6[[#This Row],[NUM DE FACTURE]],Tableau3[MONTANT TTC])</f>
        <v>10808800</v>
      </c>
      <c r="X290" s="333"/>
      <c r="Y290" s="343">
        <f>+Tableau6[[#This Row],[NET A PAYER]]-Tableau6[[#This Row],[MONTANT PAYE]]</f>
        <v>0</v>
      </c>
      <c r="Z290" s="332"/>
    </row>
    <row r="291" spans="1:26" x14ac:dyDescent="0.2">
      <c r="A291" s="332" t="s">
        <v>100</v>
      </c>
      <c r="B291" s="333">
        <v>46007</v>
      </c>
      <c r="C291" s="333">
        <v>46008</v>
      </c>
      <c r="D291" s="356">
        <v>25000000006</v>
      </c>
      <c r="E291" s="254" t="s">
        <v>138</v>
      </c>
      <c r="F291" s="254" t="s">
        <v>364</v>
      </c>
      <c r="G291" s="254" t="s">
        <v>630</v>
      </c>
      <c r="H291" s="254" t="s">
        <v>116</v>
      </c>
      <c r="I291" s="344"/>
      <c r="J291" s="345">
        <v>1346400</v>
      </c>
      <c r="K291" s="346">
        <f>+Tableau6[[#This Row],[MONTANT HT BIEN]]+Tableau6[[#This Row],[MONTANT HT SERVICE]]</f>
        <v>1346400</v>
      </c>
      <c r="L291" s="10">
        <v>0</v>
      </c>
      <c r="M291" s="347">
        <f>+IFERROR(IF(Tableau6[[#This Row],[CODE TVA]]="TVAF",Tableau6[[#This Row],[MONTANT HT]]*0.18,0),0)</f>
        <v>242352</v>
      </c>
      <c r="N291" s="347">
        <f>Tableau6[[#This Row],[MONTANT HT]]+Tableau6[[#This Row],[TVA]]-Tableau6[[#This Row],[ACOMPTE SUR HT]]</f>
        <v>1588752</v>
      </c>
      <c r="O291" s="347"/>
      <c r="P291" s="347">
        <f>+ROUND(Tableau6[[#This Row],[MONTANT TTC]]-Tableau6[[#This Row],[ACOMPTE SUR TTC]],0)</f>
        <v>1588752</v>
      </c>
      <c r="Q291" s="332" t="s">
        <v>355</v>
      </c>
      <c r="R291" s="348">
        <f>IFERROR(INDEX(Tableau2[[ID BC UNIQUE]:[MONTANT HT VALIDE]],MATCH(Tableau6[[#This Row],[N° BC]],Tableau2[ID BC UNIQUE],0),6),0)</f>
        <v>1346400</v>
      </c>
      <c r="S291" s="349">
        <f>IFERROR(INDEX(Tableau2[[DATE]:[DELAIS DE PAIEMENT FACTURES EN JOUR]],MATCH(Tableau6[[#This Row],[N° BC]],Tableau2[ID BC UNIQUE],0),5),0)</f>
        <v>30</v>
      </c>
      <c r="T291" s="333">
        <f>IF(ISBLANK(Tableau6[[#This Row],[DATE DE DEPOT]]),"",Tableau6[[#This Row],[DATE DE DEPOT]]+Tableau6[[#This Row],[DELAI]])</f>
        <v>46038</v>
      </c>
      <c r="U291" s="349">
        <f ca="1">+IF(AND(W291=0,Tableau6[[#This Row],[DATE LIMITE]]&lt;TODAY()),TODAY()-Tableau6[[#This Row],[DATE LIMITE]],0)</f>
        <v>0</v>
      </c>
      <c r="V291"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91" s="350">
        <f>SUMIF(Tableau3[FACTURE],Tableau6[[#This Row],[NUM DE FACTURE]],Tableau3[MONTANT TTC])</f>
        <v>1588752</v>
      </c>
      <c r="X291" s="333"/>
      <c r="Y291" s="343">
        <f>+Tableau6[[#This Row],[NET A PAYER]]-Tableau6[[#This Row],[MONTANT PAYE]]</f>
        <v>0</v>
      </c>
      <c r="Z291" s="332"/>
    </row>
    <row r="292" spans="1:26" x14ac:dyDescent="0.2">
      <c r="A292" s="332" t="s">
        <v>100</v>
      </c>
      <c r="B292" s="333">
        <v>46007</v>
      </c>
      <c r="C292" s="333">
        <v>46007</v>
      </c>
      <c r="D292" s="434">
        <v>25000000007</v>
      </c>
      <c r="E292" s="254" t="s">
        <v>138</v>
      </c>
      <c r="F292" s="254" t="s">
        <v>358</v>
      </c>
      <c r="G292" s="254" t="s">
        <v>617</v>
      </c>
      <c r="H292" s="254" t="s">
        <v>116</v>
      </c>
      <c r="I292" s="344"/>
      <c r="J292" s="345">
        <v>1500000</v>
      </c>
      <c r="K292" s="346">
        <f>+Tableau6[[#This Row],[MONTANT HT BIEN]]+Tableau6[[#This Row],[MONTANT HT SERVICE]]</f>
        <v>1500000</v>
      </c>
      <c r="L292" s="10">
        <v>0</v>
      </c>
      <c r="M292" s="347">
        <f>+IFERROR(IF(Tableau6[[#This Row],[CODE TVA]]="TVAF",Tableau6[[#This Row],[MONTANT HT]]*0.18,0),0)</f>
        <v>270000</v>
      </c>
      <c r="N292" s="347">
        <f>Tableau6[[#This Row],[MONTANT HT]]+Tableau6[[#This Row],[TVA]]-Tableau6[[#This Row],[ACOMPTE SUR HT]]</f>
        <v>1770000</v>
      </c>
      <c r="O292" s="347"/>
      <c r="P292" s="347">
        <f>+ROUND(Tableau6[[#This Row],[MONTANT TTC]]-Tableau6[[#This Row],[ACOMPTE SUR TTC]],0)</f>
        <v>1770000</v>
      </c>
      <c r="Q292" s="332" t="s">
        <v>356</v>
      </c>
      <c r="R292" s="348">
        <f>IFERROR(INDEX(Tableau2[[ID BC UNIQUE]:[MONTANT HT VALIDE]],MATCH(Tableau6[[#This Row],[N° BC]],Tableau2[ID BC UNIQUE],0),6),0)</f>
        <v>1500000</v>
      </c>
      <c r="S292" s="349">
        <f>IFERROR(INDEX(Tableau2[[DATE]:[DELAIS DE PAIEMENT FACTURES EN JOUR]],MATCH(Tableau6[[#This Row],[N° BC]],Tableau2[ID BC UNIQUE],0),5),0)</f>
        <v>30</v>
      </c>
      <c r="T292" s="333">
        <f>IF(ISBLANK(Tableau6[[#This Row],[DATE DE DEPOT]]),"",Tableau6[[#This Row],[DATE DE DEPOT]]+Tableau6[[#This Row],[DELAI]])</f>
        <v>46037</v>
      </c>
      <c r="U292" s="349">
        <f ca="1">+IF(AND(W292=0,Tableau6[[#This Row],[DATE LIMITE]]&lt;TODAY()),TODAY()-Tableau6[[#This Row],[DATE LIMITE]],0)</f>
        <v>0</v>
      </c>
      <c r="V292"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92" s="350">
        <f>SUMIF(Tableau3[FACTURE],Tableau6[[#This Row],[NUM DE FACTURE]],Tableau3[MONTANT TTC])</f>
        <v>1770000</v>
      </c>
      <c r="X292" s="333"/>
      <c r="Y292" s="343">
        <f>+Tableau6[[#This Row],[NET A PAYER]]-Tableau6[[#This Row],[MONTANT PAYE]]</f>
        <v>0</v>
      </c>
      <c r="Z292" s="332"/>
    </row>
    <row r="293" spans="1:26" x14ac:dyDescent="0.2">
      <c r="A293" s="332" t="s">
        <v>100</v>
      </c>
      <c r="B293" s="333">
        <v>46007</v>
      </c>
      <c r="C293" s="333">
        <v>46007</v>
      </c>
      <c r="D293" s="434">
        <v>25000000008</v>
      </c>
      <c r="E293" s="254" t="s">
        <v>138</v>
      </c>
      <c r="F293" s="254" t="s">
        <v>364</v>
      </c>
      <c r="G293" s="254" t="s">
        <v>617</v>
      </c>
      <c r="H293" s="254" t="s">
        <v>116</v>
      </c>
      <c r="I293" s="344"/>
      <c r="J293" s="345">
        <v>1500000</v>
      </c>
      <c r="K293" s="346">
        <f>+Tableau6[[#This Row],[MONTANT HT BIEN]]+Tableau6[[#This Row],[MONTANT HT SERVICE]]</f>
        <v>1500000</v>
      </c>
      <c r="L293" s="10">
        <v>0</v>
      </c>
      <c r="M293" s="347">
        <f>+IFERROR(IF(Tableau6[[#This Row],[CODE TVA]]="TVAF",Tableau6[[#This Row],[MONTANT HT]]*0.18,0),0)</f>
        <v>270000</v>
      </c>
      <c r="N293" s="347">
        <f>Tableau6[[#This Row],[MONTANT HT]]+Tableau6[[#This Row],[TVA]]-Tableau6[[#This Row],[ACOMPTE SUR HT]]</f>
        <v>1770000</v>
      </c>
      <c r="O293" s="347"/>
      <c r="P293" s="347">
        <f>+ROUND(Tableau6[[#This Row],[MONTANT TTC]]-Tableau6[[#This Row],[ACOMPTE SUR TTC]],0)</f>
        <v>1770000</v>
      </c>
      <c r="Q293" s="332" t="s">
        <v>357</v>
      </c>
      <c r="R293" s="348">
        <f>IFERROR(INDEX(Tableau2[[ID BC UNIQUE]:[MONTANT HT VALIDE]],MATCH(Tableau6[[#This Row],[N° BC]],Tableau2[ID BC UNIQUE],0),6),0)</f>
        <v>1500000</v>
      </c>
      <c r="S293" s="349">
        <f>IFERROR(INDEX(Tableau2[[DATE]:[DELAIS DE PAIEMENT FACTURES EN JOUR]],MATCH(Tableau6[[#This Row],[N° BC]],Tableau2[ID BC UNIQUE],0),5),0)</f>
        <v>30</v>
      </c>
      <c r="T293" s="333">
        <f>IF(ISBLANK(Tableau6[[#This Row],[DATE DE DEPOT]]),"",Tableau6[[#This Row],[DATE DE DEPOT]]+Tableau6[[#This Row],[DELAI]])</f>
        <v>46037</v>
      </c>
      <c r="U293" s="349">
        <f ca="1">+IF(AND(W293=0,Tableau6[[#This Row],[DATE LIMITE]]&lt;TODAY()),TODAY()-Tableau6[[#This Row],[DATE LIMITE]],0)</f>
        <v>0</v>
      </c>
      <c r="V293"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93" s="350">
        <f>SUMIF(Tableau3[FACTURE],Tableau6[[#This Row],[NUM DE FACTURE]],Tableau3[MONTANT TTC])</f>
        <v>1770000</v>
      </c>
      <c r="X293" s="333"/>
      <c r="Y293" s="343">
        <f>+Tableau6[[#This Row],[NET A PAYER]]-Tableau6[[#This Row],[MONTANT PAYE]]</f>
        <v>0</v>
      </c>
      <c r="Z293" s="332"/>
    </row>
    <row r="294" spans="1:26" x14ac:dyDescent="0.2">
      <c r="A294" s="332" t="s">
        <v>100</v>
      </c>
      <c r="B294" s="333">
        <v>46020</v>
      </c>
      <c r="C294" s="333">
        <v>46020</v>
      </c>
      <c r="D294" s="357">
        <v>25000000009</v>
      </c>
      <c r="E294" s="254" t="s">
        <v>106</v>
      </c>
      <c r="F294" s="254" t="s">
        <v>368</v>
      </c>
      <c r="G294" s="254" t="s">
        <v>431</v>
      </c>
      <c r="H294" s="254" t="s">
        <v>116</v>
      </c>
      <c r="I294" s="344"/>
      <c r="J294" s="345">
        <v>5870000</v>
      </c>
      <c r="K294" s="346">
        <f>+Tableau6[[#This Row],[MONTANT HT BIEN]]+Tableau6[[#This Row],[MONTANT HT SERVICE]]</f>
        <v>5870000</v>
      </c>
      <c r="L294" s="10"/>
      <c r="M294" s="347">
        <f>+IFERROR(IF(Tableau6[[#This Row],[CODE TVA]]="TVAF",Tableau6[[#This Row],[MONTANT HT]]*0.18,0),0)</f>
        <v>1056600</v>
      </c>
      <c r="N294" s="347">
        <f>Tableau6[[#This Row],[MONTANT HT]]+Tableau6[[#This Row],[TVA]]-Tableau6[[#This Row],[ACOMPTE SUR HT]]</f>
        <v>6926600</v>
      </c>
      <c r="O294" s="347"/>
      <c r="P294" s="347">
        <f>+ROUND(Tableau6[[#This Row],[MONTANT TTC]]-Tableau6[[#This Row],[ACOMPTE SUR TTC]],0)</f>
        <v>6926600</v>
      </c>
      <c r="Q294" s="332" t="s">
        <v>394</v>
      </c>
      <c r="R294" s="348">
        <f>IFERROR(INDEX(Tableau2[[ID BC UNIQUE]:[MONTANT HT VALIDE]],MATCH(Tableau6[[#This Row],[N° BC]],Tableau2[ID BC UNIQUE],0),6),0)</f>
        <v>6270000</v>
      </c>
      <c r="S294" s="349">
        <f>IFERROR(INDEX(Tableau2[[DATE]:[DELAIS DE PAIEMENT FACTURES EN JOUR]],MATCH(Tableau6[[#This Row],[N° BC]],Tableau2[ID BC UNIQUE],0),5),0)</f>
        <v>0</v>
      </c>
      <c r="T294" s="333">
        <f>IF(ISBLANK(Tableau6[[#This Row],[DATE DE DEPOT]]),"",Tableau6[[#This Row],[DATE DE DEPOT]]+Tableau6[[#This Row],[DELAI]])</f>
        <v>46020</v>
      </c>
      <c r="U294" s="349">
        <f ca="1">+IF(AND(W294=0,Tableau6[[#This Row],[DATE LIMITE]]&lt;TODAY()),TODAY()-Tableau6[[#This Row],[DATE LIMITE]],0)</f>
        <v>96</v>
      </c>
      <c r="V294"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FACTURE ANNULEE</v>
      </c>
      <c r="W294" s="350">
        <f>SUMIF(Tableau3[FACTURE],Tableau6[[#This Row],[NUM DE FACTURE]],Tableau3[MONTANT TTC])</f>
        <v>0</v>
      </c>
      <c r="X294" s="333"/>
      <c r="Y294" s="343">
        <f>+Tableau6[[#This Row],[NET A PAYER]]-Tableau6[[#This Row],[MONTANT PAYE]]</f>
        <v>6926600</v>
      </c>
      <c r="Z294" t="s">
        <v>369</v>
      </c>
    </row>
    <row r="295" spans="1:26" x14ac:dyDescent="0.2">
      <c r="A295" t="s">
        <v>100</v>
      </c>
      <c r="B295" s="333">
        <v>46020</v>
      </c>
      <c r="C295" s="333">
        <v>46021</v>
      </c>
      <c r="D295" s="357">
        <v>25000000010</v>
      </c>
      <c r="E295" s="254" t="s">
        <v>345</v>
      </c>
      <c r="F295" s="254" t="s">
        <v>371</v>
      </c>
      <c r="G295" s="254" t="s">
        <v>370</v>
      </c>
      <c r="H295" s="254" t="s">
        <v>116</v>
      </c>
      <c r="I295" s="344"/>
      <c r="J295" s="345">
        <v>4800000</v>
      </c>
      <c r="K295" s="346">
        <f>+Tableau6[[#This Row],[MONTANT HT BIEN]]+Tableau6[[#This Row],[MONTANT HT SERVICE]]</f>
        <v>4800000</v>
      </c>
      <c r="L295" s="10">
        <v>0</v>
      </c>
      <c r="M295" s="347">
        <f>+IFERROR(IF(Tableau6[[#This Row],[CODE TVA]]="TVAF",Tableau6[[#This Row],[MONTANT HT]]*0.18,0),0)</f>
        <v>864000</v>
      </c>
      <c r="N295" s="347">
        <f>Tableau6[[#This Row],[MONTANT HT]]+Tableau6[[#This Row],[TVA]]-Tableau6[[#This Row],[ACOMPTE SUR HT]]</f>
        <v>5664000</v>
      </c>
      <c r="O295" s="347"/>
      <c r="P295" s="347">
        <f>+ROUND(Tableau6[[#This Row],[MONTANT TTC]]-Tableau6[[#This Row],[ACOMPTE SUR TTC]],0)</f>
        <v>5664000</v>
      </c>
      <c r="Q295" s="358" t="s">
        <v>344</v>
      </c>
      <c r="R295" s="348">
        <f>IFERROR(INDEX(Tableau2[[ID BC UNIQUE]:[MONTANT HT VALIDE]],MATCH(Tableau6[[#This Row],[N° BC]],Tableau2[ID BC UNIQUE],0),6),0)</f>
        <v>4800000</v>
      </c>
      <c r="S295" s="349">
        <f>IFERROR(INDEX(Tableau2[[DATE]:[DELAIS DE PAIEMENT FACTURES EN JOUR]],MATCH(Tableau6[[#This Row],[N° BC]],Tableau2[ID BC UNIQUE],0),5),0)</f>
        <v>30</v>
      </c>
      <c r="T295" s="333">
        <f>IF(ISBLANK(Tableau6[[#This Row],[DATE DE DEPOT]]),"",Tableau6[[#This Row],[DATE DE DEPOT]]+Tableau6[[#This Row],[DELAI]])</f>
        <v>46051</v>
      </c>
      <c r="U295" s="349">
        <f ca="1">+IF(AND(W295=0,Tableau6[[#This Row],[DATE LIMITE]]&lt;TODAY()),TODAY()-Tableau6[[#This Row],[DATE LIMITE]],0)</f>
        <v>65</v>
      </c>
      <c r="V295"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ECHUE NON REGLEE</v>
      </c>
      <c r="W295" s="350">
        <f>SUMIF(Tableau3[FACTURE],Tableau6[[#This Row],[NUM DE FACTURE]],Tableau3[MONTANT TTC])</f>
        <v>0</v>
      </c>
      <c r="X295" s="333"/>
      <c r="Y295" s="343">
        <f>+Tableau6[[#This Row],[NET A PAYER]]-Tableau6[[#This Row],[MONTANT PAYE]]</f>
        <v>5664000</v>
      </c>
      <c r="Z295" s="332"/>
    </row>
    <row r="296" spans="1:26" x14ac:dyDescent="0.2">
      <c r="A296" t="s">
        <v>100</v>
      </c>
      <c r="B296" s="333">
        <v>46020</v>
      </c>
      <c r="C296" s="333">
        <v>46027</v>
      </c>
      <c r="D296" s="357">
        <v>25000000011</v>
      </c>
      <c r="E296" s="254" t="s">
        <v>138</v>
      </c>
      <c r="F296" s="254" t="s">
        <v>372</v>
      </c>
      <c r="G296" s="254" t="s">
        <v>188</v>
      </c>
      <c r="H296" s="254" t="s">
        <v>116</v>
      </c>
      <c r="I296" s="344"/>
      <c r="J296" s="345">
        <v>200000</v>
      </c>
      <c r="K296" s="346">
        <f>+Tableau6[[#This Row],[MONTANT HT BIEN]]+Tableau6[[#This Row],[MONTANT HT SERVICE]]</f>
        <v>200000</v>
      </c>
      <c r="L296" s="10">
        <v>0</v>
      </c>
      <c r="M296" s="347">
        <f>+IFERROR(IF(Tableau6[[#This Row],[CODE TVA]]="TVAF",Tableau6[[#This Row],[MONTANT HT]]*0.18,0),0)</f>
        <v>36000</v>
      </c>
      <c r="N296" s="347">
        <f>Tableau6[[#This Row],[MONTANT HT]]+Tableau6[[#This Row],[TVA]]-Tableau6[[#This Row],[ACOMPTE SUR HT]]</f>
        <v>236000</v>
      </c>
      <c r="O296" s="347"/>
      <c r="P296" s="347">
        <f>+ROUND(Tableau6[[#This Row],[MONTANT TTC]]-Tableau6[[#This Row],[ACOMPTE SUR TTC]],0)</f>
        <v>236000</v>
      </c>
      <c r="Q296" t="s">
        <v>373</v>
      </c>
      <c r="R296" s="348">
        <f>IFERROR(INDEX(Tableau2[[ID BC UNIQUE]:[MONTANT HT VALIDE]],MATCH(Tableau6[[#This Row],[N° BC]],Tableau2[ID BC UNIQUE],0),6),0)</f>
        <v>200000</v>
      </c>
      <c r="S296" s="349">
        <f>IFERROR(INDEX(Tableau2[[DATE]:[DELAIS DE PAIEMENT FACTURES EN JOUR]],MATCH(Tableau6[[#This Row],[N° BC]],Tableau2[ID BC UNIQUE],0),5),0)</f>
        <v>30</v>
      </c>
      <c r="T296" s="333">
        <f>IF(ISBLANK(Tableau6[[#This Row],[DATE DE DEPOT]]),"",Tableau6[[#This Row],[DATE DE DEPOT]]+Tableau6[[#This Row],[DELAI]])</f>
        <v>46057</v>
      </c>
      <c r="U296" s="349">
        <f ca="1">+IF(AND(W296=0,Tableau6[[#This Row],[DATE LIMITE]]&lt;TODAY()),TODAY()-Tableau6[[#This Row],[DATE LIMITE]],0)</f>
        <v>0</v>
      </c>
      <c r="V296"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96" s="350">
        <f>SUMIF(Tableau3[FACTURE],Tableau6[[#This Row],[NUM DE FACTURE]],Tableau3[MONTANT TTC])</f>
        <v>236000</v>
      </c>
      <c r="X296" s="333"/>
      <c r="Y296" s="343">
        <f>+Tableau6[[#This Row],[NET A PAYER]]-Tableau6[[#This Row],[MONTANT PAYE]]</f>
        <v>0</v>
      </c>
      <c r="Z296" s="332"/>
    </row>
    <row r="297" spans="1:26" x14ac:dyDescent="0.2">
      <c r="A297" t="s">
        <v>100</v>
      </c>
      <c r="B297" s="333">
        <v>46020</v>
      </c>
      <c r="C297" s="333">
        <v>46027</v>
      </c>
      <c r="D297" s="357">
        <v>25000000012</v>
      </c>
      <c r="E297" s="254" t="s">
        <v>138</v>
      </c>
      <c r="F297" s="254" t="s">
        <v>375</v>
      </c>
      <c r="G297" s="254" t="s">
        <v>179</v>
      </c>
      <c r="H297" s="254" t="s">
        <v>305</v>
      </c>
      <c r="I297" s="344"/>
      <c r="J297" s="345">
        <v>1435000</v>
      </c>
      <c r="K297" s="346">
        <f>+Tableau6[[#This Row],[MONTANT HT BIEN]]+Tableau6[[#This Row],[MONTANT HT SERVICE]]</f>
        <v>1435000</v>
      </c>
      <c r="L297" s="10">
        <v>0</v>
      </c>
      <c r="M297" s="347">
        <f>+IFERROR(IF(Tableau6[[#This Row],[CODE TVA]]="TVAF",Tableau6[[#This Row],[MONTANT HT]]*0.18,0),0)</f>
        <v>0</v>
      </c>
      <c r="N297" s="347">
        <f>Tableau6[[#This Row],[MONTANT HT]]+Tableau6[[#This Row],[TVA]]-Tableau6[[#This Row],[ACOMPTE SUR HT]]</f>
        <v>1435000</v>
      </c>
      <c r="O297" s="347"/>
      <c r="P297" s="347">
        <f>+ROUND(Tableau6[[#This Row],[MONTANT TTC]]-Tableau6[[#This Row],[ACOMPTE SUR TTC]],0)</f>
        <v>1435000</v>
      </c>
      <c r="Q297" t="s">
        <v>374</v>
      </c>
      <c r="R297" s="348">
        <f>IFERROR(INDEX(Tableau2[[ID BC UNIQUE]:[MONTANT HT VALIDE]],MATCH(Tableau6[[#This Row],[N° BC]],Tableau2[ID BC UNIQUE],0),6),0)</f>
        <v>1435000</v>
      </c>
      <c r="S297" s="349">
        <f>IFERROR(INDEX(Tableau2[[DATE]:[DELAIS DE PAIEMENT FACTURES EN JOUR]],MATCH(Tableau6[[#This Row],[N° BC]],Tableau2[ID BC UNIQUE],0),5),0)</f>
        <v>30</v>
      </c>
      <c r="T297" s="333">
        <f>IF(ISBLANK(Tableau6[[#This Row],[DATE DE DEPOT]]),"",Tableau6[[#This Row],[DATE DE DEPOT]]+Tableau6[[#This Row],[DELAI]])</f>
        <v>46057</v>
      </c>
      <c r="U297" s="349">
        <f ca="1">+IF(AND(W297=0,Tableau6[[#This Row],[DATE LIMITE]]&lt;TODAY()),TODAY()-Tableau6[[#This Row],[DATE LIMITE]],0)</f>
        <v>0</v>
      </c>
      <c r="V297"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97" s="350">
        <f>SUMIF(Tableau3[FACTURE],Tableau6[[#This Row],[NUM DE FACTURE]],Tableau3[MONTANT TTC])</f>
        <v>1435000</v>
      </c>
      <c r="X297" s="333"/>
      <c r="Y297" s="343">
        <f>+Tableau6[[#This Row],[NET A PAYER]]-Tableau6[[#This Row],[MONTANT PAYE]]</f>
        <v>0</v>
      </c>
      <c r="Z297" s="332"/>
    </row>
    <row r="298" spans="1:26" x14ac:dyDescent="0.2">
      <c r="A298" t="s">
        <v>100</v>
      </c>
      <c r="B298" s="333">
        <v>46020</v>
      </c>
      <c r="C298" s="333">
        <v>46027</v>
      </c>
      <c r="D298" s="357">
        <v>25000000013</v>
      </c>
      <c r="E298" s="254" t="s">
        <v>138</v>
      </c>
      <c r="F298" s="254" t="s">
        <v>376</v>
      </c>
      <c r="G298" s="254" t="s">
        <v>179</v>
      </c>
      <c r="H298" s="254" t="s">
        <v>305</v>
      </c>
      <c r="I298" s="344"/>
      <c r="J298" s="345">
        <v>1300000</v>
      </c>
      <c r="K298" s="346">
        <f>+Tableau6[[#This Row],[MONTANT HT BIEN]]+Tableau6[[#This Row],[MONTANT HT SERVICE]]</f>
        <v>1300000</v>
      </c>
      <c r="L298" s="10">
        <v>0</v>
      </c>
      <c r="M298" s="347">
        <f>+IFERROR(IF(Tableau6[[#This Row],[CODE TVA]]="TVAF",Tableau6[[#This Row],[MONTANT HT]]*0.18,0),0)</f>
        <v>0</v>
      </c>
      <c r="N298" s="347">
        <f>Tableau6[[#This Row],[MONTANT HT]]+Tableau6[[#This Row],[TVA]]-Tableau6[[#This Row],[ACOMPTE SUR HT]]</f>
        <v>1300000</v>
      </c>
      <c r="O298" s="347"/>
      <c r="P298" s="347">
        <f>+ROUND(Tableau6[[#This Row],[MONTANT TTC]]-Tableau6[[#This Row],[ACOMPTE SUR TTC]],0)</f>
        <v>1300000</v>
      </c>
      <c r="Q298" t="s">
        <v>377</v>
      </c>
      <c r="R298" s="348">
        <f>IFERROR(INDEX(Tableau2[[ID BC UNIQUE]:[MONTANT HT VALIDE]],MATCH(Tableau6[[#This Row],[N° BC]],Tableau2[ID BC UNIQUE],0),6),0)</f>
        <v>1300000</v>
      </c>
      <c r="S298" s="349">
        <f>IFERROR(INDEX(Tableau2[[DATE]:[DELAIS DE PAIEMENT FACTURES EN JOUR]],MATCH(Tableau6[[#This Row],[N° BC]],Tableau2[ID BC UNIQUE],0),5),0)</f>
        <v>30</v>
      </c>
      <c r="T298" s="333">
        <f>IF(ISBLANK(Tableau6[[#This Row],[DATE DE DEPOT]]),"",Tableau6[[#This Row],[DATE DE DEPOT]]+Tableau6[[#This Row],[DELAI]])</f>
        <v>46057</v>
      </c>
      <c r="U298" s="349">
        <f ca="1">+IF(AND(W298=0,Tableau6[[#This Row],[DATE LIMITE]]&lt;TODAY()),TODAY()-Tableau6[[#This Row],[DATE LIMITE]],0)</f>
        <v>0</v>
      </c>
      <c r="V298"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98" s="350">
        <f>SUMIF(Tableau3[FACTURE],Tableau6[[#This Row],[NUM DE FACTURE]],Tableau3[MONTANT TTC])</f>
        <v>1300000</v>
      </c>
      <c r="X298" s="333"/>
      <c r="Y298" s="343">
        <f>+Tableau6[[#This Row],[NET A PAYER]]-Tableau6[[#This Row],[MONTANT PAYE]]</f>
        <v>0</v>
      </c>
      <c r="Z298" s="332"/>
    </row>
    <row r="299" spans="1:26" x14ac:dyDescent="0.2">
      <c r="A299" t="s">
        <v>100</v>
      </c>
      <c r="B299" s="333">
        <v>46020</v>
      </c>
      <c r="C299" s="333">
        <v>46027</v>
      </c>
      <c r="D299" s="357">
        <v>25000000014</v>
      </c>
      <c r="E299" s="254" t="s">
        <v>138</v>
      </c>
      <c r="F299" s="254" t="s">
        <v>372</v>
      </c>
      <c r="G299" s="254" t="s">
        <v>179</v>
      </c>
      <c r="H299" s="254" t="s">
        <v>305</v>
      </c>
      <c r="I299" s="344"/>
      <c r="J299" s="345">
        <v>105000</v>
      </c>
      <c r="K299" s="346">
        <f>+Tableau6[[#This Row],[MONTANT HT BIEN]]+Tableau6[[#This Row],[MONTANT HT SERVICE]]</f>
        <v>105000</v>
      </c>
      <c r="L299" s="10">
        <v>0</v>
      </c>
      <c r="M299" s="347">
        <f>+IFERROR(IF(Tableau6[[#This Row],[CODE TVA]]="TVAF",Tableau6[[#This Row],[MONTANT HT]]*0.18,0),0)</f>
        <v>0</v>
      </c>
      <c r="N299" s="347">
        <f>Tableau6[[#This Row],[MONTANT HT]]+Tableau6[[#This Row],[TVA]]-Tableau6[[#This Row],[ACOMPTE SUR HT]]</f>
        <v>105000</v>
      </c>
      <c r="O299" s="347"/>
      <c r="P299" s="347">
        <f>+ROUND(Tableau6[[#This Row],[MONTANT TTC]]-Tableau6[[#This Row],[ACOMPTE SUR TTC]],0)</f>
        <v>105000</v>
      </c>
      <c r="Q299" t="s">
        <v>378</v>
      </c>
      <c r="R299" s="348">
        <f>IFERROR(INDEX(Tableau2[[ID BC UNIQUE]:[MONTANT HT VALIDE]],MATCH(Tableau6[[#This Row],[N° BC]],Tableau2[ID BC UNIQUE],0),6),0)</f>
        <v>105000</v>
      </c>
      <c r="S299" s="349">
        <f>IFERROR(INDEX(Tableau2[[DATE]:[DELAIS DE PAIEMENT FACTURES EN JOUR]],MATCH(Tableau6[[#This Row],[N° BC]],Tableau2[ID BC UNIQUE],0),5),0)</f>
        <v>30</v>
      </c>
      <c r="T299" s="333">
        <f>IF(ISBLANK(Tableau6[[#This Row],[DATE DE DEPOT]]),"",Tableau6[[#This Row],[DATE DE DEPOT]]+Tableau6[[#This Row],[DELAI]])</f>
        <v>46057</v>
      </c>
      <c r="U299" s="349">
        <f ca="1">+IF(AND(W299=0,Tableau6[[#This Row],[DATE LIMITE]]&lt;TODAY()),TODAY()-Tableau6[[#This Row],[DATE LIMITE]],0)</f>
        <v>0</v>
      </c>
      <c r="V299"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299" s="350">
        <f>SUMIF(Tableau3[FACTURE],Tableau6[[#This Row],[NUM DE FACTURE]],Tableau3[MONTANT TTC])</f>
        <v>105000</v>
      </c>
      <c r="X299" s="333"/>
      <c r="Y299" s="343">
        <f>+Tableau6[[#This Row],[NET A PAYER]]-Tableau6[[#This Row],[MONTANT PAYE]]</f>
        <v>0</v>
      </c>
      <c r="Z299" s="332"/>
    </row>
    <row r="300" spans="1:26" x14ac:dyDescent="0.2">
      <c r="A300" t="s">
        <v>100</v>
      </c>
      <c r="B300" s="333">
        <v>46020</v>
      </c>
      <c r="C300" s="333">
        <v>46027</v>
      </c>
      <c r="D300" s="357">
        <v>25000000015</v>
      </c>
      <c r="E300" s="254" t="s">
        <v>138</v>
      </c>
      <c r="F300" s="254" t="s">
        <v>372</v>
      </c>
      <c r="G300" s="254" t="s">
        <v>182</v>
      </c>
      <c r="H300" s="254" t="s">
        <v>116</v>
      </c>
      <c r="I300" s="344"/>
      <c r="J300" s="345">
        <v>3010000</v>
      </c>
      <c r="K300" s="346">
        <f>+Tableau6[[#This Row],[MONTANT HT BIEN]]+Tableau6[[#This Row],[MONTANT HT SERVICE]]</f>
        <v>3010000</v>
      </c>
      <c r="L300" s="10">
        <v>0</v>
      </c>
      <c r="M300" s="347">
        <f>+IFERROR(IF(Tableau6[[#This Row],[CODE TVA]]="TVAF",Tableau6[[#This Row],[MONTANT HT]]*0.18,0),0)</f>
        <v>541800</v>
      </c>
      <c r="N300" s="347">
        <f>Tableau6[[#This Row],[MONTANT HT]]+Tableau6[[#This Row],[TVA]]-Tableau6[[#This Row],[ACOMPTE SUR HT]]</f>
        <v>3551800</v>
      </c>
      <c r="O300" s="347"/>
      <c r="P300" s="347">
        <f>+ROUND(Tableau6[[#This Row],[MONTANT TTC]]-Tableau6[[#This Row],[ACOMPTE SUR TTC]],0)</f>
        <v>3551800</v>
      </c>
      <c r="Q300" t="s">
        <v>379</v>
      </c>
      <c r="R300" s="348">
        <f>IFERROR(INDEX(Tableau2[[ID BC UNIQUE]:[MONTANT HT VALIDE]],MATCH(Tableau6[[#This Row],[N° BC]],Tableau2[ID BC UNIQUE],0),6),0)</f>
        <v>3010000</v>
      </c>
      <c r="S300" s="349">
        <f>IFERROR(INDEX(Tableau2[[DATE]:[DELAIS DE PAIEMENT FACTURES EN JOUR]],MATCH(Tableau6[[#This Row],[N° BC]],Tableau2[ID BC UNIQUE],0),5),0)</f>
        <v>30</v>
      </c>
      <c r="T300" s="333">
        <f>IF(ISBLANK(Tableau6[[#This Row],[DATE DE DEPOT]]),"",Tableau6[[#This Row],[DATE DE DEPOT]]+Tableau6[[#This Row],[DELAI]])</f>
        <v>46057</v>
      </c>
      <c r="U300" s="349">
        <f ca="1">+IF(AND(W300=0,Tableau6[[#This Row],[DATE LIMITE]]&lt;TODAY()),TODAY()-Tableau6[[#This Row],[DATE LIMITE]],0)</f>
        <v>0</v>
      </c>
      <c r="V300"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00" s="350">
        <f>SUMIF(Tableau3[FACTURE],Tableau6[[#This Row],[NUM DE FACTURE]],Tableau3[MONTANT TTC])</f>
        <v>3551800</v>
      </c>
      <c r="X300" s="333"/>
      <c r="Y300" s="343">
        <f>+Tableau6[[#This Row],[NET A PAYER]]-Tableau6[[#This Row],[MONTANT PAYE]]</f>
        <v>0</v>
      </c>
      <c r="Z300" s="332"/>
    </row>
    <row r="301" spans="1:26" x14ac:dyDescent="0.2">
      <c r="A301" t="s">
        <v>100</v>
      </c>
      <c r="B301" s="333">
        <v>46020</v>
      </c>
      <c r="C301" s="333">
        <v>46027</v>
      </c>
      <c r="D301" s="379">
        <v>25000000016</v>
      </c>
      <c r="E301" s="254" t="s">
        <v>138</v>
      </c>
      <c r="F301" s="254" t="s">
        <v>375</v>
      </c>
      <c r="G301" s="254" t="s">
        <v>183</v>
      </c>
      <c r="H301" s="254" t="s">
        <v>116</v>
      </c>
      <c r="I301" s="344"/>
      <c r="J301" s="345">
        <v>900000</v>
      </c>
      <c r="K301" s="346">
        <f>+Tableau6[[#This Row],[MONTANT HT BIEN]]+Tableau6[[#This Row],[MONTANT HT SERVICE]]</f>
        <v>900000</v>
      </c>
      <c r="L301" s="10"/>
      <c r="M301" s="347">
        <f>+IFERROR(IF(Tableau6[[#This Row],[CODE TVA]]="TVAF",Tableau6[[#This Row],[MONTANT HT]]*0.18,0),0)</f>
        <v>162000</v>
      </c>
      <c r="N301" s="347">
        <f>Tableau6[[#This Row],[MONTANT HT]]+Tableau6[[#This Row],[TVA]]-Tableau6[[#This Row],[ACOMPTE SUR HT]]</f>
        <v>1062000</v>
      </c>
      <c r="O301" s="347"/>
      <c r="P301" s="347">
        <f>+ROUND(Tableau6[[#This Row],[MONTANT TTC]]-Tableau6[[#This Row],[ACOMPTE SUR TTC]],0)</f>
        <v>1062000</v>
      </c>
      <c r="Q301" t="s">
        <v>380</v>
      </c>
      <c r="R301" s="348">
        <f>IFERROR(INDEX(Tableau2[[ID BC UNIQUE]:[MONTANT HT VALIDE]],MATCH(Tableau6[[#This Row],[N° BC]],Tableau2[ID BC UNIQUE],0),6),0)</f>
        <v>900000</v>
      </c>
      <c r="S301" s="349">
        <f>IFERROR(INDEX(Tableau2[[DATE]:[DELAIS DE PAIEMENT FACTURES EN JOUR]],MATCH(Tableau6[[#This Row],[N° BC]],Tableau2[ID BC UNIQUE],0),5),0)</f>
        <v>30</v>
      </c>
      <c r="T301" s="333">
        <f>IF(ISBLANK(Tableau6[[#This Row],[DATE DE DEPOT]]),"",Tableau6[[#This Row],[DATE DE DEPOT]]+Tableau6[[#This Row],[DELAI]])</f>
        <v>46057</v>
      </c>
      <c r="U301" s="349">
        <f ca="1">+IF(AND(W301=0,Tableau6[[#This Row],[DATE LIMITE]]&lt;TODAY()),TODAY()-Tableau6[[#This Row],[DATE LIMITE]],0)</f>
        <v>0</v>
      </c>
      <c r="V301"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01" s="350">
        <f>SUMIF(Tableau3[FACTURE],Tableau6[[#This Row],[NUM DE FACTURE]],Tableau3[MONTANT TTC])</f>
        <v>1062000</v>
      </c>
      <c r="X301" s="333"/>
      <c r="Y301" s="343">
        <f>+Tableau6[[#This Row],[NET A PAYER]]-Tableau6[[#This Row],[MONTANT PAYE]]</f>
        <v>0</v>
      </c>
      <c r="Z301" s="332"/>
    </row>
    <row r="302" spans="1:26" x14ac:dyDescent="0.2">
      <c r="A302" t="s">
        <v>100</v>
      </c>
      <c r="B302" s="333">
        <v>46029</v>
      </c>
      <c r="C302" s="333">
        <v>46035</v>
      </c>
      <c r="D302" s="357">
        <v>26000000005</v>
      </c>
      <c r="E302" s="254" t="s">
        <v>138</v>
      </c>
      <c r="F302" s="254" t="s">
        <v>372</v>
      </c>
      <c r="G302" s="254" t="s">
        <v>178</v>
      </c>
      <c r="H302" s="254" t="s">
        <v>116</v>
      </c>
      <c r="I302" s="344"/>
      <c r="J302" s="345">
        <v>7500016</v>
      </c>
      <c r="K302" s="346">
        <f>+Tableau6[[#This Row],[MONTANT HT BIEN]]+Tableau6[[#This Row],[MONTANT HT SERVICE]]</f>
        <v>7500016</v>
      </c>
      <c r="L302" s="10">
        <v>0</v>
      </c>
      <c r="M302" s="347">
        <f>+IFERROR(IF(Tableau6[[#This Row],[CODE TVA]]="TVAF",Tableau6[[#This Row],[MONTANT HT]]*0.18,0),0)</f>
        <v>1350002.88</v>
      </c>
      <c r="N302" s="347">
        <f>Tableau6[[#This Row],[MONTANT HT]]+Tableau6[[#This Row],[TVA]]-Tableau6[[#This Row],[ACOMPTE SUR HT]]</f>
        <v>8850018.879999999</v>
      </c>
      <c r="O302" s="347"/>
      <c r="P302" s="347">
        <f>+ROUND(Tableau6[[#This Row],[MONTANT TTC]]-Tableau6[[#This Row],[ACOMPTE SUR TTC]],0)</f>
        <v>8850019</v>
      </c>
      <c r="Q302" t="s">
        <v>402</v>
      </c>
      <c r="R302" s="348">
        <f>IFERROR(INDEX(Tableau2[[ID BC UNIQUE]:[MONTANT HT VALIDE]],MATCH(Tableau6[[#This Row],[N° BC]],Tableau2[ID BC UNIQUE],0),6),0)</f>
        <v>7500016</v>
      </c>
      <c r="S302" s="349">
        <f>IFERROR(INDEX(Tableau2[[DATE]:[DELAIS DE PAIEMENT FACTURES EN JOUR]],MATCH(Tableau6[[#This Row],[N° BC]],Tableau2[ID BC UNIQUE],0),5),0)</f>
        <v>30</v>
      </c>
      <c r="T302" s="333">
        <f>IF(ISBLANK(Tableau6[[#This Row],[DATE DE DEPOT]]),"",Tableau6[[#This Row],[DATE DE DEPOT]]+Tableau6[[#This Row],[DELAI]])</f>
        <v>46065</v>
      </c>
      <c r="U302" s="349">
        <f ca="1">+IF(AND(W302=0,Tableau6[[#This Row],[DATE LIMITE]]&lt;TODAY()),TODAY()-Tableau6[[#This Row],[DATE LIMITE]],0)</f>
        <v>0</v>
      </c>
      <c r="V302"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02" s="350">
        <f>SUMIF(Tableau3[FACTURE],Tableau6[[#This Row],[NUM DE FACTURE]],Tableau3[MONTANT TTC])</f>
        <v>8850019</v>
      </c>
      <c r="X302" s="333"/>
      <c r="Y302" s="343">
        <f>+Tableau6[[#This Row],[NET A PAYER]]-Tableau6[[#This Row],[MONTANT PAYE]]</f>
        <v>0</v>
      </c>
      <c r="Z302" s="332"/>
    </row>
    <row r="303" spans="1:26" x14ac:dyDescent="0.2">
      <c r="A303" t="s">
        <v>100</v>
      </c>
      <c r="B303" s="333">
        <v>46029</v>
      </c>
      <c r="C303" s="333">
        <v>46035</v>
      </c>
      <c r="D303" s="357">
        <v>26000000006</v>
      </c>
      <c r="E303" s="254" t="s">
        <v>138</v>
      </c>
      <c r="F303" s="254" t="s">
        <v>372</v>
      </c>
      <c r="G303" s="254" t="s">
        <v>178</v>
      </c>
      <c r="H303" s="254" t="s">
        <v>116</v>
      </c>
      <c r="I303" s="344"/>
      <c r="J303" s="345">
        <v>20660000</v>
      </c>
      <c r="K303" s="346">
        <f>+Tableau6[[#This Row],[MONTANT HT BIEN]]+Tableau6[[#This Row],[MONTANT HT SERVICE]]</f>
        <v>20660000</v>
      </c>
      <c r="L303" s="10">
        <v>0</v>
      </c>
      <c r="M303" s="347">
        <f>+IFERROR(IF(Tableau6[[#This Row],[CODE TVA]]="TVAF",Tableau6[[#This Row],[MONTANT HT]]*0.18,0),0)</f>
        <v>3718800</v>
      </c>
      <c r="N303" s="347">
        <f>Tableau6[[#This Row],[MONTANT HT]]+Tableau6[[#This Row],[TVA]]-Tableau6[[#This Row],[ACOMPTE SUR HT]]</f>
        <v>24378800</v>
      </c>
      <c r="O303" s="347"/>
      <c r="P303" s="347">
        <f>+ROUND(Tableau6[[#This Row],[MONTANT TTC]]-Tableau6[[#This Row],[ACOMPTE SUR TTC]],0)</f>
        <v>24378800</v>
      </c>
      <c r="Q303" t="s">
        <v>403</v>
      </c>
      <c r="R303" s="348">
        <f>IFERROR(INDEX(Tableau2[[ID BC UNIQUE]:[MONTANT HT VALIDE]],MATCH(Tableau6[[#This Row],[N° BC]],Tableau2[ID BC UNIQUE],0),6),0)</f>
        <v>20660000</v>
      </c>
      <c r="S303" s="349">
        <f>IFERROR(INDEX(Tableau2[[DATE]:[DELAIS DE PAIEMENT FACTURES EN JOUR]],MATCH(Tableau6[[#This Row],[N° BC]],Tableau2[ID BC UNIQUE],0),5),0)</f>
        <v>30</v>
      </c>
      <c r="T303" s="333">
        <f>IF(ISBLANK(Tableau6[[#This Row],[DATE DE DEPOT]]),"",Tableau6[[#This Row],[DATE DE DEPOT]]+Tableau6[[#This Row],[DELAI]])</f>
        <v>46065</v>
      </c>
      <c r="U303" s="349">
        <f ca="1">+IF(AND(W303=0,Tableau6[[#This Row],[DATE LIMITE]]&lt;TODAY()),TODAY()-Tableau6[[#This Row],[DATE LIMITE]],0)</f>
        <v>0</v>
      </c>
      <c r="V303"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03" s="350">
        <f>SUMIF(Tableau3[FACTURE],Tableau6[[#This Row],[NUM DE FACTURE]],Tableau3[MONTANT TTC])</f>
        <v>24378800</v>
      </c>
      <c r="X303" s="333"/>
      <c r="Y303" s="343">
        <f>+Tableau6[[#This Row],[NET A PAYER]]-Tableau6[[#This Row],[MONTANT PAYE]]</f>
        <v>0</v>
      </c>
      <c r="Z303" s="332"/>
    </row>
    <row r="304" spans="1:26" x14ac:dyDescent="0.2">
      <c r="A304" t="s">
        <v>100</v>
      </c>
      <c r="B304" s="333">
        <v>46029</v>
      </c>
      <c r="C304" s="333">
        <v>46031</v>
      </c>
      <c r="D304" s="357">
        <v>26000000007</v>
      </c>
      <c r="E304" s="254" t="s">
        <v>138</v>
      </c>
      <c r="F304" s="254" t="s">
        <v>372</v>
      </c>
      <c r="G304" s="254" t="s">
        <v>181</v>
      </c>
      <c r="H304" s="254" t="s">
        <v>116</v>
      </c>
      <c r="I304" s="344"/>
      <c r="J304" s="345">
        <v>24100000</v>
      </c>
      <c r="K304" s="346">
        <f>+Tableau6[[#This Row],[MONTANT HT BIEN]]+Tableau6[[#This Row],[MONTANT HT SERVICE]]</f>
        <v>24100000</v>
      </c>
      <c r="L304" s="10">
        <v>0</v>
      </c>
      <c r="M304" s="347">
        <f>+IFERROR(IF(Tableau6[[#This Row],[CODE TVA]]="TVAF",Tableau6[[#This Row],[MONTANT HT]]*0.18,0),0)</f>
        <v>4338000</v>
      </c>
      <c r="N304" s="347">
        <f>Tableau6[[#This Row],[MONTANT HT]]+Tableau6[[#This Row],[TVA]]-Tableau6[[#This Row],[ACOMPTE SUR HT]]</f>
        <v>28438000</v>
      </c>
      <c r="O304" s="347"/>
      <c r="P304" s="347">
        <f>+ROUND(Tableau6[[#This Row],[MONTANT TTC]]-Tableau6[[#This Row],[ACOMPTE SUR TTC]],0)</f>
        <v>28438000</v>
      </c>
      <c r="Q304" t="s">
        <v>398</v>
      </c>
      <c r="R304" s="348">
        <f>IFERROR(INDEX(Tableau2[[ID BC UNIQUE]:[MONTANT HT VALIDE]],MATCH(Tableau6[[#This Row],[N° BC]],Tableau2[ID BC UNIQUE],0),6),0)</f>
        <v>24100000</v>
      </c>
      <c r="S304" s="349">
        <f>IFERROR(INDEX(Tableau2[[DATE]:[DELAIS DE PAIEMENT FACTURES EN JOUR]],MATCH(Tableau6[[#This Row],[N° BC]],Tableau2[ID BC UNIQUE],0),5),0)</f>
        <v>30</v>
      </c>
      <c r="T304" s="333">
        <f>IF(ISBLANK(Tableau6[[#This Row],[DATE DE DEPOT]]),"",Tableau6[[#This Row],[DATE DE DEPOT]]+Tableau6[[#This Row],[DELAI]])</f>
        <v>46061</v>
      </c>
      <c r="U304" s="349">
        <f ca="1">+IF(AND(W304=0,Tableau6[[#This Row],[DATE LIMITE]]&lt;TODAY()),TODAY()-Tableau6[[#This Row],[DATE LIMITE]],0)</f>
        <v>0</v>
      </c>
      <c r="V304"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04" s="350">
        <f>SUMIF(Tableau3[FACTURE],Tableau6[[#This Row],[NUM DE FACTURE]],Tableau3[MONTANT TTC])</f>
        <v>28438000</v>
      </c>
      <c r="X304" s="333"/>
      <c r="Y304" s="343">
        <f>+Tableau6[[#This Row],[NET A PAYER]]-Tableau6[[#This Row],[MONTANT PAYE]]</f>
        <v>0</v>
      </c>
      <c r="Z304" s="332"/>
    </row>
    <row r="305" spans="1:26" x14ac:dyDescent="0.2">
      <c r="A305" t="s">
        <v>100</v>
      </c>
      <c r="B305" s="333">
        <v>46030</v>
      </c>
      <c r="C305" s="333">
        <v>46030</v>
      </c>
      <c r="D305" s="357">
        <v>26000000001</v>
      </c>
      <c r="E305" s="254" t="s">
        <v>138</v>
      </c>
      <c r="F305" s="254" t="s">
        <v>375</v>
      </c>
      <c r="G305" s="254" t="s">
        <v>179</v>
      </c>
      <c r="H305" s="254" t="s">
        <v>305</v>
      </c>
      <c r="I305" s="344"/>
      <c r="J305" s="345">
        <v>1300000</v>
      </c>
      <c r="K305" s="346">
        <f>+Tableau6[[#This Row],[MONTANT HT BIEN]]+Tableau6[[#This Row],[MONTANT HT SERVICE]]</f>
        <v>1300000</v>
      </c>
      <c r="L305" s="10">
        <v>0</v>
      </c>
      <c r="M305" s="347">
        <f>+IFERROR(IF(Tableau6[[#This Row],[CODE TVA]]="TVAF",Tableau6[[#This Row],[MONTANT HT]]*0.18,0),0)</f>
        <v>0</v>
      </c>
      <c r="N305" s="347">
        <f>Tableau6[[#This Row],[MONTANT HT]]+Tableau6[[#This Row],[TVA]]-Tableau6[[#This Row],[ACOMPTE SUR HT]]</f>
        <v>1300000</v>
      </c>
      <c r="O305" s="347"/>
      <c r="P305" s="347">
        <f>+ROUND(Tableau6[[#This Row],[MONTANT TTC]]-Tableau6[[#This Row],[ACOMPTE SUR TTC]],0)</f>
        <v>1300000</v>
      </c>
      <c r="Q305" t="s">
        <v>396</v>
      </c>
      <c r="R305" s="348">
        <f>IFERROR(INDEX(Tableau2[[ID BC UNIQUE]:[MONTANT HT VALIDE]],MATCH(Tableau6[[#This Row],[N° BC]],Tableau2[ID BC UNIQUE],0),6),0)</f>
        <v>1300000</v>
      </c>
      <c r="S305" s="349">
        <f>IFERROR(INDEX(Tableau2[[DATE]:[DELAIS DE PAIEMENT FACTURES EN JOUR]],MATCH(Tableau6[[#This Row],[N° BC]],Tableau2[ID BC UNIQUE],0),5),0)</f>
        <v>30</v>
      </c>
      <c r="T305" s="333">
        <f>IF(ISBLANK(Tableau6[[#This Row],[DATE DE DEPOT]]),"",Tableau6[[#This Row],[DATE DE DEPOT]]+Tableau6[[#This Row],[DELAI]])</f>
        <v>46060</v>
      </c>
      <c r="U305" s="349">
        <f ca="1">+IF(AND(W305=0,Tableau6[[#This Row],[DATE LIMITE]]&lt;TODAY()),TODAY()-Tableau6[[#This Row],[DATE LIMITE]],0)</f>
        <v>0</v>
      </c>
      <c r="V305"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05" s="350">
        <f>SUMIF(Tableau3[FACTURE],Tableau6[[#This Row],[NUM DE FACTURE]],Tableau3[MONTANT TTC])</f>
        <v>1300000</v>
      </c>
      <c r="X305" s="333"/>
      <c r="Y305" s="343">
        <f>+Tableau6[[#This Row],[NET A PAYER]]-Tableau6[[#This Row],[MONTANT PAYE]]</f>
        <v>0</v>
      </c>
      <c r="Z305" s="332"/>
    </row>
    <row r="306" spans="1:26" x14ac:dyDescent="0.2">
      <c r="A306" t="s">
        <v>100</v>
      </c>
      <c r="B306" s="333">
        <v>46030</v>
      </c>
      <c r="C306" s="333">
        <v>46030</v>
      </c>
      <c r="D306" s="357">
        <v>26000000002</v>
      </c>
      <c r="E306" s="254" t="s">
        <v>138</v>
      </c>
      <c r="F306" s="254" t="s">
        <v>376</v>
      </c>
      <c r="G306" s="254" t="s">
        <v>178</v>
      </c>
      <c r="H306" s="254" t="s">
        <v>116</v>
      </c>
      <c r="I306" s="344"/>
      <c r="J306" s="345">
        <v>8700016</v>
      </c>
      <c r="K306" s="346">
        <f>+Tableau6[[#This Row],[MONTANT HT BIEN]]+Tableau6[[#This Row],[MONTANT HT SERVICE]]</f>
        <v>8700016</v>
      </c>
      <c r="L306" s="10">
        <v>0</v>
      </c>
      <c r="M306" s="347">
        <f>+IFERROR(IF(Tableau6[[#This Row],[CODE TVA]]="TVAF",Tableau6[[#This Row],[MONTANT HT]]*0.18,0),0)</f>
        <v>1566002.88</v>
      </c>
      <c r="N306" s="347">
        <f>Tableau6[[#This Row],[MONTANT HT]]+Tableau6[[#This Row],[TVA]]-Tableau6[[#This Row],[ACOMPTE SUR HT]]</f>
        <v>10266018.879999999</v>
      </c>
      <c r="O306" s="347"/>
      <c r="P306" s="347">
        <f>+ROUND(Tableau6[[#This Row],[MONTANT TTC]]-Tableau6[[#This Row],[ACOMPTE SUR TTC]],0)</f>
        <v>10266019</v>
      </c>
      <c r="Q306" t="s">
        <v>397</v>
      </c>
      <c r="R306" s="348">
        <f>IFERROR(INDEX(Tableau2[[ID BC UNIQUE]:[MONTANT HT VALIDE]],MATCH(Tableau6[[#This Row],[N° BC]],Tableau2[ID BC UNIQUE],0),6),0)</f>
        <v>8700016</v>
      </c>
      <c r="S306" s="349">
        <f>IFERROR(INDEX(Tableau2[[DATE]:[DELAIS DE PAIEMENT FACTURES EN JOUR]],MATCH(Tableau6[[#This Row],[N° BC]],Tableau2[ID BC UNIQUE],0),5),0)</f>
        <v>30</v>
      </c>
      <c r="T306" s="333">
        <f>IF(ISBLANK(Tableau6[[#This Row],[DATE DE DEPOT]]),"",Tableau6[[#This Row],[DATE DE DEPOT]]+Tableau6[[#This Row],[DELAI]])</f>
        <v>46060</v>
      </c>
      <c r="U306" s="349">
        <f ca="1">+IF(AND(W306=0,Tableau6[[#This Row],[DATE LIMITE]]&lt;TODAY()),TODAY()-Tableau6[[#This Row],[DATE LIMITE]],0)</f>
        <v>0</v>
      </c>
      <c r="V306"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06" s="350">
        <f>SUMIF(Tableau3[FACTURE],Tableau6[[#This Row],[NUM DE FACTURE]],Tableau3[MONTANT TTC])</f>
        <v>10266019</v>
      </c>
      <c r="X306" s="333"/>
      <c r="Y306" s="343">
        <f>+Tableau6[[#This Row],[NET A PAYER]]-Tableau6[[#This Row],[MONTANT PAYE]]</f>
        <v>0</v>
      </c>
      <c r="Z306" s="332"/>
    </row>
    <row r="307" spans="1:26" x14ac:dyDescent="0.2">
      <c r="A307" t="s">
        <v>100</v>
      </c>
      <c r="B307" s="333">
        <v>46030</v>
      </c>
      <c r="C307" s="333">
        <v>46035</v>
      </c>
      <c r="D307" s="357">
        <v>26000000008</v>
      </c>
      <c r="E307" s="254" t="s">
        <v>138</v>
      </c>
      <c r="F307" s="254" t="s">
        <v>372</v>
      </c>
      <c r="G307" s="254" t="s">
        <v>180</v>
      </c>
      <c r="H307" s="254" t="s">
        <v>116</v>
      </c>
      <c r="I307" s="344"/>
      <c r="J307" s="345">
        <v>6120000</v>
      </c>
      <c r="K307" s="346">
        <f>+Tableau6[[#This Row],[MONTANT HT BIEN]]+Tableau6[[#This Row],[MONTANT HT SERVICE]]</f>
        <v>6120000</v>
      </c>
      <c r="L307" s="10">
        <v>0</v>
      </c>
      <c r="M307" s="347">
        <f>+IFERROR(IF(Tableau6[[#This Row],[CODE TVA]]="TVAF",Tableau6[[#This Row],[MONTANT HT]]*0.18,0),0)</f>
        <v>1101600</v>
      </c>
      <c r="N307" s="347">
        <f>Tableau6[[#This Row],[MONTANT HT]]+Tableau6[[#This Row],[TVA]]-Tableau6[[#This Row],[ACOMPTE SUR HT]]</f>
        <v>7221600</v>
      </c>
      <c r="O307" s="347"/>
      <c r="P307" s="347">
        <f>+ROUND(Tableau6[[#This Row],[MONTANT TTC]]-Tableau6[[#This Row],[ACOMPTE SUR TTC]],0)</f>
        <v>7221600</v>
      </c>
      <c r="Q307" t="s">
        <v>404</v>
      </c>
      <c r="R307" s="348">
        <f>IFERROR(INDEX(Tableau2[[ID BC UNIQUE]:[MONTANT HT VALIDE]],MATCH(Tableau6[[#This Row],[N° BC]],Tableau2[ID BC UNIQUE],0),6),0)</f>
        <v>6120000</v>
      </c>
      <c r="S307" s="349">
        <f>IFERROR(INDEX(Tableau2[[DATE]:[DELAIS DE PAIEMENT FACTURES EN JOUR]],MATCH(Tableau6[[#This Row],[N° BC]],Tableau2[ID BC UNIQUE],0),5),0)</f>
        <v>30</v>
      </c>
      <c r="T307" s="333">
        <f>IF(ISBLANK(Tableau6[[#This Row],[DATE DE DEPOT]]),"",Tableau6[[#This Row],[DATE DE DEPOT]]+Tableau6[[#This Row],[DELAI]])</f>
        <v>46065</v>
      </c>
      <c r="U307" s="349">
        <f ca="1">+IF(AND(W307=0,Tableau6[[#This Row],[DATE LIMITE]]&lt;TODAY()),TODAY()-Tableau6[[#This Row],[DATE LIMITE]],0)</f>
        <v>0</v>
      </c>
      <c r="V307"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07" s="350">
        <f>SUMIF(Tableau3[FACTURE],Tableau6[[#This Row],[NUM DE FACTURE]],Tableau3[MONTANT TTC])</f>
        <v>7221600</v>
      </c>
      <c r="X307" s="333"/>
      <c r="Y307" s="343">
        <f>+Tableau6[[#This Row],[NET A PAYER]]-Tableau6[[#This Row],[MONTANT PAYE]]</f>
        <v>0</v>
      </c>
      <c r="Z307" s="332"/>
    </row>
    <row r="308" spans="1:26" x14ac:dyDescent="0.2">
      <c r="A308" t="s">
        <v>100</v>
      </c>
      <c r="B308" s="333">
        <v>46030</v>
      </c>
      <c r="C308" s="333">
        <v>46035</v>
      </c>
      <c r="D308" s="357">
        <v>26000000009</v>
      </c>
      <c r="E308" s="254" t="s">
        <v>138</v>
      </c>
      <c r="F308" s="254" t="s">
        <v>372</v>
      </c>
      <c r="G308" s="254" t="s">
        <v>179</v>
      </c>
      <c r="H308" s="254" t="s">
        <v>305</v>
      </c>
      <c r="I308" s="344"/>
      <c r="J308" s="345">
        <v>20495652</v>
      </c>
      <c r="K308" s="346">
        <f>+Tableau6[[#This Row],[MONTANT HT BIEN]]+Tableau6[[#This Row],[MONTANT HT SERVICE]]</f>
        <v>20495652</v>
      </c>
      <c r="L308" s="10">
        <v>0</v>
      </c>
      <c r="M308" s="347">
        <f>+IFERROR(IF(Tableau6[[#This Row],[CODE TVA]]="TVAF",Tableau6[[#This Row],[MONTANT HT]]*0.18,0),0)</f>
        <v>0</v>
      </c>
      <c r="N308" s="347">
        <f>Tableau6[[#This Row],[MONTANT HT]]+Tableau6[[#This Row],[TVA]]-Tableau6[[#This Row],[ACOMPTE SUR HT]]</f>
        <v>20495652</v>
      </c>
      <c r="O308" s="347"/>
      <c r="P308" s="347">
        <f>+ROUND(Tableau6[[#This Row],[MONTANT TTC]]-Tableau6[[#This Row],[ACOMPTE SUR TTC]],0)</f>
        <v>20495652</v>
      </c>
      <c r="Q308" t="s">
        <v>405</v>
      </c>
      <c r="R308" s="348">
        <f>IFERROR(INDEX(Tableau2[[ID BC UNIQUE]:[MONTANT HT VALIDE]],MATCH(Tableau6[[#This Row],[N° BC]],Tableau2[ID BC UNIQUE],0),6),0)</f>
        <v>20495652</v>
      </c>
      <c r="S308" s="349">
        <f>IFERROR(INDEX(Tableau2[[DATE]:[DELAIS DE PAIEMENT FACTURES EN JOUR]],MATCH(Tableau6[[#This Row],[N° BC]],Tableau2[ID BC UNIQUE],0),5),0)</f>
        <v>30</v>
      </c>
      <c r="T308" s="333">
        <f>IF(ISBLANK(Tableau6[[#This Row],[DATE DE DEPOT]]),"",Tableau6[[#This Row],[DATE DE DEPOT]]+Tableau6[[#This Row],[DELAI]])</f>
        <v>46065</v>
      </c>
      <c r="U308" s="349">
        <f ca="1">+IF(AND(W308=0,Tableau6[[#This Row],[DATE LIMITE]]&lt;TODAY()),TODAY()-Tableau6[[#This Row],[DATE LIMITE]],0)</f>
        <v>51</v>
      </c>
      <c r="V308"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ECHUE NON REGLEE</v>
      </c>
      <c r="W308" s="350">
        <f>SUMIF(Tableau3[FACTURE],Tableau6[[#This Row],[NUM DE FACTURE]],Tableau3[MONTANT TTC])</f>
        <v>0</v>
      </c>
      <c r="X308" s="333"/>
      <c r="Y308" s="343">
        <f>+Tableau6[[#This Row],[NET A PAYER]]-Tableau6[[#This Row],[MONTANT PAYE]]</f>
        <v>20495652</v>
      </c>
      <c r="Z308" s="332"/>
    </row>
    <row r="309" spans="1:26" x14ac:dyDescent="0.2">
      <c r="A309" t="s">
        <v>100</v>
      </c>
      <c r="B309" s="333">
        <v>46031</v>
      </c>
      <c r="C309" s="333">
        <v>46035</v>
      </c>
      <c r="D309" s="357">
        <v>26000000003</v>
      </c>
      <c r="E309" s="254" t="s">
        <v>138</v>
      </c>
      <c r="F309" s="254" t="s">
        <v>372</v>
      </c>
      <c r="G309" s="254" t="s">
        <v>181</v>
      </c>
      <c r="H309" s="254" t="s">
        <v>116</v>
      </c>
      <c r="I309" s="344"/>
      <c r="J309" s="345">
        <v>1400000</v>
      </c>
      <c r="K309" s="346">
        <f>+Tableau6[[#This Row],[MONTANT HT BIEN]]+Tableau6[[#This Row],[MONTANT HT SERVICE]]</f>
        <v>1400000</v>
      </c>
      <c r="L309" s="10">
        <v>0</v>
      </c>
      <c r="M309" s="347">
        <f>+IFERROR(IF(Tableau6[[#This Row],[CODE TVA]]="TVAF",Tableau6[[#This Row],[MONTANT HT]]*0.18,0),0)</f>
        <v>252000</v>
      </c>
      <c r="N309" s="347">
        <f>Tableau6[[#This Row],[MONTANT HT]]+Tableau6[[#This Row],[TVA]]-Tableau6[[#This Row],[ACOMPTE SUR HT]]</f>
        <v>1652000</v>
      </c>
      <c r="O309" s="347"/>
      <c r="P309" s="347">
        <f>+ROUND(Tableau6[[#This Row],[MONTANT TTC]]-Tableau6[[#This Row],[ACOMPTE SUR TTC]],0)</f>
        <v>1652000</v>
      </c>
      <c r="Q309" t="s">
        <v>400</v>
      </c>
      <c r="R309" s="348">
        <f>IFERROR(INDEX(Tableau2[[ID BC UNIQUE]:[MONTANT HT VALIDE]],MATCH(Tableau6[[#This Row],[N° BC]],Tableau2[ID BC UNIQUE],0),6),0)</f>
        <v>1400000</v>
      </c>
      <c r="S309" s="349">
        <f>IFERROR(INDEX(Tableau2[[DATE]:[DELAIS DE PAIEMENT FACTURES EN JOUR]],MATCH(Tableau6[[#This Row],[N° BC]],Tableau2[ID BC UNIQUE],0),5),0)</f>
        <v>30</v>
      </c>
      <c r="T309" s="333">
        <f>IF(ISBLANK(Tableau6[[#This Row],[DATE DE DEPOT]]),"",Tableau6[[#This Row],[DATE DE DEPOT]]+Tableau6[[#This Row],[DELAI]])</f>
        <v>46065</v>
      </c>
      <c r="U309" s="349">
        <f ca="1">+IF(AND(W309=0,Tableau6[[#This Row],[DATE LIMITE]]&lt;TODAY()),TODAY()-Tableau6[[#This Row],[DATE LIMITE]],0)</f>
        <v>0</v>
      </c>
      <c r="V309"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09" s="350">
        <f>SUMIF(Tableau3[FACTURE],Tableau6[[#This Row],[NUM DE FACTURE]],Tableau3[MONTANT TTC])</f>
        <v>1652000</v>
      </c>
      <c r="X309" s="333"/>
      <c r="Y309" s="343">
        <f>+Tableau6[[#This Row],[NET A PAYER]]-Tableau6[[#This Row],[MONTANT PAYE]]</f>
        <v>0</v>
      </c>
      <c r="Z309" s="332"/>
    </row>
    <row r="310" spans="1:26" x14ac:dyDescent="0.2">
      <c r="A310" t="s">
        <v>100</v>
      </c>
      <c r="B310" s="333">
        <v>46031</v>
      </c>
      <c r="C310" s="333">
        <v>46035</v>
      </c>
      <c r="D310" s="357">
        <v>26000000004</v>
      </c>
      <c r="E310" s="254" t="s">
        <v>138</v>
      </c>
      <c r="F310" s="254" t="s">
        <v>372</v>
      </c>
      <c r="G310" s="254" t="s">
        <v>178</v>
      </c>
      <c r="H310" s="254" t="s">
        <v>116</v>
      </c>
      <c r="I310" s="344"/>
      <c r="J310" s="345">
        <v>1500000</v>
      </c>
      <c r="K310" s="346">
        <f>+Tableau6[[#This Row],[MONTANT HT BIEN]]+Tableau6[[#This Row],[MONTANT HT SERVICE]]</f>
        <v>1500000</v>
      </c>
      <c r="L310" s="10">
        <v>0</v>
      </c>
      <c r="M310" s="347">
        <f>+IFERROR(IF(Tableau6[[#This Row],[CODE TVA]]="TVAF",Tableau6[[#This Row],[MONTANT HT]]*0.18,0),0)</f>
        <v>270000</v>
      </c>
      <c r="N310" s="347">
        <f>Tableau6[[#This Row],[MONTANT HT]]+Tableau6[[#This Row],[TVA]]-Tableau6[[#This Row],[ACOMPTE SUR HT]]</f>
        <v>1770000</v>
      </c>
      <c r="O310" s="347"/>
      <c r="P310" s="347">
        <f>+ROUND(Tableau6[[#This Row],[MONTANT TTC]]-Tableau6[[#This Row],[ACOMPTE SUR TTC]],0)</f>
        <v>1770000</v>
      </c>
      <c r="Q310" t="s">
        <v>401</v>
      </c>
      <c r="R310" s="348">
        <f>IFERROR(INDEX(Tableau2[[ID BC UNIQUE]:[MONTANT HT VALIDE]],MATCH(Tableau6[[#This Row],[N° BC]],Tableau2[ID BC UNIQUE],0),6),0)</f>
        <v>1500000</v>
      </c>
      <c r="S310" s="349">
        <f>IFERROR(INDEX(Tableau2[[DATE]:[DELAIS DE PAIEMENT FACTURES EN JOUR]],MATCH(Tableau6[[#This Row],[N° BC]],Tableau2[ID BC UNIQUE],0),5),0)</f>
        <v>30</v>
      </c>
      <c r="T310" s="333">
        <f>IF(ISBLANK(Tableau6[[#This Row],[DATE DE DEPOT]]),"",Tableau6[[#This Row],[DATE DE DEPOT]]+Tableau6[[#This Row],[DELAI]])</f>
        <v>46065</v>
      </c>
      <c r="U310" s="349">
        <f ca="1">+IF(AND(W310=0,Tableau6[[#This Row],[DATE LIMITE]]&lt;TODAY()),TODAY()-Tableau6[[#This Row],[DATE LIMITE]],0)</f>
        <v>0</v>
      </c>
      <c r="V310"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10" s="350">
        <f>SUMIF(Tableau3[FACTURE],Tableau6[[#This Row],[NUM DE FACTURE]],Tableau3[MONTANT TTC])</f>
        <v>1770000</v>
      </c>
      <c r="X310" s="333"/>
      <c r="Y310" s="343">
        <f>+Tableau6[[#This Row],[NET A PAYER]]-Tableau6[[#This Row],[MONTANT PAYE]]</f>
        <v>0</v>
      </c>
      <c r="Z310" s="332"/>
    </row>
    <row r="311" spans="1:26" x14ac:dyDescent="0.2">
      <c r="A311" t="s">
        <v>100</v>
      </c>
      <c r="B311" s="333">
        <v>46035</v>
      </c>
      <c r="C311" s="333">
        <v>46035</v>
      </c>
      <c r="D311" s="357">
        <v>26000000010</v>
      </c>
      <c r="E311" s="254" t="s">
        <v>138</v>
      </c>
      <c r="F311" s="254" t="s">
        <v>376</v>
      </c>
      <c r="G311" s="254" t="s">
        <v>186</v>
      </c>
      <c r="H311" s="254" t="s">
        <v>116</v>
      </c>
      <c r="I311" s="344"/>
      <c r="J311" s="345">
        <v>10600000</v>
      </c>
      <c r="K311" s="346">
        <f>+Tableau6[[#This Row],[MONTANT HT BIEN]]+Tableau6[[#This Row],[MONTANT HT SERVICE]]</f>
        <v>10600000</v>
      </c>
      <c r="L311" s="10">
        <v>0</v>
      </c>
      <c r="M311" s="347">
        <f>+IFERROR(IF(Tableau6[[#This Row],[CODE TVA]]="TVAF",Tableau6[[#This Row],[MONTANT HT]]*0.18,0),0)</f>
        <v>1908000</v>
      </c>
      <c r="N311" s="347">
        <f>Tableau6[[#This Row],[MONTANT HT]]+Tableau6[[#This Row],[TVA]]-Tableau6[[#This Row],[ACOMPTE SUR HT]]</f>
        <v>12508000</v>
      </c>
      <c r="O311" s="347"/>
      <c r="P311" s="347">
        <f>+ROUND(Tableau6[[#This Row],[MONTANT TTC]]-Tableau6[[#This Row],[ACOMPTE SUR TTC]],0)</f>
        <v>12508000</v>
      </c>
      <c r="Q311" t="s">
        <v>406</v>
      </c>
      <c r="R311" s="348">
        <f>IFERROR(INDEX(Tableau2[[ID BC UNIQUE]:[MONTANT HT VALIDE]],MATCH(Tableau6[[#This Row],[N° BC]],Tableau2[ID BC UNIQUE],0),6),0)</f>
        <v>10600000</v>
      </c>
      <c r="S311" s="349">
        <f>IFERROR(INDEX(Tableau2[[DATE]:[DELAIS DE PAIEMENT FACTURES EN JOUR]],MATCH(Tableau6[[#This Row],[N° BC]],Tableau2[ID BC UNIQUE],0),5),0)</f>
        <v>30</v>
      </c>
      <c r="T311" s="333">
        <f>IF(ISBLANK(Tableau6[[#This Row],[DATE DE DEPOT]]),"",Tableau6[[#This Row],[DATE DE DEPOT]]+Tableau6[[#This Row],[DELAI]])</f>
        <v>46065</v>
      </c>
      <c r="U311" s="349">
        <f ca="1">+IF(AND(W311=0,Tableau6[[#This Row],[DATE LIMITE]]&lt;TODAY()),TODAY()-Tableau6[[#This Row],[DATE LIMITE]],0)</f>
        <v>0</v>
      </c>
      <c r="V311"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11" s="350">
        <f>SUMIF(Tableau3[FACTURE],Tableau6[[#This Row],[NUM DE FACTURE]],Tableau3[MONTANT TTC])</f>
        <v>12508000</v>
      </c>
      <c r="X311" s="333"/>
      <c r="Y311" s="343">
        <f>+Tableau6[[#This Row],[NET A PAYER]]-Tableau6[[#This Row],[MONTANT PAYE]]</f>
        <v>0</v>
      </c>
      <c r="Z311" s="332"/>
    </row>
    <row r="312" spans="1:26" s="1" customFormat="1" x14ac:dyDescent="0.2">
      <c r="A312" t="s">
        <v>100</v>
      </c>
      <c r="B312" s="333">
        <v>46035</v>
      </c>
      <c r="C312" s="333">
        <v>46035</v>
      </c>
      <c r="D312" s="357">
        <v>26000000011</v>
      </c>
      <c r="E312" s="254" t="s">
        <v>138</v>
      </c>
      <c r="F312" s="254" t="s">
        <v>372</v>
      </c>
      <c r="G312" s="254" t="s">
        <v>188</v>
      </c>
      <c r="H312" s="254" t="s">
        <v>116</v>
      </c>
      <c r="I312" s="344"/>
      <c r="J312" s="345">
        <v>1980000</v>
      </c>
      <c r="K312" s="346">
        <f>+Tableau6[[#This Row],[MONTANT HT BIEN]]+Tableau6[[#This Row],[MONTANT HT SERVICE]]</f>
        <v>1980000</v>
      </c>
      <c r="L312" s="10">
        <v>0</v>
      </c>
      <c r="M312" s="347">
        <f>+IFERROR(IF(Tableau6[[#This Row],[CODE TVA]]="TVAF",Tableau6[[#This Row],[MONTANT HT]]*0.18,0),0)</f>
        <v>356400</v>
      </c>
      <c r="N312" s="347">
        <f>Tableau6[[#This Row],[MONTANT HT]]+Tableau6[[#This Row],[TVA]]-Tableau6[[#This Row],[ACOMPTE SUR HT]]</f>
        <v>2336400</v>
      </c>
      <c r="O312" s="347"/>
      <c r="P312" s="347">
        <f>+ROUND(Tableau6[[#This Row],[MONTANT TTC]]-Tableau6[[#This Row],[ACOMPTE SUR TTC]],0)</f>
        <v>2336400</v>
      </c>
      <c r="Q312" t="s">
        <v>399</v>
      </c>
      <c r="R312" s="348">
        <f>IFERROR(INDEX(Tableau2[[ID BC UNIQUE]:[MONTANT HT VALIDE]],MATCH(Tableau6[[#This Row],[N° BC]],Tableau2[ID BC UNIQUE],0),6),0)</f>
        <v>1980000</v>
      </c>
      <c r="S312" s="349">
        <f>IFERROR(INDEX(Tableau2[[DATE]:[DELAIS DE PAIEMENT FACTURES EN JOUR]],MATCH(Tableau6[[#This Row],[N° BC]],Tableau2[ID BC UNIQUE],0),5),0)</f>
        <v>30</v>
      </c>
      <c r="T312" s="333">
        <f>IF(ISBLANK(Tableau6[[#This Row],[DATE DE DEPOT]]),"",Tableau6[[#This Row],[DATE DE DEPOT]]+Tableau6[[#This Row],[DELAI]])</f>
        <v>46065</v>
      </c>
      <c r="U312" s="349">
        <f ca="1">+IF(AND(W312=0,Tableau6[[#This Row],[DATE LIMITE]]&lt;TODAY()),TODAY()-Tableau6[[#This Row],[DATE LIMITE]],0)</f>
        <v>0</v>
      </c>
      <c r="V312"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12" s="350">
        <f>SUMIF(Tableau3[FACTURE],Tableau6[[#This Row],[NUM DE FACTURE]],Tableau3[MONTANT TTC])</f>
        <v>2336400</v>
      </c>
      <c r="X312" s="333"/>
      <c r="Y312" s="343">
        <f>+Tableau6[[#This Row],[NET A PAYER]]-Tableau6[[#This Row],[MONTANT PAYE]]</f>
        <v>0</v>
      </c>
      <c r="Z312" s="332"/>
    </row>
    <row r="313" spans="1:26" x14ac:dyDescent="0.2">
      <c r="A313" s="1" t="s">
        <v>100</v>
      </c>
      <c r="B313" s="333">
        <v>46035</v>
      </c>
      <c r="C313" s="333">
        <v>46036</v>
      </c>
      <c r="D313" s="251" t="s">
        <v>434</v>
      </c>
      <c r="E313" s="254" t="s">
        <v>435</v>
      </c>
      <c r="F313" s="254" t="s">
        <v>436</v>
      </c>
      <c r="G313" s="254"/>
      <c r="H313" s="254" t="s">
        <v>305</v>
      </c>
      <c r="I313" s="344">
        <v>1645000</v>
      </c>
      <c r="J313" s="345"/>
      <c r="K313" s="346">
        <f>+Tableau6[[#This Row],[MONTANT HT BIEN]]+Tableau6[[#This Row],[MONTANT HT SERVICE]]</f>
        <v>1645000</v>
      </c>
      <c r="L313" s="10">
        <v>0</v>
      </c>
      <c r="M313" s="347">
        <f>+IFERROR(IF(Tableau6[[#This Row],[CODE TVA]]="TVAF",Tableau6[[#This Row],[MONTANT HT]]*0.18,0),0)</f>
        <v>0</v>
      </c>
      <c r="N313" s="347">
        <f>Tableau6[[#This Row],[MONTANT HT]]+Tableau6[[#This Row],[TVA]]-Tableau6[[#This Row],[ACOMPTE SUR HT]]</f>
        <v>1645000</v>
      </c>
      <c r="O313" s="347"/>
      <c r="P313" s="347">
        <f>+ROUND(Tableau6[[#This Row],[MONTANT TTC]]-Tableau6[[#This Row],[ACOMPTE SUR TTC]],0)</f>
        <v>1645000</v>
      </c>
      <c r="Q313" t="s">
        <v>434</v>
      </c>
      <c r="R313" s="348">
        <f>IFERROR(INDEX(Tableau2[[ID BC UNIQUE]:[MONTANT HT VALIDE]],MATCH(Tableau6[[#This Row],[N° BC]],Tableau2[ID BC UNIQUE],0),6),0)</f>
        <v>1645000</v>
      </c>
      <c r="S313" s="349">
        <f>IFERROR(INDEX(Tableau2[[DATE]:[DELAIS DE PAIEMENT FACTURES EN JOUR]],MATCH(Tableau6[[#This Row],[N° BC]],Tableau2[ID BC UNIQUE],0),5),0)</f>
        <v>0</v>
      </c>
      <c r="T313" s="333">
        <f>IF(ISBLANK(Tableau6[[#This Row],[DATE DE DEPOT]]),"",Tableau6[[#This Row],[DATE DE DEPOT]]+Tableau6[[#This Row],[DELAI]])</f>
        <v>46036</v>
      </c>
      <c r="U313" s="349">
        <f ca="1">+IF(AND(W313=0,Tableau6[[#This Row],[DATE LIMITE]]&lt;TODAY()),TODAY()-Tableau6[[#This Row],[DATE LIMITE]],0)</f>
        <v>0</v>
      </c>
      <c r="V313"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13" s="350">
        <f>SUMIF(Tableau3[FACTURE],Tableau6[[#This Row],[NUM DE FACTURE]],Tableau3[MONTANT TTC])</f>
        <v>1645000</v>
      </c>
      <c r="X313" s="333"/>
      <c r="Y313" s="343">
        <f>+Tableau6[[#This Row],[NET A PAYER]]-Tableau6[[#This Row],[MONTANT PAYE]]</f>
        <v>0</v>
      </c>
      <c r="Z313" s="332"/>
    </row>
    <row r="314" spans="1:26" x14ac:dyDescent="0.2">
      <c r="A314" t="s">
        <v>100</v>
      </c>
      <c r="B314" s="333">
        <v>46041</v>
      </c>
      <c r="C314" s="333">
        <v>46041</v>
      </c>
      <c r="D314" s="379" t="s">
        <v>429</v>
      </c>
      <c r="E314" s="254" t="s">
        <v>106</v>
      </c>
      <c r="F314" s="254" t="s">
        <v>430</v>
      </c>
      <c r="G314" s="254" t="s">
        <v>431</v>
      </c>
      <c r="H314" s="254" t="s">
        <v>116</v>
      </c>
      <c r="I314" s="344"/>
      <c r="J314" s="345">
        <v>-5870000</v>
      </c>
      <c r="K314" s="346">
        <f>+Tableau6[[#This Row],[MONTANT HT BIEN]]+Tableau6[[#This Row],[MONTANT HT SERVICE]]</f>
        <v>-5870000</v>
      </c>
      <c r="L314" s="10">
        <v>0</v>
      </c>
      <c r="M314" s="347">
        <f>+IFERROR(IF(Tableau6[[#This Row],[CODE TVA]]="TVAF",Tableau6[[#This Row],[MONTANT HT]]*0.18,0),0)</f>
        <v>-1056600</v>
      </c>
      <c r="N314" s="347">
        <f>Tableau6[[#This Row],[MONTANT HT]]+Tableau6[[#This Row],[TVA]]-Tableau6[[#This Row],[ACOMPTE SUR HT]]</f>
        <v>-6926600</v>
      </c>
      <c r="O314" s="347"/>
      <c r="P314" s="347">
        <f>+ROUND(Tableau6[[#This Row],[MONTANT TTC]]-Tableau6[[#This Row],[ACOMPTE SUR TTC]],0)</f>
        <v>-6926600</v>
      </c>
      <c r="Q314" t="s">
        <v>394</v>
      </c>
      <c r="R314" s="348">
        <f>IFERROR(INDEX(Tableau2[[ID BC UNIQUE]:[MONTANT HT VALIDE]],MATCH(Tableau6[[#This Row],[N° BC]],Tableau2[ID BC UNIQUE],0),6),0)</f>
        <v>6270000</v>
      </c>
      <c r="S314" s="349">
        <f>IFERROR(INDEX(Tableau2[[DATE]:[DELAIS DE PAIEMENT FACTURES EN JOUR]],MATCH(Tableau6[[#This Row],[N° BC]],Tableau2[ID BC UNIQUE],0),5),0)</f>
        <v>0</v>
      </c>
      <c r="T314" s="333">
        <f>IF(ISBLANK(Tableau6[[#This Row],[DATE DE DEPOT]]),"",Tableau6[[#This Row],[DATE DE DEPOT]]+Tableau6[[#This Row],[DELAI]])</f>
        <v>46041</v>
      </c>
      <c r="U314" s="349">
        <f ca="1">+IF(AND(W314=0,Tableau6[[#This Row],[DATE LIMITE]]&lt;TODAY()),TODAY()-Tableau6[[#This Row],[DATE LIMITE]],0)</f>
        <v>75</v>
      </c>
      <c r="V314" s="33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AVOIR TOTAL</v>
      </c>
      <c r="W314" s="350">
        <f>SUMIF(Tableau3[FACTURE],Tableau6[[#This Row],[NUM DE FACTURE]],Tableau3[MONTANT TTC])</f>
        <v>0</v>
      </c>
      <c r="X314" s="333"/>
      <c r="Y314" s="343">
        <f>+Tableau6[[#This Row],[NET A PAYER]]-Tableau6[[#This Row],[MONTANT PAYE]]</f>
        <v>-6926600</v>
      </c>
      <c r="Z314" t="s">
        <v>432</v>
      </c>
    </row>
    <row r="315" spans="1:26" x14ac:dyDescent="0.2">
      <c r="A315" s="1" t="s">
        <v>100</v>
      </c>
      <c r="B315" s="387">
        <v>46041</v>
      </c>
      <c r="C315" s="437">
        <v>46041</v>
      </c>
      <c r="D315" s="438">
        <v>26000000012</v>
      </c>
      <c r="E315" s="388" t="s">
        <v>102</v>
      </c>
      <c r="F315" s="388" t="s">
        <v>430</v>
      </c>
      <c r="G315" s="388" t="s">
        <v>431</v>
      </c>
      <c r="H315" s="388" t="s">
        <v>116</v>
      </c>
      <c r="I315" s="439"/>
      <c r="J315" s="441">
        <v>5870000</v>
      </c>
      <c r="K315" s="444">
        <f>+Tableau6[[#This Row],[MONTANT HT BIEN]]+Tableau6[[#This Row],[MONTANT HT SERVICE]]</f>
        <v>5870000</v>
      </c>
      <c r="L315" s="446">
        <v>0</v>
      </c>
      <c r="M315" s="446">
        <f>+IFERROR(IF(Tableau6[[#This Row],[CODE TVA]]="TVAF",Tableau6[[#This Row],[MONTANT HT]]*0.18,0),0)</f>
        <v>1056600</v>
      </c>
      <c r="N315" s="446">
        <f>Tableau6[[#This Row],[MONTANT HT]]+Tableau6[[#This Row],[TVA]]-Tableau6[[#This Row],[ACOMPTE SUR HT]]</f>
        <v>6926600</v>
      </c>
      <c r="O315" s="446"/>
      <c r="P315" s="446">
        <f>+ROUND(Tableau6[[#This Row],[MONTANT TTC]]-Tableau6[[#This Row],[ACOMPTE SUR TTC]],0)</f>
        <v>6926600</v>
      </c>
      <c r="Q315" s="449" t="s">
        <v>394</v>
      </c>
      <c r="R315" s="450">
        <f>IFERROR(INDEX(Tableau2[[ID BC UNIQUE]:[MONTANT HT VALIDE]],MATCH(Tableau6[[#This Row],[N° BC]],Tableau2[ID BC UNIQUE],0),6),0)</f>
        <v>6270000</v>
      </c>
      <c r="S315" s="453">
        <f>IFERROR(INDEX(Tableau2[[DATE]:[DELAIS DE PAIEMENT FACTURES EN JOUR]],MATCH(Tableau6[[#This Row],[N° BC]],Tableau2[ID BC UNIQUE],0),5),0)</f>
        <v>0</v>
      </c>
      <c r="T315" s="437">
        <f>IF(ISBLANK(Tableau6[[#This Row],[DATE DE DEPOT]]),"",Tableau6[[#This Row],[DATE DE DEPOT]]+Tableau6[[#This Row],[DELAI]])</f>
        <v>46041</v>
      </c>
      <c r="U315" s="453">
        <f ca="1">+IF(AND(W315=0,Tableau6[[#This Row],[DATE LIMITE]]&lt;TODAY()),TODAY()-Tableau6[[#This Row],[DATE LIMITE]],0)</f>
        <v>75</v>
      </c>
      <c r="V315" s="449"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FACTURE ANNULEE</v>
      </c>
      <c r="W315" s="456">
        <f>SUMIF(Tableau3[FACTURE],Tableau6[[#This Row],[NUM DE FACTURE]],Tableau3[MONTANT TTC])</f>
        <v>0</v>
      </c>
      <c r="X315" s="437"/>
      <c r="Y315" s="389">
        <f>+Tableau6[[#This Row],[NET A PAYER]]-Tableau6[[#This Row],[MONTANT PAYE]]</f>
        <v>6926600</v>
      </c>
      <c r="Z315" s="1" t="s">
        <v>433</v>
      </c>
    </row>
    <row r="316" spans="1:26" x14ac:dyDescent="0.2">
      <c r="A316" s="1" t="s">
        <v>100</v>
      </c>
      <c r="B316" s="333">
        <v>46041</v>
      </c>
      <c r="C316" s="334">
        <v>46042</v>
      </c>
      <c r="D316" s="433">
        <v>26000000013</v>
      </c>
      <c r="E316" s="254" t="s">
        <v>138</v>
      </c>
      <c r="F316" s="254" t="s">
        <v>437</v>
      </c>
      <c r="G316" s="254" t="s">
        <v>202</v>
      </c>
      <c r="H316" s="254" t="s">
        <v>116</v>
      </c>
      <c r="I316" s="335">
        <v>175000</v>
      </c>
      <c r="J316" s="336"/>
      <c r="K316" s="337">
        <f>+Tableau6[[#This Row],[MONTANT HT BIEN]]+Tableau6[[#This Row],[MONTANT HT SERVICE]]</f>
        <v>175000</v>
      </c>
      <c r="L316" s="153">
        <v>0</v>
      </c>
      <c r="M316" s="338">
        <f>+IFERROR(IF(Tableau6[[#This Row],[CODE TVA]]="TVAF",Tableau6[[#This Row],[MONTANT HT]]*0.18,0),0)</f>
        <v>31500</v>
      </c>
      <c r="N316" s="338">
        <f>Tableau6[[#This Row],[MONTANT HT]]+Tableau6[[#This Row],[TVA]]-Tableau6[[#This Row],[ACOMPTE SUR HT]]</f>
        <v>206500</v>
      </c>
      <c r="O316" s="338"/>
      <c r="P316" s="338">
        <f>+ROUND(Tableau6[[#This Row],[MONTANT TTC]]-Tableau6[[#This Row],[ACOMPTE SUR TTC]],0)</f>
        <v>206500</v>
      </c>
      <c r="Q316" s="2" t="s">
        <v>438</v>
      </c>
      <c r="R316" s="340">
        <f>IFERROR(INDEX(Tableau2[[ID BC UNIQUE]:[MONTANT HT VALIDE]],MATCH(Tableau6[[#This Row],[N° BC]],Tableau2[ID BC UNIQUE],0),6),0)</f>
        <v>175000</v>
      </c>
      <c r="S316" s="341">
        <f>IFERROR(INDEX(Tableau2[[DATE]:[DELAIS DE PAIEMENT FACTURES EN JOUR]],MATCH(Tableau6[[#This Row],[N° BC]],Tableau2[ID BC UNIQUE],0),5),0)</f>
        <v>30</v>
      </c>
      <c r="T316" s="334">
        <f>IF(ISBLANK(Tableau6[[#This Row],[DATE DE DEPOT]]),"",Tableau6[[#This Row],[DATE DE DEPOT]]+Tableau6[[#This Row],[DELAI]])</f>
        <v>46072</v>
      </c>
      <c r="U316" s="341">
        <f ca="1">+IF(AND(W316=0,Tableau6[[#This Row],[DATE LIMITE]]&lt;TODAY()),TODAY()-Tableau6[[#This Row],[DATE LIMITE]],0)</f>
        <v>0</v>
      </c>
      <c r="V316" s="339"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16" s="342">
        <f>SUMIF(Tableau3[FACTURE],Tableau6[[#This Row],[NUM DE FACTURE]],Tableau3[MONTANT TTC])</f>
        <v>206500</v>
      </c>
      <c r="X316" s="334"/>
      <c r="Y316" s="343">
        <f>+Tableau6[[#This Row],[NET A PAYER]]-Tableau6[[#This Row],[MONTANT PAYE]]</f>
        <v>0</v>
      </c>
      <c r="Z316" s="332"/>
    </row>
    <row r="317" spans="1:26" x14ac:dyDescent="0.2">
      <c r="A317" s="363" t="s">
        <v>100</v>
      </c>
      <c r="B317" s="364">
        <v>46056</v>
      </c>
      <c r="C317" s="365">
        <v>46056</v>
      </c>
      <c r="D317" s="366">
        <v>26000000015</v>
      </c>
      <c r="E317" s="254" t="s">
        <v>106</v>
      </c>
      <c r="F317" s="254" t="s">
        <v>430</v>
      </c>
      <c r="G317" s="254" t="s">
        <v>431</v>
      </c>
      <c r="H317" s="254" t="s">
        <v>116</v>
      </c>
      <c r="I317" s="367"/>
      <c r="J317" s="368">
        <v>5870000</v>
      </c>
      <c r="K317" s="369">
        <f>+Tableau6[[#This Row],[MONTANT HT BIEN]]+Tableau6[[#This Row],[MONTANT HT SERVICE]]</f>
        <v>5870000</v>
      </c>
      <c r="L317" s="153">
        <v>0</v>
      </c>
      <c r="M317" s="370">
        <f>+IFERROR(IF(Tableau6[[#This Row],[CODE TVA]]="TVAF",Tableau6[[#This Row],[MONTANT HT]]*0.18,0),0)</f>
        <v>1056600</v>
      </c>
      <c r="N317" s="370">
        <f>Tableau6[[#This Row],[MONTANT HT]]+Tableau6[[#This Row],[TVA]]-Tableau6[[#This Row],[ACOMPTE SUR HT]]</f>
        <v>6926600</v>
      </c>
      <c r="O317" s="370"/>
      <c r="P317" s="370">
        <f>+ROUND(Tableau6[[#This Row],[MONTANT TTC]]-Tableau6[[#This Row],[ACOMPTE SUR TTC]],0)</f>
        <v>6926600</v>
      </c>
      <c r="Q317" s="2" t="s">
        <v>394</v>
      </c>
      <c r="R317" s="372">
        <f>IFERROR(INDEX(Tableau2[[ID BC UNIQUE]:[MONTANT HT VALIDE]],MATCH(Tableau6[[#This Row],[N° BC]],Tableau2[ID BC UNIQUE],0),6),0)</f>
        <v>6270000</v>
      </c>
      <c r="S317" s="373">
        <f>IFERROR(INDEX(Tableau2[[DATE]:[DELAIS DE PAIEMENT FACTURES EN JOUR]],MATCH(Tableau6[[#This Row],[N° BC]],Tableau2[ID BC UNIQUE],0),5),0)</f>
        <v>0</v>
      </c>
      <c r="T317" s="365">
        <f>IF(ISBLANK(Tableau6[[#This Row],[DATE DE DEPOT]]),"",Tableau6[[#This Row],[DATE DE DEPOT]]+Tableau6[[#This Row],[DELAI]])</f>
        <v>46056</v>
      </c>
      <c r="U317" s="373">
        <f ca="1">+IF(AND(W317=0,Tableau6[[#This Row],[DATE LIMITE]]&lt;TODAY()),TODAY()-Tableau6[[#This Row],[DATE LIMITE]],0)</f>
        <v>0</v>
      </c>
      <c r="V317" s="37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17" s="374">
        <f>SUMIF(Tableau3[FACTURE],Tableau6[[#This Row],[NUM DE FACTURE]],Tableau3[MONTANT TTC])</f>
        <v>6926600</v>
      </c>
      <c r="X317" s="365"/>
      <c r="Y317" s="375">
        <f>+Tableau6[[#This Row],[NET A PAYER]]-Tableau6[[#This Row],[MONTANT PAYE]]</f>
        <v>0</v>
      </c>
      <c r="Z317" s="363"/>
    </row>
    <row r="318" spans="1:26" x14ac:dyDescent="0.2">
      <c r="A318" s="363" t="s">
        <v>100</v>
      </c>
      <c r="B318" s="364">
        <v>46056</v>
      </c>
      <c r="C318" s="365">
        <v>46056</v>
      </c>
      <c r="D318" s="366">
        <v>26000000014</v>
      </c>
      <c r="E318" s="254" t="s">
        <v>138</v>
      </c>
      <c r="F318" s="254" t="s">
        <v>700</v>
      </c>
      <c r="G318" s="254" t="s">
        <v>182</v>
      </c>
      <c r="H318" s="254" t="s">
        <v>116</v>
      </c>
      <c r="I318" s="367"/>
      <c r="J318" s="368">
        <v>506000</v>
      </c>
      <c r="K318" s="369">
        <f>+Tableau6[[#This Row],[MONTANT HT BIEN]]+Tableau6[[#This Row],[MONTANT HT SERVICE]]</f>
        <v>506000</v>
      </c>
      <c r="L318" s="153">
        <v>0</v>
      </c>
      <c r="M318" s="370">
        <f>+IFERROR(IF(Tableau6[[#This Row],[CODE TVA]]="TVAF",Tableau6[[#This Row],[MONTANT HT]]*0.18,0),0)</f>
        <v>91080</v>
      </c>
      <c r="N318" s="370">
        <f>Tableau6[[#This Row],[MONTANT HT]]+Tableau6[[#This Row],[TVA]]-Tableau6[[#This Row],[ACOMPTE SUR HT]]</f>
        <v>597080</v>
      </c>
      <c r="O318" s="370"/>
      <c r="P318" s="370">
        <f>+ROUND(Tableau6[[#This Row],[MONTANT TTC]]-Tableau6[[#This Row],[ACOMPTE SUR TTC]],0)</f>
        <v>597080</v>
      </c>
      <c r="Q318" s="2" t="s">
        <v>701</v>
      </c>
      <c r="R318" s="372">
        <f>IFERROR(INDEX(Tableau2[[ID BC UNIQUE]:[MONTANT HT VALIDE]],MATCH(Tableau6[[#This Row],[N° BC]],Tableau2[ID BC UNIQUE],0),6),0)</f>
        <v>506000</v>
      </c>
      <c r="S318" s="373">
        <f>IFERROR(INDEX(Tableau2[[DATE]:[DELAIS DE PAIEMENT FACTURES EN JOUR]],MATCH(Tableau6[[#This Row],[N° BC]],Tableau2[ID BC UNIQUE],0),5),0)</f>
        <v>30</v>
      </c>
      <c r="T318" s="365">
        <f>IF(ISBLANK(Tableau6[[#This Row],[DATE DE DEPOT]]),"",Tableau6[[#This Row],[DATE DE DEPOT]]+Tableau6[[#This Row],[DELAI]])</f>
        <v>46086</v>
      </c>
      <c r="U318" s="373">
        <f ca="1">+IF(AND(W318=0,Tableau6[[#This Row],[DATE LIMITE]]&lt;TODAY()),TODAY()-Tableau6[[#This Row],[DATE LIMITE]],0)</f>
        <v>0</v>
      </c>
      <c r="V318" s="37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18" s="374">
        <f>SUMIF(Tableau3[FACTURE],Tableau6[[#This Row],[NUM DE FACTURE]],Tableau3[MONTANT TTC])</f>
        <v>597080</v>
      </c>
      <c r="X318" s="365"/>
      <c r="Y318" s="375">
        <f>+Tableau6[[#This Row],[NET A PAYER]]-Tableau6[[#This Row],[MONTANT PAYE]]</f>
        <v>0</v>
      </c>
      <c r="Z318" s="363"/>
    </row>
    <row r="319" spans="1:26" x14ac:dyDescent="0.2">
      <c r="A319" s="363" t="s">
        <v>100</v>
      </c>
      <c r="B319" s="364">
        <v>46065</v>
      </c>
      <c r="C319" s="365">
        <v>46066</v>
      </c>
      <c r="D319" s="366">
        <v>26000000016</v>
      </c>
      <c r="E319" s="254" t="s">
        <v>138</v>
      </c>
      <c r="F319" s="254" t="s">
        <v>376</v>
      </c>
      <c r="G319" s="254" t="s">
        <v>181</v>
      </c>
      <c r="H319" s="254" t="s">
        <v>116</v>
      </c>
      <c r="I319" s="367"/>
      <c r="J319" s="368">
        <v>22925800</v>
      </c>
      <c r="K319" s="369">
        <f>+Tableau6[[#This Row],[MONTANT HT BIEN]]+Tableau6[[#This Row],[MONTANT HT SERVICE]]</f>
        <v>22925800</v>
      </c>
      <c r="L319" s="153">
        <v>0</v>
      </c>
      <c r="M319" s="370">
        <f>+IFERROR(IF(Tableau6[[#This Row],[CODE TVA]]="TVAF",Tableau6[[#This Row],[MONTANT HT]]*0.18,0),0)</f>
        <v>4126644</v>
      </c>
      <c r="N319" s="370">
        <f>Tableau6[[#This Row],[MONTANT HT]]+Tableau6[[#This Row],[TVA]]-Tableau6[[#This Row],[ACOMPTE SUR HT]]</f>
        <v>27052444</v>
      </c>
      <c r="O319" s="370"/>
      <c r="P319" s="370">
        <f>+ROUND(Tableau6[[#This Row],[MONTANT TTC]]-Tableau6[[#This Row],[ACOMPTE SUR TTC]],0)</f>
        <v>27052444</v>
      </c>
      <c r="Q319" s="2" t="s">
        <v>703</v>
      </c>
      <c r="R319" s="372">
        <f>IFERROR(INDEX(Tableau2[[ID BC UNIQUE]:[MONTANT HT VALIDE]],MATCH(Tableau6[[#This Row],[N° BC]],Tableau2[ID BC UNIQUE],0),6),0)</f>
        <v>22925800</v>
      </c>
      <c r="S319" s="373">
        <f>IFERROR(INDEX(Tableau2[[DATE]:[DELAIS DE PAIEMENT FACTURES EN JOUR]],MATCH(Tableau6[[#This Row],[N° BC]],Tableau2[ID BC UNIQUE],0),5),0)</f>
        <v>30</v>
      </c>
      <c r="T319" s="365">
        <f>IF(ISBLANK(Tableau6[[#This Row],[DATE DE DEPOT]]),"",Tableau6[[#This Row],[DATE DE DEPOT]]+Tableau6[[#This Row],[DELAI]])</f>
        <v>46096</v>
      </c>
      <c r="U319" s="373">
        <f ca="1">+IF(AND(W319=0,Tableau6[[#This Row],[DATE LIMITE]]&lt;TODAY()),TODAY()-Tableau6[[#This Row],[DATE LIMITE]],0)</f>
        <v>0</v>
      </c>
      <c r="V319" s="37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19" s="374">
        <f>SUMIF(Tableau3[FACTURE],Tableau6[[#This Row],[NUM DE FACTURE]],Tableau3[MONTANT TTC])</f>
        <v>27052444</v>
      </c>
      <c r="X319" s="365"/>
      <c r="Y319" s="375">
        <f>+Tableau6[[#This Row],[NET A PAYER]]-Tableau6[[#This Row],[MONTANT PAYE]]</f>
        <v>0</v>
      </c>
      <c r="Z319" s="363"/>
    </row>
    <row r="320" spans="1:26" x14ac:dyDescent="0.2">
      <c r="A320" s="363" t="s">
        <v>100</v>
      </c>
      <c r="B320" s="364">
        <v>46065</v>
      </c>
      <c r="C320" s="365">
        <v>46066</v>
      </c>
      <c r="D320" s="366">
        <v>26000000017</v>
      </c>
      <c r="E320" s="254" t="s">
        <v>138</v>
      </c>
      <c r="F320" s="254" t="s">
        <v>372</v>
      </c>
      <c r="G320" s="254" t="s">
        <v>183</v>
      </c>
      <c r="H320" s="254" t="s">
        <v>116</v>
      </c>
      <c r="I320" s="367"/>
      <c r="J320" s="368">
        <v>800000</v>
      </c>
      <c r="K320" s="369">
        <f>+Tableau6[[#This Row],[MONTANT HT BIEN]]+Tableau6[[#This Row],[MONTANT HT SERVICE]]</f>
        <v>800000</v>
      </c>
      <c r="L320" s="153">
        <v>0</v>
      </c>
      <c r="M320" s="370">
        <f>+IFERROR(IF(Tableau6[[#This Row],[CODE TVA]]="TVAF",Tableau6[[#This Row],[MONTANT HT]]*0.18,0),0)</f>
        <v>144000</v>
      </c>
      <c r="N320" s="370">
        <f>Tableau6[[#This Row],[MONTANT HT]]+Tableau6[[#This Row],[TVA]]-Tableau6[[#This Row],[ACOMPTE SUR HT]]</f>
        <v>944000</v>
      </c>
      <c r="O320" s="370"/>
      <c r="P320" s="370">
        <f>+ROUND(Tableau6[[#This Row],[MONTANT TTC]]-Tableau6[[#This Row],[ACOMPTE SUR TTC]],0)</f>
        <v>944000</v>
      </c>
      <c r="Q320" s="2" t="s">
        <v>704</v>
      </c>
      <c r="R320" s="372">
        <f>IFERROR(INDEX(Tableau2[[ID BC UNIQUE]:[MONTANT HT VALIDE]],MATCH(Tableau6[[#This Row],[N° BC]],Tableau2[ID BC UNIQUE],0),6),0)</f>
        <v>800000</v>
      </c>
      <c r="S320" s="373">
        <f>IFERROR(INDEX(Tableau2[[DATE]:[DELAIS DE PAIEMENT FACTURES EN JOUR]],MATCH(Tableau6[[#This Row],[N° BC]],Tableau2[ID BC UNIQUE],0),5),0)</f>
        <v>30</v>
      </c>
      <c r="T320" s="365">
        <f>IF(ISBLANK(Tableau6[[#This Row],[DATE DE DEPOT]]),"",Tableau6[[#This Row],[DATE DE DEPOT]]+Tableau6[[#This Row],[DELAI]])</f>
        <v>46096</v>
      </c>
      <c r="U320" s="373">
        <f ca="1">+IF(AND(W320=0,Tableau6[[#This Row],[DATE LIMITE]]&lt;TODAY()),TODAY()-Tableau6[[#This Row],[DATE LIMITE]],0)</f>
        <v>0</v>
      </c>
      <c r="V320" s="37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20" s="374">
        <f>SUMIF(Tableau3[FACTURE],Tableau6[[#This Row],[NUM DE FACTURE]],Tableau3[MONTANT TTC])</f>
        <v>944000</v>
      </c>
      <c r="X320" s="365"/>
      <c r="Y320" s="375">
        <f>+Tableau6[[#This Row],[NET A PAYER]]-Tableau6[[#This Row],[MONTANT PAYE]]</f>
        <v>0</v>
      </c>
      <c r="Z320" s="363"/>
    </row>
    <row r="321" spans="1:26" x14ac:dyDescent="0.2">
      <c r="A321" s="363" t="s">
        <v>100</v>
      </c>
      <c r="B321" s="364">
        <v>46065</v>
      </c>
      <c r="C321" s="365">
        <v>46066</v>
      </c>
      <c r="D321" s="366">
        <v>26000000018</v>
      </c>
      <c r="E321" s="254" t="s">
        <v>138</v>
      </c>
      <c r="F321" s="254" t="s">
        <v>705</v>
      </c>
      <c r="G321" s="254" t="s">
        <v>706</v>
      </c>
      <c r="H321" s="254" t="s">
        <v>305</v>
      </c>
      <c r="I321" s="367"/>
      <c r="J321" s="368">
        <v>23646154</v>
      </c>
      <c r="K321" s="369">
        <f>+Tableau6[[#This Row],[MONTANT HT BIEN]]+Tableau6[[#This Row],[MONTANT HT SERVICE]]</f>
        <v>23646154</v>
      </c>
      <c r="L321" s="153">
        <v>0</v>
      </c>
      <c r="M321" s="370">
        <f>+IFERROR(IF(Tableau6[[#This Row],[CODE TVA]]="TVAF",Tableau6[[#This Row],[MONTANT HT]]*0.18,0),0)</f>
        <v>0</v>
      </c>
      <c r="N321" s="370">
        <f>Tableau6[[#This Row],[MONTANT HT]]+Tableau6[[#This Row],[TVA]]-Tableau6[[#This Row],[ACOMPTE SUR HT]]</f>
        <v>23646154</v>
      </c>
      <c r="O321" s="370"/>
      <c r="P321" s="370">
        <f>+ROUND(Tableau6[[#This Row],[MONTANT TTC]]-Tableau6[[#This Row],[ACOMPTE SUR TTC]],0)</f>
        <v>23646154</v>
      </c>
      <c r="Q321" s="2" t="s">
        <v>707</v>
      </c>
      <c r="R321" s="372">
        <f>IFERROR(INDEX(Tableau2[[ID BC UNIQUE]:[MONTANT HT VALIDE]],MATCH(Tableau6[[#This Row],[N° BC]],Tableau2[ID BC UNIQUE],0),6),0)</f>
        <v>23646154</v>
      </c>
      <c r="S321" s="373">
        <f>IFERROR(INDEX(Tableau2[[DATE]:[DELAIS DE PAIEMENT FACTURES EN JOUR]],MATCH(Tableau6[[#This Row],[N° BC]],Tableau2[ID BC UNIQUE],0),5),0)</f>
        <v>30</v>
      </c>
      <c r="T321" s="365">
        <f>IF(ISBLANK(Tableau6[[#This Row],[DATE DE DEPOT]]),"",Tableau6[[#This Row],[DATE DE DEPOT]]+Tableau6[[#This Row],[DELAI]])</f>
        <v>46096</v>
      </c>
      <c r="U321" s="373">
        <f ca="1">+IF(AND(W321=0,Tableau6[[#This Row],[DATE LIMITE]]&lt;TODAY()),TODAY()-Tableau6[[#This Row],[DATE LIMITE]],0)</f>
        <v>0</v>
      </c>
      <c r="V321" s="37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21" s="374">
        <f>SUMIF(Tableau3[FACTURE],Tableau6[[#This Row],[NUM DE FACTURE]],Tableau3[MONTANT TTC])</f>
        <v>23646154</v>
      </c>
      <c r="X321" s="365"/>
      <c r="Y321" s="375">
        <f>+Tableau6[[#This Row],[NET A PAYER]]-Tableau6[[#This Row],[MONTANT PAYE]]</f>
        <v>0</v>
      </c>
      <c r="Z321" s="363"/>
    </row>
    <row r="322" spans="1:26" x14ac:dyDescent="0.2">
      <c r="A322" s="363" t="s">
        <v>100</v>
      </c>
      <c r="B322" s="364">
        <v>46065</v>
      </c>
      <c r="C322" s="365">
        <v>46066</v>
      </c>
      <c r="D322" s="366">
        <v>26000000019</v>
      </c>
      <c r="E322" s="254" t="s">
        <v>138</v>
      </c>
      <c r="F322" s="254" t="s">
        <v>705</v>
      </c>
      <c r="G322" s="254" t="s">
        <v>181</v>
      </c>
      <c r="H322" s="254" t="s">
        <v>116</v>
      </c>
      <c r="I322" s="367"/>
      <c r="J322" s="368">
        <v>18705000</v>
      </c>
      <c r="K322" s="369">
        <f>+Tableau6[[#This Row],[MONTANT HT BIEN]]+Tableau6[[#This Row],[MONTANT HT SERVICE]]</f>
        <v>18705000</v>
      </c>
      <c r="L322" s="153">
        <v>0</v>
      </c>
      <c r="M322" s="370">
        <f>+IFERROR(IF(Tableau6[[#This Row],[CODE TVA]]="TVAF",Tableau6[[#This Row],[MONTANT HT]]*0.18,0),0)</f>
        <v>3366900</v>
      </c>
      <c r="N322" s="370">
        <f>Tableau6[[#This Row],[MONTANT HT]]+Tableau6[[#This Row],[TVA]]-Tableau6[[#This Row],[ACOMPTE SUR HT]]</f>
        <v>22071900</v>
      </c>
      <c r="O322" s="370"/>
      <c r="P322" s="370">
        <f>+ROUND(Tableau6[[#This Row],[MONTANT TTC]]-Tableau6[[#This Row],[ACOMPTE SUR TTC]],0)</f>
        <v>22071900</v>
      </c>
      <c r="Q322" s="2" t="s">
        <v>708</v>
      </c>
      <c r="R322" s="372">
        <f>IFERROR(INDEX(Tableau2[[ID BC UNIQUE]:[MONTANT HT VALIDE]],MATCH(Tableau6[[#This Row],[N° BC]],Tableau2[ID BC UNIQUE],0),6),0)</f>
        <v>18705000</v>
      </c>
      <c r="S322" s="373">
        <f>IFERROR(INDEX(Tableau2[[DATE]:[DELAIS DE PAIEMENT FACTURES EN JOUR]],MATCH(Tableau6[[#This Row],[N° BC]],Tableau2[ID BC UNIQUE],0),5),0)</f>
        <v>30</v>
      </c>
      <c r="T322" s="365">
        <f>IF(ISBLANK(Tableau6[[#This Row],[DATE DE DEPOT]]),"",Tableau6[[#This Row],[DATE DE DEPOT]]+Tableau6[[#This Row],[DELAI]])</f>
        <v>46096</v>
      </c>
      <c r="U322" s="373">
        <f ca="1">+IF(AND(W322=0,Tableau6[[#This Row],[DATE LIMITE]]&lt;TODAY()),TODAY()-Tableau6[[#This Row],[DATE LIMITE]],0)</f>
        <v>0</v>
      </c>
      <c r="V322" s="37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22" s="374">
        <f>SUMIF(Tableau3[FACTURE],Tableau6[[#This Row],[NUM DE FACTURE]],Tableau3[MONTANT TTC])</f>
        <v>22071900</v>
      </c>
      <c r="X322" s="365"/>
      <c r="Y322" s="375">
        <f>+Tableau6[[#This Row],[NET A PAYER]]-Tableau6[[#This Row],[MONTANT PAYE]]</f>
        <v>0</v>
      </c>
      <c r="Z322" s="363"/>
    </row>
    <row r="323" spans="1:26" x14ac:dyDescent="0.2">
      <c r="A323" s="363" t="s">
        <v>100</v>
      </c>
      <c r="B323" s="364">
        <v>46065</v>
      </c>
      <c r="C323" s="365">
        <v>46066</v>
      </c>
      <c r="D323" s="366">
        <v>26000000020</v>
      </c>
      <c r="E323" s="254" t="s">
        <v>138</v>
      </c>
      <c r="F323" s="254" t="s">
        <v>705</v>
      </c>
      <c r="G323" s="254" t="s">
        <v>181</v>
      </c>
      <c r="H323" s="254" t="s">
        <v>116</v>
      </c>
      <c r="I323" s="367"/>
      <c r="J323" s="368">
        <v>6650000</v>
      </c>
      <c r="K323" s="369">
        <f>+Tableau6[[#This Row],[MONTANT HT BIEN]]+Tableau6[[#This Row],[MONTANT HT SERVICE]]</f>
        <v>6650000</v>
      </c>
      <c r="L323" s="153">
        <v>0</v>
      </c>
      <c r="M323" s="370">
        <f>+IFERROR(IF(Tableau6[[#This Row],[CODE TVA]]="TVAF",Tableau6[[#This Row],[MONTANT HT]]*0.18,0),0)</f>
        <v>1197000</v>
      </c>
      <c r="N323" s="370">
        <f>Tableau6[[#This Row],[MONTANT HT]]+Tableau6[[#This Row],[TVA]]-Tableau6[[#This Row],[ACOMPTE SUR HT]]</f>
        <v>7847000</v>
      </c>
      <c r="O323" s="370"/>
      <c r="P323" s="370">
        <f>+ROUND(Tableau6[[#This Row],[MONTANT TTC]]-Tableau6[[#This Row],[ACOMPTE SUR TTC]],0)</f>
        <v>7847000</v>
      </c>
      <c r="Q323" s="2" t="s">
        <v>709</v>
      </c>
      <c r="R323" s="372">
        <f>IFERROR(INDEX(Tableau2[[ID BC UNIQUE]:[MONTANT HT VALIDE]],MATCH(Tableau6[[#This Row],[N° BC]],Tableau2[ID BC UNIQUE],0),6),0)</f>
        <v>6650000</v>
      </c>
      <c r="S323" s="373">
        <f>IFERROR(INDEX(Tableau2[[DATE]:[DELAIS DE PAIEMENT FACTURES EN JOUR]],MATCH(Tableau6[[#This Row],[N° BC]],Tableau2[ID BC UNIQUE],0),5),0)</f>
        <v>30</v>
      </c>
      <c r="T323" s="365">
        <f>IF(ISBLANK(Tableau6[[#This Row],[DATE DE DEPOT]]),"",Tableau6[[#This Row],[DATE DE DEPOT]]+Tableau6[[#This Row],[DELAI]])</f>
        <v>46096</v>
      </c>
      <c r="U323" s="373">
        <f ca="1">+IF(AND(W323=0,Tableau6[[#This Row],[DATE LIMITE]]&lt;TODAY()),TODAY()-Tableau6[[#This Row],[DATE LIMITE]],0)</f>
        <v>0</v>
      </c>
      <c r="V323" s="37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23" s="374">
        <f>SUMIF(Tableau3[FACTURE],Tableau6[[#This Row],[NUM DE FACTURE]],Tableau3[MONTANT TTC])</f>
        <v>7847000</v>
      </c>
      <c r="X323" s="365"/>
      <c r="Y323" s="375">
        <f>+Tableau6[[#This Row],[NET A PAYER]]-Tableau6[[#This Row],[MONTANT PAYE]]</f>
        <v>0</v>
      </c>
      <c r="Z323" s="363"/>
    </row>
    <row r="324" spans="1:26" x14ac:dyDescent="0.2">
      <c r="A324" s="363" t="s">
        <v>100</v>
      </c>
      <c r="B324" s="364">
        <v>46065</v>
      </c>
      <c r="C324" s="365">
        <v>46066</v>
      </c>
      <c r="D324" s="366">
        <v>26000000021</v>
      </c>
      <c r="E324" s="254" t="s">
        <v>138</v>
      </c>
      <c r="F324" s="254" t="s">
        <v>705</v>
      </c>
      <c r="G324" s="254" t="s">
        <v>180</v>
      </c>
      <c r="H324" s="254" t="s">
        <v>116</v>
      </c>
      <c r="I324" s="367"/>
      <c r="J324" s="368">
        <v>6780000</v>
      </c>
      <c r="K324" s="369">
        <f>+Tableau6[[#This Row],[MONTANT HT BIEN]]+Tableau6[[#This Row],[MONTANT HT SERVICE]]</f>
        <v>6780000</v>
      </c>
      <c r="L324" s="153">
        <v>0</v>
      </c>
      <c r="M324" s="370">
        <f>+IFERROR(IF(Tableau6[[#This Row],[CODE TVA]]="TVAF",Tableau6[[#This Row],[MONTANT HT]]*0.18,0),0)</f>
        <v>1220400</v>
      </c>
      <c r="N324" s="370">
        <f>Tableau6[[#This Row],[MONTANT HT]]+Tableau6[[#This Row],[TVA]]-Tableau6[[#This Row],[ACOMPTE SUR HT]]</f>
        <v>8000400</v>
      </c>
      <c r="O324" s="370"/>
      <c r="P324" s="370">
        <f>+ROUND(Tableau6[[#This Row],[MONTANT TTC]]-Tableau6[[#This Row],[ACOMPTE SUR TTC]],0)</f>
        <v>8000400</v>
      </c>
      <c r="Q324" s="2" t="s">
        <v>710</v>
      </c>
      <c r="R324" s="372">
        <f>IFERROR(INDEX(Tableau2[[ID BC UNIQUE]:[MONTANT HT VALIDE]],MATCH(Tableau6[[#This Row],[N° BC]],Tableau2[ID BC UNIQUE],0),6),0)</f>
        <v>6780000</v>
      </c>
      <c r="S324" s="373">
        <f>IFERROR(INDEX(Tableau2[[DATE]:[DELAIS DE PAIEMENT FACTURES EN JOUR]],MATCH(Tableau6[[#This Row],[N° BC]],Tableau2[ID BC UNIQUE],0),5),0)</f>
        <v>30</v>
      </c>
      <c r="T324" s="365">
        <f>IF(ISBLANK(Tableau6[[#This Row],[DATE DE DEPOT]]),"",Tableau6[[#This Row],[DATE DE DEPOT]]+Tableau6[[#This Row],[DELAI]])</f>
        <v>46096</v>
      </c>
      <c r="U324" s="373">
        <f ca="1">+IF(AND(W324=0,Tableau6[[#This Row],[DATE LIMITE]]&lt;TODAY()),TODAY()-Tableau6[[#This Row],[DATE LIMITE]],0)</f>
        <v>0</v>
      </c>
      <c r="V324" s="37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24" s="374">
        <f>SUMIF(Tableau3[FACTURE],Tableau6[[#This Row],[NUM DE FACTURE]],Tableau3[MONTANT TTC])</f>
        <v>8000400</v>
      </c>
      <c r="X324" s="365"/>
      <c r="Y324" s="375">
        <f>+Tableau6[[#This Row],[NET A PAYER]]-Tableau6[[#This Row],[MONTANT PAYE]]</f>
        <v>0</v>
      </c>
      <c r="Z324" s="363"/>
    </row>
    <row r="325" spans="1:26" x14ac:dyDescent="0.2">
      <c r="A325" s="363" t="s">
        <v>100</v>
      </c>
      <c r="B325" s="364">
        <v>46065</v>
      </c>
      <c r="C325" s="365">
        <v>46066</v>
      </c>
      <c r="D325" s="366">
        <v>26000000022</v>
      </c>
      <c r="E325" s="254" t="s">
        <v>138</v>
      </c>
      <c r="F325" s="254" t="s">
        <v>705</v>
      </c>
      <c r="G325" s="254" t="s">
        <v>178</v>
      </c>
      <c r="H325" s="254" t="s">
        <v>116</v>
      </c>
      <c r="I325" s="367"/>
      <c r="J325" s="368">
        <v>1500000</v>
      </c>
      <c r="K325" s="369">
        <f>+Tableau6[[#This Row],[MONTANT HT BIEN]]+Tableau6[[#This Row],[MONTANT HT SERVICE]]</f>
        <v>1500000</v>
      </c>
      <c r="L325" s="153">
        <v>0</v>
      </c>
      <c r="M325" s="370">
        <f>+IFERROR(IF(Tableau6[[#This Row],[CODE TVA]]="TVAF",Tableau6[[#This Row],[MONTANT HT]]*0.18,0),0)</f>
        <v>270000</v>
      </c>
      <c r="N325" s="370">
        <f>Tableau6[[#This Row],[MONTANT HT]]+Tableau6[[#This Row],[TVA]]-Tableau6[[#This Row],[ACOMPTE SUR HT]]</f>
        <v>1770000</v>
      </c>
      <c r="O325" s="370"/>
      <c r="P325" s="370">
        <f>+ROUND(Tableau6[[#This Row],[MONTANT TTC]]-Tableau6[[#This Row],[ACOMPTE SUR TTC]],0)</f>
        <v>1770000</v>
      </c>
      <c r="Q325" s="2" t="s">
        <v>711</v>
      </c>
      <c r="R325" s="372">
        <f>IFERROR(INDEX(Tableau2[[ID BC UNIQUE]:[MONTANT HT VALIDE]],MATCH(Tableau6[[#This Row],[N° BC]],Tableau2[ID BC UNIQUE],0),6),0)</f>
        <v>1500000</v>
      </c>
      <c r="S325" s="373">
        <f>IFERROR(INDEX(Tableau2[[DATE]:[DELAIS DE PAIEMENT FACTURES EN JOUR]],MATCH(Tableau6[[#This Row],[N° BC]],Tableau2[ID BC UNIQUE],0),5),0)</f>
        <v>30</v>
      </c>
      <c r="T325" s="365">
        <f>IF(ISBLANK(Tableau6[[#This Row],[DATE DE DEPOT]]),"",Tableau6[[#This Row],[DATE DE DEPOT]]+Tableau6[[#This Row],[DELAI]])</f>
        <v>46096</v>
      </c>
      <c r="U325" s="373">
        <f ca="1">+IF(AND(W325=0,Tableau6[[#This Row],[DATE LIMITE]]&lt;TODAY()),TODAY()-Tableau6[[#This Row],[DATE LIMITE]],0)</f>
        <v>0</v>
      </c>
      <c r="V325" s="37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25" s="374">
        <f>SUMIF(Tableau3[FACTURE],Tableau6[[#This Row],[NUM DE FACTURE]],Tableau3[MONTANT TTC])</f>
        <v>1770000</v>
      </c>
      <c r="X325" s="365"/>
      <c r="Y325" s="375">
        <f>+Tableau6[[#This Row],[NET A PAYER]]-Tableau6[[#This Row],[MONTANT PAYE]]</f>
        <v>0</v>
      </c>
      <c r="Z325" s="363"/>
    </row>
    <row r="326" spans="1:26" x14ac:dyDescent="0.2">
      <c r="A326" s="363" t="s">
        <v>100</v>
      </c>
      <c r="B326" s="364">
        <v>46065</v>
      </c>
      <c r="C326" s="365">
        <v>46066</v>
      </c>
      <c r="D326" s="366">
        <v>26000000023</v>
      </c>
      <c r="E326" s="254" t="s">
        <v>138</v>
      </c>
      <c r="F326" s="254" t="s">
        <v>705</v>
      </c>
      <c r="G326" s="254" t="s">
        <v>178</v>
      </c>
      <c r="H326" s="254" t="s">
        <v>116</v>
      </c>
      <c r="I326" s="367"/>
      <c r="J326" s="368">
        <v>7500000</v>
      </c>
      <c r="K326" s="369">
        <f>+Tableau6[[#This Row],[MONTANT HT BIEN]]+Tableau6[[#This Row],[MONTANT HT SERVICE]]</f>
        <v>7500000</v>
      </c>
      <c r="L326" s="153">
        <v>0</v>
      </c>
      <c r="M326" s="370">
        <f>+IFERROR(IF(Tableau6[[#This Row],[CODE TVA]]="TVAF",Tableau6[[#This Row],[MONTANT HT]]*0.18,0),0)</f>
        <v>1350000</v>
      </c>
      <c r="N326" s="370">
        <f>Tableau6[[#This Row],[MONTANT HT]]+Tableau6[[#This Row],[TVA]]-Tableau6[[#This Row],[ACOMPTE SUR HT]]</f>
        <v>8850000</v>
      </c>
      <c r="O326" s="370"/>
      <c r="P326" s="370">
        <f>+ROUND(Tableau6[[#This Row],[MONTANT TTC]]-Tableau6[[#This Row],[ACOMPTE SUR TTC]],0)</f>
        <v>8850000</v>
      </c>
      <c r="Q326" s="2" t="s">
        <v>712</v>
      </c>
      <c r="R326" s="372">
        <f>IFERROR(INDEX(Tableau2[[ID BC UNIQUE]:[MONTANT HT VALIDE]],MATCH(Tableau6[[#This Row],[N° BC]],Tableau2[ID BC UNIQUE],0),6),0)</f>
        <v>7500000</v>
      </c>
      <c r="S326" s="373">
        <f>IFERROR(INDEX(Tableau2[[DATE]:[DELAIS DE PAIEMENT FACTURES EN JOUR]],MATCH(Tableau6[[#This Row],[N° BC]],Tableau2[ID BC UNIQUE],0),5),0)</f>
        <v>30</v>
      </c>
      <c r="T326" s="365">
        <f>IF(ISBLANK(Tableau6[[#This Row],[DATE DE DEPOT]]),"",Tableau6[[#This Row],[DATE DE DEPOT]]+Tableau6[[#This Row],[DELAI]])</f>
        <v>46096</v>
      </c>
      <c r="U326" s="373">
        <f ca="1">+IF(AND(W326=0,Tableau6[[#This Row],[DATE LIMITE]]&lt;TODAY()),TODAY()-Tableau6[[#This Row],[DATE LIMITE]],0)</f>
        <v>0</v>
      </c>
      <c r="V326" s="37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26" s="374">
        <f>SUMIF(Tableau3[FACTURE],Tableau6[[#This Row],[NUM DE FACTURE]],Tableau3[MONTANT TTC])</f>
        <v>8850000</v>
      </c>
      <c r="X326" s="365"/>
      <c r="Y326" s="375">
        <f>+Tableau6[[#This Row],[NET A PAYER]]-Tableau6[[#This Row],[MONTANT PAYE]]</f>
        <v>0</v>
      </c>
      <c r="Z326" s="363"/>
    </row>
    <row r="327" spans="1:26" x14ac:dyDescent="0.2">
      <c r="A327" s="363" t="s">
        <v>100</v>
      </c>
      <c r="B327" s="364">
        <v>46065</v>
      </c>
      <c r="C327" s="365">
        <v>46066</v>
      </c>
      <c r="D327" s="366">
        <v>26000000024</v>
      </c>
      <c r="E327" s="254" t="s">
        <v>138</v>
      </c>
      <c r="F327" s="254" t="s">
        <v>705</v>
      </c>
      <c r="G327" s="254" t="s">
        <v>178</v>
      </c>
      <c r="H327" s="254" t="s">
        <v>116</v>
      </c>
      <c r="I327" s="367"/>
      <c r="J327" s="368">
        <v>23845000</v>
      </c>
      <c r="K327" s="369">
        <f>+Tableau6[[#This Row],[MONTANT HT BIEN]]+Tableau6[[#This Row],[MONTANT HT SERVICE]]</f>
        <v>23845000</v>
      </c>
      <c r="L327" s="153">
        <v>0</v>
      </c>
      <c r="M327" s="370">
        <f>+IFERROR(IF(Tableau6[[#This Row],[CODE TVA]]="TVAF",Tableau6[[#This Row],[MONTANT HT]]*0.18,0),0)</f>
        <v>4292100</v>
      </c>
      <c r="N327" s="370">
        <f>Tableau6[[#This Row],[MONTANT HT]]+Tableau6[[#This Row],[TVA]]-Tableau6[[#This Row],[ACOMPTE SUR HT]]</f>
        <v>28137100</v>
      </c>
      <c r="O327" s="370"/>
      <c r="P327" s="370">
        <f>+ROUND(Tableau6[[#This Row],[MONTANT TTC]]-Tableau6[[#This Row],[ACOMPTE SUR TTC]],0)</f>
        <v>28137100</v>
      </c>
      <c r="Q327" s="2" t="s">
        <v>713</v>
      </c>
      <c r="R327" s="372">
        <f>IFERROR(INDEX(Tableau2[[ID BC UNIQUE]:[MONTANT HT VALIDE]],MATCH(Tableau6[[#This Row],[N° BC]],Tableau2[ID BC UNIQUE],0),6),0)</f>
        <v>23845000</v>
      </c>
      <c r="S327" s="373">
        <f>IFERROR(INDEX(Tableau2[[DATE]:[DELAIS DE PAIEMENT FACTURES EN JOUR]],MATCH(Tableau6[[#This Row],[N° BC]],Tableau2[ID BC UNIQUE],0),5),0)</f>
        <v>30</v>
      </c>
      <c r="T327" s="365">
        <f>IF(ISBLANK(Tableau6[[#This Row],[DATE DE DEPOT]]),"",Tableau6[[#This Row],[DATE DE DEPOT]]+Tableau6[[#This Row],[DELAI]])</f>
        <v>46096</v>
      </c>
      <c r="U327" s="373">
        <f ca="1">+IF(AND(W327=0,Tableau6[[#This Row],[DATE LIMITE]]&lt;TODAY()),TODAY()-Tableau6[[#This Row],[DATE LIMITE]],0)</f>
        <v>0</v>
      </c>
      <c r="V327" s="37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27" s="374">
        <f>SUMIF(Tableau3[FACTURE],Tableau6[[#This Row],[NUM DE FACTURE]],Tableau3[MONTANT TTC])</f>
        <v>28137100</v>
      </c>
      <c r="X327" s="365"/>
      <c r="Y327" s="375">
        <f>+Tableau6[[#This Row],[NET A PAYER]]-Tableau6[[#This Row],[MONTANT PAYE]]</f>
        <v>0</v>
      </c>
      <c r="Z327" s="363"/>
    </row>
    <row r="328" spans="1:26" x14ac:dyDescent="0.2">
      <c r="A328" s="363" t="s">
        <v>100</v>
      </c>
      <c r="B328" s="364">
        <v>46065</v>
      </c>
      <c r="C328" s="365">
        <v>46066</v>
      </c>
      <c r="D328" s="366">
        <v>26000000025</v>
      </c>
      <c r="E328" s="254" t="s">
        <v>138</v>
      </c>
      <c r="F328" s="254" t="s">
        <v>705</v>
      </c>
      <c r="G328" s="254" t="s">
        <v>178</v>
      </c>
      <c r="H328" s="254" t="s">
        <v>116</v>
      </c>
      <c r="I328" s="367"/>
      <c r="J328" s="368">
        <v>22534960</v>
      </c>
      <c r="K328" s="369">
        <f>+Tableau6[[#This Row],[MONTANT HT BIEN]]+Tableau6[[#This Row],[MONTANT HT SERVICE]]</f>
        <v>22534960</v>
      </c>
      <c r="L328" s="153">
        <v>0</v>
      </c>
      <c r="M328" s="370">
        <f>+IFERROR(IF(Tableau6[[#This Row],[CODE TVA]]="TVAF",Tableau6[[#This Row],[MONTANT HT]]*0.18,0),0)</f>
        <v>4056292.8</v>
      </c>
      <c r="N328" s="370">
        <f>Tableau6[[#This Row],[MONTANT HT]]+Tableau6[[#This Row],[TVA]]-Tableau6[[#This Row],[ACOMPTE SUR HT]]</f>
        <v>26591252.800000001</v>
      </c>
      <c r="O328" s="370"/>
      <c r="P328" s="370">
        <f>+ROUND(Tableau6[[#This Row],[MONTANT TTC]]-Tableau6[[#This Row],[ACOMPTE SUR TTC]],0)</f>
        <v>26591253</v>
      </c>
      <c r="Q328" s="2" t="s">
        <v>714</v>
      </c>
      <c r="R328" s="372">
        <f>IFERROR(INDEX(Tableau2[[ID BC UNIQUE]:[MONTANT HT VALIDE]],MATCH(Tableau6[[#This Row],[N° BC]],Tableau2[ID BC UNIQUE],0),6),0)</f>
        <v>22534960</v>
      </c>
      <c r="S328" s="373">
        <f>IFERROR(INDEX(Tableau2[[DATE]:[DELAIS DE PAIEMENT FACTURES EN JOUR]],MATCH(Tableau6[[#This Row],[N° BC]],Tableau2[ID BC UNIQUE],0),5),0)</f>
        <v>30</v>
      </c>
      <c r="T328" s="365">
        <f>IF(ISBLANK(Tableau6[[#This Row],[DATE DE DEPOT]]),"",Tableau6[[#This Row],[DATE DE DEPOT]]+Tableau6[[#This Row],[DELAI]])</f>
        <v>46096</v>
      </c>
      <c r="U328" s="373">
        <f ca="1">+IF(AND(W328=0,Tableau6[[#This Row],[DATE LIMITE]]&lt;TODAY()),TODAY()-Tableau6[[#This Row],[DATE LIMITE]],0)</f>
        <v>0</v>
      </c>
      <c r="V328" s="37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28" s="374">
        <f>SUMIF(Tableau3[FACTURE],Tableau6[[#This Row],[NUM DE FACTURE]],Tableau3[MONTANT TTC])</f>
        <v>26591253</v>
      </c>
      <c r="X328" s="365"/>
      <c r="Y328" s="375">
        <f>+Tableau6[[#This Row],[NET A PAYER]]-Tableau6[[#This Row],[MONTANT PAYE]]</f>
        <v>0</v>
      </c>
      <c r="Z328" s="363"/>
    </row>
    <row r="329" spans="1:26" x14ac:dyDescent="0.2">
      <c r="A329" s="363" t="s">
        <v>100</v>
      </c>
      <c r="B329" s="364">
        <v>46066</v>
      </c>
      <c r="C329" s="365">
        <v>46066</v>
      </c>
      <c r="D329" s="366">
        <v>26000000026</v>
      </c>
      <c r="E329" s="254" t="s">
        <v>138</v>
      </c>
      <c r="F329" s="254" t="s">
        <v>705</v>
      </c>
      <c r="G329" s="254" t="s">
        <v>706</v>
      </c>
      <c r="H329" s="254" t="s">
        <v>305</v>
      </c>
      <c r="I329" s="367"/>
      <c r="J329" s="368">
        <v>1300000</v>
      </c>
      <c r="K329" s="369">
        <f>+Tableau6[[#This Row],[MONTANT HT BIEN]]+Tableau6[[#This Row],[MONTANT HT SERVICE]]</f>
        <v>1300000</v>
      </c>
      <c r="L329" s="153">
        <v>0</v>
      </c>
      <c r="M329" s="370">
        <f>+IFERROR(IF(Tableau6[[#This Row],[CODE TVA]]="TVAF",Tableau6[[#This Row],[MONTANT HT]]*0.18,0),0)</f>
        <v>0</v>
      </c>
      <c r="N329" s="370">
        <f>Tableau6[[#This Row],[MONTANT HT]]+Tableau6[[#This Row],[TVA]]-Tableau6[[#This Row],[ACOMPTE SUR HT]]</f>
        <v>1300000</v>
      </c>
      <c r="O329" s="370"/>
      <c r="P329" s="370">
        <f>+ROUND(Tableau6[[#This Row],[MONTANT TTC]]-Tableau6[[#This Row],[ACOMPTE SUR TTC]],0)</f>
        <v>1300000</v>
      </c>
      <c r="Q329" s="2" t="s">
        <v>715</v>
      </c>
      <c r="R329" s="372">
        <f>IFERROR(INDEX(Tableau2[[ID BC UNIQUE]:[MONTANT HT VALIDE]],MATCH(Tableau6[[#This Row],[N° BC]],Tableau2[ID BC UNIQUE],0),6),0)</f>
        <v>1300000</v>
      </c>
      <c r="S329" s="373">
        <f>IFERROR(INDEX(Tableau2[[DATE]:[DELAIS DE PAIEMENT FACTURES EN JOUR]],MATCH(Tableau6[[#This Row],[N° BC]],Tableau2[ID BC UNIQUE],0),5),0)</f>
        <v>30</v>
      </c>
      <c r="T329" s="365">
        <f>IF(ISBLANK(Tableau6[[#This Row],[DATE DE DEPOT]]),"",Tableau6[[#This Row],[DATE DE DEPOT]]+Tableau6[[#This Row],[DELAI]])</f>
        <v>46096</v>
      </c>
      <c r="U329" s="373">
        <f ca="1">+IF(AND(W329=0,Tableau6[[#This Row],[DATE LIMITE]]&lt;TODAY()),TODAY()-Tableau6[[#This Row],[DATE LIMITE]],0)</f>
        <v>0</v>
      </c>
      <c r="V329" s="37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29" s="374">
        <f>SUMIF(Tableau3[FACTURE],Tableau6[[#This Row],[NUM DE FACTURE]],Tableau3[MONTANT TTC])</f>
        <v>1300000</v>
      </c>
      <c r="X329" s="365"/>
      <c r="Y329" s="375">
        <f>+Tableau6[[#This Row],[NET A PAYER]]-Tableau6[[#This Row],[MONTANT PAYE]]</f>
        <v>0</v>
      </c>
      <c r="Z329" s="363"/>
    </row>
    <row r="330" spans="1:26" x14ac:dyDescent="0.2">
      <c r="A330" s="363" t="s">
        <v>100</v>
      </c>
      <c r="B330" s="364">
        <v>46066</v>
      </c>
      <c r="C330" s="365">
        <v>46066</v>
      </c>
      <c r="D330" s="366">
        <v>26000000027</v>
      </c>
      <c r="E330" s="254" t="s">
        <v>138</v>
      </c>
      <c r="F330" s="254" t="s">
        <v>376</v>
      </c>
      <c r="G330" s="254" t="s">
        <v>178</v>
      </c>
      <c r="H330" s="254" t="s">
        <v>116</v>
      </c>
      <c r="I330" s="367"/>
      <c r="J330" s="368">
        <v>7570000</v>
      </c>
      <c r="K330" s="369">
        <f>+Tableau6[[#This Row],[MONTANT HT BIEN]]+Tableau6[[#This Row],[MONTANT HT SERVICE]]</f>
        <v>7570000</v>
      </c>
      <c r="L330" s="153">
        <v>0</v>
      </c>
      <c r="M330" s="370">
        <f>+IFERROR(IF(Tableau6[[#This Row],[CODE TVA]]="TVAF",Tableau6[[#This Row],[MONTANT HT]]*0.18,0),0)</f>
        <v>1362600</v>
      </c>
      <c r="N330" s="370">
        <f>Tableau6[[#This Row],[MONTANT HT]]+Tableau6[[#This Row],[TVA]]-Tableau6[[#This Row],[ACOMPTE SUR HT]]</f>
        <v>8932600</v>
      </c>
      <c r="O330" s="370"/>
      <c r="P330" s="370">
        <f>+ROUND(Tableau6[[#This Row],[MONTANT TTC]]-Tableau6[[#This Row],[ACOMPTE SUR TTC]],0)</f>
        <v>8932600</v>
      </c>
      <c r="Q330" s="2" t="s">
        <v>716</v>
      </c>
      <c r="R330" s="372">
        <f>IFERROR(INDEX(Tableau2[[ID BC UNIQUE]:[MONTANT HT VALIDE]],MATCH(Tableau6[[#This Row],[N° BC]],Tableau2[ID BC UNIQUE],0),6),0)</f>
        <v>7570000</v>
      </c>
      <c r="S330" s="373">
        <f>IFERROR(INDEX(Tableau2[[DATE]:[DELAIS DE PAIEMENT FACTURES EN JOUR]],MATCH(Tableau6[[#This Row],[N° BC]],Tableau2[ID BC UNIQUE],0),5),0)</f>
        <v>30</v>
      </c>
      <c r="T330" s="365">
        <f>IF(ISBLANK(Tableau6[[#This Row],[DATE DE DEPOT]]),"",Tableau6[[#This Row],[DATE DE DEPOT]]+Tableau6[[#This Row],[DELAI]])</f>
        <v>46096</v>
      </c>
      <c r="U330" s="373">
        <f ca="1">+IF(AND(W330=0,Tableau6[[#This Row],[DATE LIMITE]]&lt;TODAY()),TODAY()-Tableau6[[#This Row],[DATE LIMITE]],0)</f>
        <v>0</v>
      </c>
      <c r="V330" s="37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30" s="374">
        <f>SUMIF(Tableau3[FACTURE],Tableau6[[#This Row],[NUM DE FACTURE]],Tableau3[MONTANT TTC])</f>
        <v>8932600</v>
      </c>
      <c r="X330" s="365"/>
      <c r="Y330" s="375">
        <f>+Tableau6[[#This Row],[NET A PAYER]]-Tableau6[[#This Row],[MONTANT PAYE]]</f>
        <v>0</v>
      </c>
      <c r="Z330" s="363"/>
    </row>
    <row r="331" spans="1:26" x14ac:dyDescent="0.2">
      <c r="A331" s="363" t="s">
        <v>100</v>
      </c>
      <c r="B331" s="364">
        <v>46071</v>
      </c>
      <c r="C331" s="364">
        <v>46071</v>
      </c>
      <c r="D331" s="366">
        <v>26000000028</v>
      </c>
      <c r="E331" s="254" t="s">
        <v>138</v>
      </c>
      <c r="F331" s="254" t="s">
        <v>705</v>
      </c>
      <c r="G331" s="254" t="s">
        <v>180</v>
      </c>
      <c r="H331" s="254" t="s">
        <v>116</v>
      </c>
      <c r="I331" s="367"/>
      <c r="J331" s="368">
        <v>39016050</v>
      </c>
      <c r="K331" s="369">
        <f>+Tableau6[[#This Row],[MONTANT HT BIEN]]+Tableau6[[#This Row],[MONTANT HT SERVICE]]</f>
        <v>39016050</v>
      </c>
      <c r="L331" s="153">
        <v>0</v>
      </c>
      <c r="M331" s="370">
        <f>+IFERROR(IF(Tableau6[[#This Row],[CODE TVA]]="TVAF",Tableau6[[#This Row],[MONTANT HT]]*0.18,0),0)</f>
        <v>7022889</v>
      </c>
      <c r="N331" s="370">
        <f>Tableau6[[#This Row],[MONTANT HT]]+Tableau6[[#This Row],[TVA]]-Tableau6[[#This Row],[ACOMPTE SUR HT]]</f>
        <v>46038939</v>
      </c>
      <c r="O331" s="370"/>
      <c r="P331" s="370">
        <f>+ROUND(Tableau6[[#This Row],[MONTANT TTC]]-Tableau6[[#This Row],[ACOMPTE SUR TTC]],0)</f>
        <v>46038939</v>
      </c>
      <c r="Q331" s="2" t="s">
        <v>717</v>
      </c>
      <c r="R331" s="372">
        <f>IFERROR(INDEX(Tableau2[[ID BC UNIQUE]:[MONTANT HT VALIDE]],MATCH(Tableau6[[#This Row],[N° BC]],Tableau2[ID BC UNIQUE],0),6),0)</f>
        <v>39016050</v>
      </c>
      <c r="S331" s="373">
        <f>IFERROR(INDEX(Tableau2[[DATE]:[DELAIS DE PAIEMENT FACTURES EN JOUR]],MATCH(Tableau6[[#This Row],[N° BC]],Tableau2[ID BC UNIQUE],0),5),0)</f>
        <v>30</v>
      </c>
      <c r="T331" s="365">
        <f>IF(ISBLANK(Tableau6[[#This Row],[DATE DE DEPOT]]),"",Tableau6[[#This Row],[DATE DE DEPOT]]+Tableau6[[#This Row],[DELAI]])</f>
        <v>46101</v>
      </c>
      <c r="U331" s="373">
        <f ca="1">+IF(AND(W331=0,Tableau6[[#This Row],[DATE LIMITE]]&lt;TODAY()),TODAY()-Tableau6[[#This Row],[DATE LIMITE]],0)</f>
        <v>0</v>
      </c>
      <c r="V331" s="37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31" s="374">
        <f>SUMIF(Tableau3[FACTURE],Tableau6[[#This Row],[NUM DE FACTURE]],Tableau3[MONTANT TTC])</f>
        <v>46038939</v>
      </c>
      <c r="X331" s="365"/>
      <c r="Y331" s="375">
        <f>+Tableau6[[#This Row],[NET A PAYER]]-Tableau6[[#This Row],[MONTANT PAYE]]</f>
        <v>0</v>
      </c>
      <c r="Z331" s="363"/>
    </row>
    <row r="332" spans="1:26" x14ac:dyDescent="0.2">
      <c r="A332" s="363" t="s">
        <v>100</v>
      </c>
      <c r="B332" s="364">
        <v>46071</v>
      </c>
      <c r="C332" s="364">
        <v>46071</v>
      </c>
      <c r="D332" s="366">
        <v>26000000029</v>
      </c>
      <c r="E332" s="254" t="s">
        <v>138</v>
      </c>
      <c r="F332" s="254" t="s">
        <v>705</v>
      </c>
      <c r="G332" s="254" t="s">
        <v>179</v>
      </c>
      <c r="H332" s="254" t="s">
        <v>305</v>
      </c>
      <c r="I332" s="367"/>
      <c r="J332" s="368">
        <v>200000</v>
      </c>
      <c r="K332" s="369">
        <f>+Tableau6[[#This Row],[MONTANT HT BIEN]]+Tableau6[[#This Row],[MONTANT HT SERVICE]]</f>
        <v>200000</v>
      </c>
      <c r="L332" s="153">
        <v>0</v>
      </c>
      <c r="M332" s="370">
        <f>+IFERROR(IF(Tableau6[[#This Row],[CODE TVA]]="TVAF",Tableau6[[#This Row],[MONTANT HT]]*0.18,0),0)</f>
        <v>0</v>
      </c>
      <c r="N332" s="370">
        <f>Tableau6[[#This Row],[MONTANT HT]]+Tableau6[[#This Row],[TVA]]-Tableau6[[#This Row],[ACOMPTE SUR HT]]</f>
        <v>200000</v>
      </c>
      <c r="O332" s="370"/>
      <c r="P332" s="370">
        <f>+ROUND(Tableau6[[#This Row],[MONTANT TTC]]-Tableau6[[#This Row],[ACOMPTE SUR TTC]],0)</f>
        <v>200000</v>
      </c>
      <c r="Q332" s="2" t="s">
        <v>718</v>
      </c>
      <c r="R332" s="372">
        <f>IFERROR(INDEX(Tableau2[[ID BC UNIQUE]:[MONTANT HT VALIDE]],MATCH(Tableau6[[#This Row],[N° BC]],Tableau2[ID BC UNIQUE],0),6),0)</f>
        <v>200000</v>
      </c>
      <c r="S332" s="373">
        <f>IFERROR(INDEX(Tableau2[[DATE]:[DELAIS DE PAIEMENT FACTURES EN JOUR]],MATCH(Tableau6[[#This Row],[N° BC]],Tableau2[ID BC UNIQUE],0),5),0)</f>
        <v>30</v>
      </c>
      <c r="T332" s="365">
        <f>IF(ISBLANK(Tableau6[[#This Row],[DATE DE DEPOT]]),"",Tableau6[[#This Row],[DATE DE DEPOT]]+Tableau6[[#This Row],[DELAI]])</f>
        <v>46101</v>
      </c>
      <c r="U332" s="373">
        <f ca="1">+IF(AND(W332=0,Tableau6[[#This Row],[DATE LIMITE]]&lt;TODAY()),TODAY()-Tableau6[[#This Row],[DATE LIMITE]],0)</f>
        <v>0</v>
      </c>
      <c r="V332" s="37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32" s="374">
        <f>SUMIF(Tableau3[FACTURE],Tableau6[[#This Row],[NUM DE FACTURE]],Tableau3[MONTANT TTC])</f>
        <v>200000</v>
      </c>
      <c r="X332" s="365"/>
      <c r="Y332" s="375">
        <f>+Tableau6[[#This Row],[NET A PAYER]]-Tableau6[[#This Row],[MONTANT PAYE]]</f>
        <v>0</v>
      </c>
      <c r="Z332" s="363"/>
    </row>
    <row r="333" spans="1:26" x14ac:dyDescent="0.2">
      <c r="A333" s="363" t="s">
        <v>100</v>
      </c>
      <c r="B333" s="364">
        <v>46071</v>
      </c>
      <c r="C333" s="364">
        <v>46071</v>
      </c>
      <c r="D333" s="366">
        <v>26000000030</v>
      </c>
      <c r="E333" s="254" t="s">
        <v>138</v>
      </c>
      <c r="F333" s="254" t="s">
        <v>719</v>
      </c>
      <c r="G333" s="254" t="s">
        <v>179</v>
      </c>
      <c r="H333" s="254" t="s">
        <v>305</v>
      </c>
      <c r="I333" s="425"/>
      <c r="J333" s="426">
        <v>12700000</v>
      </c>
      <c r="K333" s="427">
        <f>+Tableau6[[#This Row],[MONTANT HT BIEN]]+Tableau6[[#This Row],[MONTANT HT SERVICE]]</f>
        <v>12700000</v>
      </c>
      <c r="L333" s="153">
        <v>0</v>
      </c>
      <c r="M333" s="428">
        <f>+IFERROR(IF(Tableau6[[#This Row],[CODE TVA]]="TVAF",Tableau6[[#This Row],[MONTANT HT]]*0.18,0),0)</f>
        <v>0</v>
      </c>
      <c r="N333" s="428">
        <f>Tableau6[[#This Row],[MONTANT HT]]+Tableau6[[#This Row],[TVA]]-Tableau6[[#This Row],[ACOMPTE SUR HT]]</f>
        <v>12700000</v>
      </c>
      <c r="O333" s="428"/>
      <c r="P333" s="428">
        <f>+ROUND(Tableau6[[#This Row],[MONTANT TTC]]-Tableau6[[#This Row],[ACOMPTE SUR TTC]],0)</f>
        <v>12700000</v>
      </c>
      <c r="Q333" s="2" t="s">
        <v>720</v>
      </c>
      <c r="R333" s="430">
        <f>IFERROR(INDEX(Tableau2[[ID BC UNIQUE]:[MONTANT HT VALIDE]],MATCH(Tableau6[[#This Row],[N° BC]],Tableau2[ID BC UNIQUE],0),6),0)</f>
        <v>12700000</v>
      </c>
      <c r="S333" s="431">
        <f>IFERROR(INDEX(Tableau2[[DATE]:[DELAIS DE PAIEMENT FACTURES EN JOUR]],MATCH(Tableau6[[#This Row],[N° BC]],Tableau2[ID BC UNIQUE],0),5),0)</f>
        <v>30</v>
      </c>
      <c r="T333" s="424">
        <f>IF(ISBLANK(Tableau6[[#This Row],[DATE DE DEPOT]]),"",Tableau6[[#This Row],[DATE DE DEPOT]]+Tableau6[[#This Row],[DELAI]])</f>
        <v>46101</v>
      </c>
      <c r="U333" s="431">
        <f ca="1">+IF(AND(W333=0,Tableau6[[#This Row],[DATE LIMITE]]&lt;TODAY()),TODAY()-Tableau6[[#This Row],[DATE LIMITE]],0)</f>
        <v>0</v>
      </c>
      <c r="V333" s="429"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PAYE</v>
      </c>
      <c r="W333" s="432">
        <f>SUMIF(Tableau3[FACTURE],Tableau6[[#This Row],[NUM DE FACTURE]],Tableau3[MONTANT TTC])</f>
        <v>12700000</v>
      </c>
      <c r="X333" s="424"/>
      <c r="Y333" s="400">
        <f>+Tableau6[[#This Row],[NET A PAYER]]-Tableau6[[#This Row],[MONTANT PAYE]]</f>
        <v>0</v>
      </c>
      <c r="Z333" s="399"/>
    </row>
    <row r="334" spans="1:26" x14ac:dyDescent="0.2">
      <c r="A334" s="363" t="s">
        <v>100</v>
      </c>
      <c r="B334" s="364">
        <v>46072</v>
      </c>
      <c r="C334" s="364">
        <v>46072</v>
      </c>
      <c r="D334" s="366">
        <v>26000000031</v>
      </c>
      <c r="E334" s="254" t="s">
        <v>345</v>
      </c>
      <c r="F334" s="254" t="s">
        <v>371</v>
      </c>
      <c r="G334" s="254" t="s">
        <v>370</v>
      </c>
      <c r="H334" s="254" t="s">
        <v>116</v>
      </c>
      <c r="I334" s="425"/>
      <c r="J334" s="426">
        <v>9920000</v>
      </c>
      <c r="K334" s="427">
        <f>+Tableau6[[#This Row],[MONTANT HT BIEN]]+Tableau6[[#This Row],[MONTANT HT SERVICE]]</f>
        <v>9920000</v>
      </c>
      <c r="L334" s="153">
        <v>0</v>
      </c>
      <c r="M334" s="428">
        <f>+IFERROR(IF(Tableau6[[#This Row],[CODE TVA]]="TVAF",Tableau6[[#This Row],[MONTANT HT]]*0.18,0),0)</f>
        <v>1785600</v>
      </c>
      <c r="N334" s="428">
        <f>Tableau6[[#This Row],[MONTANT HT]]+Tableau6[[#This Row],[TVA]]-Tableau6[[#This Row],[ACOMPTE SUR HT]]</f>
        <v>11705600</v>
      </c>
      <c r="O334" s="428"/>
      <c r="P334" s="428">
        <f>+ROUND(Tableau6[[#This Row],[MONTANT TTC]]-Tableau6[[#This Row],[ACOMPTE SUR TTC]],0)</f>
        <v>11705600</v>
      </c>
      <c r="Q334" s="2" t="s">
        <v>810</v>
      </c>
      <c r="R334" s="430">
        <f>IFERROR(INDEX(Tableau2[[ID BC UNIQUE]:[MONTANT HT VALIDE]],MATCH(Tableau6[[#This Row],[N° BC]],Tableau2[ID BC UNIQUE],0),6),0)</f>
        <v>9920000</v>
      </c>
      <c r="S334" s="431">
        <f>IFERROR(INDEX(Tableau2[[DATE]:[DELAIS DE PAIEMENT FACTURES EN JOUR]],MATCH(Tableau6[[#This Row],[N° BC]],Tableau2[ID BC UNIQUE],0),5),0)</f>
        <v>30</v>
      </c>
      <c r="T334" s="424">
        <f>IF(ISBLANK(Tableau6[[#This Row],[DATE DE DEPOT]]),"",Tableau6[[#This Row],[DATE DE DEPOT]]+Tableau6[[#This Row],[DELAI]])</f>
        <v>46102</v>
      </c>
      <c r="U334" s="431">
        <f ca="1">+IF(AND(W334=0,Tableau6[[#This Row],[DATE LIMITE]]&lt;TODAY()),TODAY()-Tableau6[[#This Row],[DATE LIMITE]],0)</f>
        <v>14</v>
      </c>
      <c r="V334" s="429"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ECHUE NON REGLEE</v>
      </c>
      <c r="W334" s="432">
        <f>SUMIF(Tableau3[FACTURE],Tableau6[[#This Row],[NUM DE FACTURE]],Tableau3[MONTANT TTC])</f>
        <v>0</v>
      </c>
      <c r="X334" s="424"/>
      <c r="Y334" s="400">
        <f>+Tableau6[[#This Row],[NET A PAYER]]-Tableau6[[#This Row],[MONTANT PAYE]]</f>
        <v>11705600</v>
      </c>
      <c r="Z334" s="399"/>
    </row>
    <row r="335" spans="1:26" x14ac:dyDescent="0.2">
      <c r="A335" s="363" t="s">
        <v>100</v>
      </c>
      <c r="B335" s="3">
        <v>46072</v>
      </c>
      <c r="C335" s="7">
        <v>46073</v>
      </c>
      <c r="D335" s="390">
        <v>26000000032</v>
      </c>
      <c r="E335" s="254" t="s">
        <v>138</v>
      </c>
      <c r="F335" s="254" t="s">
        <v>705</v>
      </c>
      <c r="G335" s="254" t="s">
        <v>721</v>
      </c>
      <c r="H335" s="254" t="s">
        <v>116</v>
      </c>
      <c r="I335" s="260"/>
      <c r="J335" s="233">
        <v>7350000</v>
      </c>
      <c r="K335" s="155">
        <f>+Tableau6[[#This Row],[MONTANT HT BIEN]]+Tableau6[[#This Row],[MONTANT HT SERVICE]]</f>
        <v>7350000</v>
      </c>
      <c r="L335" s="153"/>
      <c r="M335" s="153">
        <f>+IFERROR(IF(Tableau6[[#This Row],[CODE TVA]]="TVAF",Tableau6[[#This Row],[MONTANT HT]]*0.18,0),0)</f>
        <v>1323000</v>
      </c>
      <c r="N335" s="153">
        <f>Tableau6[[#This Row],[MONTANT HT]]+Tableau6[[#This Row],[TVA]]-Tableau6[[#This Row],[ACOMPTE SUR HT]]</f>
        <v>8673000</v>
      </c>
      <c r="O335" s="153"/>
      <c r="P335" s="153">
        <f>+ROUND(Tableau6[[#This Row],[MONTANT TTC]]-Tableau6[[#This Row],[ACOMPTE SUR TTC]],0)</f>
        <v>8673000</v>
      </c>
      <c r="Q335" s="2" t="s">
        <v>722</v>
      </c>
      <c r="R335" s="5">
        <f>IFERROR(INDEX(Tableau2[[ID BC UNIQUE]:[MONTANT HT VALIDE]],MATCH(Tableau6[[#This Row],[N° BC]],Tableau2[ID BC UNIQUE],0),6),0)</f>
        <v>7350000</v>
      </c>
      <c r="S335" s="25">
        <f>IFERROR(INDEX(Tableau2[[DATE]:[DELAIS DE PAIEMENT FACTURES EN JOUR]],MATCH(Tableau6[[#This Row],[N° BC]],Tableau2[ID BC UNIQUE],0),5),0)</f>
        <v>30</v>
      </c>
      <c r="T335" s="7">
        <f>IF(ISBLANK(Tableau6[[#This Row],[DATE DE DEPOT]]),"",Tableau6[[#This Row],[DATE DE DEPOT]]+Tableau6[[#This Row],[DELAI]])</f>
        <v>46103</v>
      </c>
      <c r="U335" s="25">
        <f ca="1">+IF(AND(W335=0,Tableau6[[#This Row],[DATE LIMITE]]&lt;TODAY()),TODAY()-Tableau6[[#This Row],[DATE LIMITE]],0)</f>
        <v>13</v>
      </c>
      <c r="V335" s="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ECHUE NON REGLEE</v>
      </c>
      <c r="W335" s="23">
        <f>SUMIF(Tableau3[FACTURE],Tableau6[[#This Row],[NUM DE FACTURE]],Tableau3[MONTANT TTC])</f>
        <v>0</v>
      </c>
      <c r="X335" s="7"/>
      <c r="Y335" s="90">
        <f>+Tableau6[[#This Row],[NET A PAYER]]-Tableau6[[#This Row],[MONTANT PAYE]]</f>
        <v>8673000</v>
      </c>
      <c r="Z335"/>
    </row>
    <row r="336" spans="1:26" x14ac:dyDescent="0.2">
      <c r="A336" s="363" t="s">
        <v>100</v>
      </c>
      <c r="B336" s="3">
        <v>46079</v>
      </c>
      <c r="C336" s="3">
        <v>46079</v>
      </c>
      <c r="D336" s="251">
        <v>26000000033</v>
      </c>
      <c r="E336" s="254" t="s">
        <v>138</v>
      </c>
      <c r="F336" s="254" t="s">
        <v>723</v>
      </c>
      <c r="G336" s="254" t="s">
        <v>721</v>
      </c>
      <c r="H336" s="254" t="s">
        <v>116</v>
      </c>
      <c r="I336" s="230"/>
      <c r="J336" s="248">
        <v>2450000</v>
      </c>
      <c r="K336" s="156">
        <f>+Tableau6[[#This Row],[MONTANT HT BIEN]]+Tableau6[[#This Row],[MONTANT HT SERVICE]]</f>
        <v>2450000</v>
      </c>
      <c r="L336" s="10">
        <v>0</v>
      </c>
      <c r="M336" s="10">
        <f>+IFERROR(IF(Tableau6[[#This Row],[CODE TVA]]="TVAF",Tableau6[[#This Row],[MONTANT HT]]*0.18,0),0)</f>
        <v>441000</v>
      </c>
      <c r="N336" s="10">
        <f>Tableau6[[#This Row],[MONTANT HT]]+Tableau6[[#This Row],[TVA]]-Tableau6[[#This Row],[ACOMPTE SUR HT]]</f>
        <v>2891000</v>
      </c>
      <c r="O336" s="10"/>
      <c r="P336" s="10">
        <f>+ROUND(Tableau6[[#This Row],[MONTANT TTC]]-Tableau6[[#This Row],[ACOMPTE SUR TTC]],0)</f>
        <v>2891000</v>
      </c>
      <c r="Q336" t="s">
        <v>724</v>
      </c>
      <c r="R336" s="4">
        <f>IFERROR(INDEX(Tableau2[[ID BC UNIQUE]:[MONTANT HT VALIDE]],MATCH(Tableau6[[#This Row],[N° BC]],Tableau2[ID BC UNIQUE],0),6),0)</f>
        <v>2450000</v>
      </c>
      <c r="S336" s="225">
        <f>IFERROR(INDEX(Tableau2[[DATE]:[DELAIS DE PAIEMENT FACTURES EN JOUR]],MATCH(Tableau6[[#This Row],[N° BC]],Tableau2[ID BC UNIQUE],0),5),0)</f>
        <v>30</v>
      </c>
      <c r="T336" s="3">
        <f>IF(ISBLANK(Tableau6[[#This Row],[DATE DE DEPOT]]),"",Tableau6[[#This Row],[DATE DE DEPOT]]+Tableau6[[#This Row],[DELAI]])</f>
        <v>46109</v>
      </c>
      <c r="U336" s="225">
        <f ca="1">+IF(AND(W336=0,Tableau6[[#This Row],[DATE LIMITE]]&lt;TODAY()),TODAY()-Tableau6[[#This Row],[DATE LIMITE]],0)</f>
        <v>7</v>
      </c>
      <c r="V336"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ECHUE NON REGLEE</v>
      </c>
      <c r="W336" s="231">
        <f>SUMIF(Tableau3[FACTURE],Tableau6[[#This Row],[NUM DE FACTURE]],Tableau3[MONTANT TTC])</f>
        <v>0</v>
      </c>
      <c r="X336" s="3"/>
      <c r="Y336" s="90">
        <f>+Tableau6[[#This Row],[NET A PAYER]]-Tableau6[[#This Row],[MONTANT PAYE]]</f>
        <v>2891000</v>
      </c>
      <c r="Z336"/>
    </row>
    <row r="337" spans="1:26" x14ac:dyDescent="0.2">
      <c r="A337" s="363" t="s">
        <v>100</v>
      </c>
      <c r="B337" s="3">
        <v>46079</v>
      </c>
      <c r="C337" s="3">
        <v>46079</v>
      </c>
      <c r="D337" s="251">
        <v>26000000034</v>
      </c>
      <c r="E337" s="254" t="s">
        <v>138</v>
      </c>
      <c r="F337" s="254" t="s">
        <v>723</v>
      </c>
      <c r="G337" s="254" t="s">
        <v>772</v>
      </c>
      <c r="H337" s="254" t="s">
        <v>116</v>
      </c>
      <c r="I337" s="230"/>
      <c r="J337" s="248">
        <v>2100000</v>
      </c>
      <c r="K337" s="156">
        <f>+Tableau6[[#This Row],[MONTANT HT BIEN]]+Tableau6[[#This Row],[MONTANT HT SERVICE]]</f>
        <v>2100000</v>
      </c>
      <c r="L337" s="10">
        <v>0</v>
      </c>
      <c r="M337" s="10">
        <f>+IFERROR(IF(Tableau6[[#This Row],[CODE TVA]]="TVAF",Tableau6[[#This Row],[MONTANT HT]]*0.18,0),0)</f>
        <v>378000</v>
      </c>
      <c r="N337" s="10">
        <f>Tableau6[[#This Row],[MONTANT HT]]+Tableau6[[#This Row],[TVA]]-Tableau6[[#This Row],[ACOMPTE SUR HT]]</f>
        <v>2478000</v>
      </c>
      <c r="O337" s="10"/>
      <c r="P337" s="10">
        <f>+ROUND(Tableau6[[#This Row],[MONTANT TTC]]-Tableau6[[#This Row],[ACOMPTE SUR TTC]],0)</f>
        <v>2478000</v>
      </c>
      <c r="Q337" t="s">
        <v>725</v>
      </c>
      <c r="R337" s="4">
        <f>IFERROR(INDEX(Tableau2[[ID BC UNIQUE]:[MONTANT HT VALIDE]],MATCH(Tableau6[[#This Row],[N° BC]],Tableau2[ID BC UNIQUE],0),6),0)</f>
        <v>2100000</v>
      </c>
      <c r="S337" s="225">
        <f>IFERROR(INDEX(Tableau2[[DATE]:[DELAIS DE PAIEMENT FACTURES EN JOUR]],MATCH(Tableau6[[#This Row],[N° BC]],Tableau2[ID BC UNIQUE],0),5),0)</f>
        <v>30</v>
      </c>
      <c r="T337" s="3">
        <f>IF(ISBLANK(Tableau6[[#This Row],[DATE DE DEPOT]]),"",Tableau6[[#This Row],[DATE DE DEPOT]]+Tableau6[[#This Row],[DELAI]])</f>
        <v>46109</v>
      </c>
      <c r="U337" s="225">
        <f ca="1">+IF(AND(W337=0,Tableau6[[#This Row],[DATE LIMITE]]&lt;TODAY()),TODAY()-Tableau6[[#This Row],[DATE LIMITE]],0)</f>
        <v>7</v>
      </c>
      <c r="V337"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ECHUE NON REGLEE</v>
      </c>
      <c r="W337" s="231">
        <f>SUMIF(Tableau3[FACTURE],Tableau6[[#This Row],[NUM DE FACTURE]],Tableau3[MONTANT TTC])</f>
        <v>0</v>
      </c>
      <c r="X337" s="3"/>
      <c r="Y337" s="90">
        <f>+Tableau6[[#This Row],[NET A PAYER]]-Tableau6[[#This Row],[MONTANT PAYE]]</f>
        <v>2478000</v>
      </c>
      <c r="Z337"/>
    </row>
    <row r="338" spans="1:26" x14ac:dyDescent="0.2">
      <c r="A338" s="363" t="s">
        <v>100</v>
      </c>
      <c r="B338" s="3">
        <v>46080</v>
      </c>
      <c r="C338" s="3">
        <v>46079</v>
      </c>
      <c r="D338" s="251">
        <v>26000000036</v>
      </c>
      <c r="E338" s="254" t="s">
        <v>138</v>
      </c>
      <c r="F338" s="254" t="s">
        <v>723</v>
      </c>
      <c r="G338" s="254" t="s">
        <v>183</v>
      </c>
      <c r="H338" s="254" t="s">
        <v>116</v>
      </c>
      <c r="I338" s="230"/>
      <c r="J338" s="248">
        <v>200000</v>
      </c>
      <c r="K338" s="156">
        <f>+Tableau6[[#This Row],[MONTANT HT BIEN]]+Tableau6[[#This Row],[MONTANT HT SERVICE]]</f>
        <v>200000</v>
      </c>
      <c r="L338" s="10">
        <v>0</v>
      </c>
      <c r="M338" s="10">
        <f>+IFERROR(IF(Tableau6[[#This Row],[CODE TVA]]="TVAF",Tableau6[[#This Row],[MONTANT HT]]*0.18,0),0)</f>
        <v>36000</v>
      </c>
      <c r="N338" s="10">
        <f>Tableau6[[#This Row],[MONTANT HT]]+Tableau6[[#This Row],[TVA]]-Tableau6[[#This Row],[ACOMPTE SUR HT]]</f>
        <v>236000</v>
      </c>
      <c r="O338" s="10"/>
      <c r="P338" s="10">
        <f>+ROUND(Tableau6[[#This Row],[MONTANT TTC]]-Tableau6[[#This Row],[ACOMPTE SUR TTC]],0)</f>
        <v>236000</v>
      </c>
      <c r="Q338" t="s">
        <v>726</v>
      </c>
      <c r="R338" s="4">
        <f>IFERROR(INDEX(Tableau2[[ID BC UNIQUE]:[MONTANT HT VALIDE]],MATCH(Tableau6[[#This Row],[N° BC]],Tableau2[ID BC UNIQUE],0),6),0)</f>
        <v>200000</v>
      </c>
      <c r="S338" s="225">
        <f>IFERROR(INDEX(Tableau2[[DATE]:[DELAIS DE PAIEMENT FACTURES EN JOUR]],MATCH(Tableau6[[#This Row],[N° BC]],Tableau2[ID BC UNIQUE],0),5),0)</f>
        <v>30</v>
      </c>
      <c r="T338" s="3">
        <f>IF(ISBLANK(Tableau6[[#This Row],[DATE DE DEPOT]]),"",Tableau6[[#This Row],[DATE DE DEPOT]]+Tableau6[[#This Row],[DELAI]])</f>
        <v>46109</v>
      </c>
      <c r="U338" s="225">
        <f ca="1">+IF(AND(W338=0,Tableau6[[#This Row],[DATE LIMITE]]&lt;TODAY()),TODAY()-Tableau6[[#This Row],[DATE LIMITE]],0)</f>
        <v>7</v>
      </c>
      <c r="V33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ECHUE NON REGLEE</v>
      </c>
      <c r="W338" s="231">
        <f>SUMIF(Tableau3[FACTURE],Tableau6[[#This Row],[NUM DE FACTURE]],Tableau3[MONTANT TTC])</f>
        <v>0</v>
      </c>
      <c r="X338" s="3"/>
      <c r="Y338" s="90">
        <f>+Tableau6[[#This Row],[NET A PAYER]]-Tableau6[[#This Row],[MONTANT PAYE]]</f>
        <v>236000</v>
      </c>
      <c r="Z338"/>
    </row>
    <row r="339" spans="1:26" x14ac:dyDescent="0.2">
      <c r="A339" s="363" t="s">
        <v>100</v>
      </c>
      <c r="B339" s="3">
        <v>46080</v>
      </c>
      <c r="C339" s="3">
        <v>46080</v>
      </c>
      <c r="D339" s="251">
        <v>26000000038</v>
      </c>
      <c r="E339" s="254" t="s">
        <v>138</v>
      </c>
      <c r="F339" s="254" t="s">
        <v>723</v>
      </c>
      <c r="G339" s="254" t="s">
        <v>181</v>
      </c>
      <c r="H339" s="254" t="s">
        <v>116</v>
      </c>
      <c r="I339" s="230"/>
      <c r="J339" s="248">
        <v>8985000</v>
      </c>
      <c r="K339" s="156">
        <f>+Tableau6[[#This Row],[MONTANT HT BIEN]]+Tableau6[[#This Row],[MONTANT HT SERVICE]]</f>
        <v>8985000</v>
      </c>
      <c r="L339" s="10">
        <v>0</v>
      </c>
      <c r="M339" s="10">
        <f>+IFERROR(IF(Tableau6[[#This Row],[CODE TVA]]="TVAF",Tableau6[[#This Row],[MONTANT HT]]*0.18,0),0)</f>
        <v>1617300</v>
      </c>
      <c r="N339" s="10">
        <f>Tableau6[[#This Row],[MONTANT HT]]+Tableau6[[#This Row],[TVA]]-Tableau6[[#This Row],[ACOMPTE SUR HT]]</f>
        <v>10602300</v>
      </c>
      <c r="O339" s="10"/>
      <c r="P339" s="10">
        <f>+ROUND(Tableau6[[#This Row],[MONTANT TTC]]-Tableau6[[#This Row],[ACOMPTE SUR TTC]],0)</f>
        <v>10602300</v>
      </c>
      <c r="Q339" t="s">
        <v>727</v>
      </c>
      <c r="R339" s="4">
        <f>IFERROR(INDEX(Tableau2[[ID BC UNIQUE]:[MONTANT HT VALIDE]],MATCH(Tableau6[[#This Row],[N° BC]],Tableau2[ID BC UNIQUE],0),6),0)</f>
        <v>8985000</v>
      </c>
      <c r="S339" s="225">
        <f>IFERROR(INDEX(Tableau2[[DATE]:[DELAIS DE PAIEMENT FACTURES EN JOUR]],MATCH(Tableau6[[#This Row],[N° BC]],Tableau2[ID BC UNIQUE],0),5),0)</f>
        <v>30</v>
      </c>
      <c r="T339" s="3">
        <f>IF(ISBLANK(Tableau6[[#This Row],[DATE DE DEPOT]]),"",Tableau6[[#This Row],[DATE DE DEPOT]]+Tableau6[[#This Row],[DELAI]])</f>
        <v>46110</v>
      </c>
      <c r="U339" s="225">
        <f ca="1">+IF(AND(W339=0,Tableau6[[#This Row],[DATE LIMITE]]&lt;TODAY()),TODAY()-Tableau6[[#This Row],[DATE LIMITE]],0)</f>
        <v>6</v>
      </c>
      <c r="V339"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ECHUE NON REGLEE</v>
      </c>
      <c r="W339" s="231">
        <f>SUMIF(Tableau3[FACTURE],Tableau6[[#This Row],[NUM DE FACTURE]],Tableau3[MONTANT TTC])</f>
        <v>0</v>
      </c>
      <c r="X339" s="3"/>
      <c r="Y339" s="90">
        <f>+Tableau6[[#This Row],[NET A PAYER]]-Tableau6[[#This Row],[MONTANT PAYE]]</f>
        <v>10602300</v>
      </c>
      <c r="Z339"/>
    </row>
    <row r="340" spans="1:26" x14ac:dyDescent="0.2">
      <c r="A340" s="363" t="s">
        <v>100</v>
      </c>
      <c r="B340" s="3">
        <v>46080</v>
      </c>
      <c r="C340" s="3">
        <v>46080</v>
      </c>
      <c r="D340" s="251">
        <v>26000000039</v>
      </c>
      <c r="E340" s="254" t="s">
        <v>138</v>
      </c>
      <c r="F340" s="254" t="s">
        <v>723</v>
      </c>
      <c r="G340" s="254" t="s">
        <v>728</v>
      </c>
      <c r="H340" s="254" t="s">
        <v>116</v>
      </c>
      <c r="I340" s="230"/>
      <c r="J340" s="248">
        <v>4375000</v>
      </c>
      <c r="K340" s="156">
        <f>+Tableau6[[#This Row],[MONTANT HT BIEN]]+Tableau6[[#This Row],[MONTANT HT SERVICE]]</f>
        <v>4375000</v>
      </c>
      <c r="L340" s="10">
        <v>0</v>
      </c>
      <c r="M340" s="10">
        <f>+IFERROR(IF(Tableau6[[#This Row],[CODE TVA]]="TVAF",Tableau6[[#This Row],[MONTANT HT]]*0.18,0),0)</f>
        <v>787500</v>
      </c>
      <c r="N340" s="10">
        <f>Tableau6[[#This Row],[MONTANT HT]]+Tableau6[[#This Row],[TVA]]-Tableau6[[#This Row],[ACOMPTE SUR HT]]</f>
        <v>5162500</v>
      </c>
      <c r="O340" s="10"/>
      <c r="P340" s="10">
        <f>+ROUND(Tableau6[[#This Row],[MONTANT TTC]]-Tableau6[[#This Row],[ACOMPTE SUR TTC]],0)</f>
        <v>5162500</v>
      </c>
      <c r="Q340" t="s">
        <v>729</v>
      </c>
      <c r="R340" s="4">
        <f>IFERROR(INDEX(Tableau2[[ID BC UNIQUE]:[MONTANT HT VALIDE]],MATCH(Tableau6[[#This Row],[N° BC]],Tableau2[ID BC UNIQUE],0),6),0)</f>
        <v>4375000</v>
      </c>
      <c r="S340" s="225">
        <f>IFERROR(INDEX(Tableau2[[DATE]:[DELAIS DE PAIEMENT FACTURES EN JOUR]],MATCH(Tableau6[[#This Row],[N° BC]],Tableau2[ID BC UNIQUE],0),5),0)</f>
        <v>30</v>
      </c>
      <c r="T340" s="3">
        <f>IF(ISBLANK(Tableau6[[#This Row],[DATE DE DEPOT]]),"",Tableau6[[#This Row],[DATE DE DEPOT]]+Tableau6[[#This Row],[DELAI]])</f>
        <v>46110</v>
      </c>
      <c r="U340" s="225">
        <f ca="1">+IF(AND(W340=0,Tableau6[[#This Row],[DATE LIMITE]]&lt;TODAY()),TODAY()-Tableau6[[#This Row],[DATE LIMITE]],0)</f>
        <v>6</v>
      </c>
      <c r="V34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ECHUE NON REGLEE</v>
      </c>
      <c r="W340" s="231">
        <f>SUMIF(Tableau3[FACTURE],Tableau6[[#This Row],[NUM DE FACTURE]],Tableau3[MONTANT TTC])</f>
        <v>0</v>
      </c>
      <c r="X340" s="3"/>
      <c r="Y340" s="90">
        <f>+Tableau6[[#This Row],[NET A PAYER]]-Tableau6[[#This Row],[MONTANT PAYE]]</f>
        <v>5162500</v>
      </c>
      <c r="Z340"/>
    </row>
    <row r="341" spans="1:26" x14ac:dyDescent="0.2">
      <c r="A341" s="363" t="s">
        <v>100</v>
      </c>
      <c r="B341" s="3">
        <v>46085</v>
      </c>
      <c r="C341" s="3">
        <v>46085</v>
      </c>
      <c r="D341" s="251">
        <v>26000000040</v>
      </c>
      <c r="E341" s="254" t="s">
        <v>138</v>
      </c>
      <c r="F341" s="254" t="s">
        <v>723</v>
      </c>
      <c r="G341" s="254" t="s">
        <v>178</v>
      </c>
      <c r="H341" s="254" t="s">
        <v>116</v>
      </c>
      <c r="I341" s="230"/>
      <c r="J341" s="248">
        <v>2210000</v>
      </c>
      <c r="K341" s="156">
        <f>+Tableau6[[#This Row],[MONTANT HT BIEN]]+Tableau6[[#This Row],[MONTANT HT SERVICE]]</f>
        <v>2210000</v>
      </c>
      <c r="L341" s="10">
        <v>0</v>
      </c>
      <c r="M341" s="10">
        <f>+IFERROR(IF(Tableau6[[#This Row],[CODE TVA]]="TVAF",Tableau6[[#This Row],[MONTANT HT]]*0.18,0),0)</f>
        <v>397800</v>
      </c>
      <c r="N341" s="10">
        <f>Tableau6[[#This Row],[MONTANT HT]]+Tableau6[[#This Row],[TVA]]-Tableau6[[#This Row],[ACOMPTE SUR HT]]</f>
        <v>2607800</v>
      </c>
      <c r="O341" s="10"/>
      <c r="P341" s="10">
        <f>+ROUND(Tableau6[[#This Row],[MONTANT TTC]]-Tableau6[[#This Row],[ACOMPTE SUR TTC]],0)</f>
        <v>2607800</v>
      </c>
      <c r="Q341" t="s">
        <v>730</v>
      </c>
      <c r="R341" s="4">
        <f>IFERROR(INDEX(Tableau2[[ID BC UNIQUE]:[MONTANT HT VALIDE]],MATCH(Tableau6[[#This Row],[N° BC]],Tableau2[ID BC UNIQUE],0),6),0)</f>
        <v>2210000</v>
      </c>
      <c r="S341" s="225">
        <f>IFERROR(INDEX(Tableau2[[DATE]:[DELAIS DE PAIEMENT FACTURES EN JOUR]],MATCH(Tableau6[[#This Row],[N° BC]],Tableau2[ID BC UNIQUE],0),5),0)</f>
        <v>30</v>
      </c>
      <c r="T341" s="3">
        <f>IF(ISBLANK(Tableau6[[#This Row],[DATE DE DEPOT]]),"",Tableau6[[#This Row],[DATE DE DEPOT]]+Tableau6[[#This Row],[DELAI]])</f>
        <v>46115</v>
      </c>
      <c r="U341" s="225">
        <f ca="1">+IF(AND(W341=0,Tableau6[[#This Row],[DATE LIMITE]]&lt;TODAY()),TODAY()-Tableau6[[#This Row],[DATE LIMITE]],0)</f>
        <v>1</v>
      </c>
      <c r="V34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ECHUE NON REGLEE</v>
      </c>
      <c r="W341" s="231">
        <f>SUMIF(Tableau3[FACTURE],Tableau6[[#This Row],[NUM DE FACTURE]],Tableau3[MONTANT TTC])</f>
        <v>0</v>
      </c>
      <c r="X341" s="3"/>
      <c r="Y341" s="90">
        <f>+Tableau6[[#This Row],[NET A PAYER]]-Tableau6[[#This Row],[MONTANT PAYE]]</f>
        <v>2607800</v>
      </c>
      <c r="Z341"/>
    </row>
    <row r="342" spans="1:26" x14ac:dyDescent="0.2">
      <c r="A342" s="363" t="s">
        <v>100</v>
      </c>
      <c r="B342" s="3">
        <v>46085</v>
      </c>
      <c r="C342" s="3">
        <v>46085</v>
      </c>
      <c r="D342" s="251">
        <v>26000000041</v>
      </c>
      <c r="E342" s="254" t="s">
        <v>138</v>
      </c>
      <c r="F342" s="254" t="s">
        <v>723</v>
      </c>
      <c r="G342" s="254" t="s">
        <v>186</v>
      </c>
      <c r="H342" s="254" t="s">
        <v>116</v>
      </c>
      <c r="I342" s="230"/>
      <c r="J342" s="248">
        <v>5495000</v>
      </c>
      <c r="K342" s="156">
        <f>+Tableau6[[#This Row],[MONTANT HT BIEN]]+Tableau6[[#This Row],[MONTANT HT SERVICE]]</f>
        <v>5495000</v>
      </c>
      <c r="L342" s="10">
        <v>0</v>
      </c>
      <c r="M342" s="10">
        <f>+IFERROR(IF(Tableau6[[#This Row],[CODE TVA]]="TVAF",Tableau6[[#This Row],[MONTANT HT]]*0.18,0),0)</f>
        <v>989100</v>
      </c>
      <c r="N342" s="10">
        <f>Tableau6[[#This Row],[MONTANT HT]]+Tableau6[[#This Row],[TVA]]-Tableau6[[#This Row],[ACOMPTE SUR HT]]</f>
        <v>6484100</v>
      </c>
      <c r="O342" s="10"/>
      <c r="P342" s="10">
        <f>+ROUND(Tableau6[[#This Row],[MONTANT TTC]]-Tableau6[[#This Row],[ACOMPTE SUR TTC]],0)</f>
        <v>6484100</v>
      </c>
      <c r="Q342" t="s">
        <v>731</v>
      </c>
      <c r="R342" s="4">
        <f>IFERROR(INDEX(Tableau2[[ID BC UNIQUE]:[MONTANT HT VALIDE]],MATCH(Tableau6[[#This Row],[N° BC]],Tableau2[ID BC UNIQUE],0),6),0)</f>
        <v>5495000</v>
      </c>
      <c r="S342" s="225">
        <f>IFERROR(INDEX(Tableau2[[DATE]:[DELAIS DE PAIEMENT FACTURES EN JOUR]],MATCH(Tableau6[[#This Row],[N° BC]],Tableau2[ID BC UNIQUE],0),5),0)</f>
        <v>30</v>
      </c>
      <c r="T342" s="3">
        <f>IF(ISBLANK(Tableau6[[#This Row],[DATE DE DEPOT]]),"",Tableau6[[#This Row],[DATE DE DEPOT]]+Tableau6[[#This Row],[DELAI]])</f>
        <v>46115</v>
      </c>
      <c r="U342" s="225">
        <f ca="1">+IF(AND(W342=0,Tableau6[[#This Row],[DATE LIMITE]]&lt;TODAY()),TODAY()-Tableau6[[#This Row],[DATE LIMITE]],0)</f>
        <v>1</v>
      </c>
      <c r="V34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ECHUE NON REGLEE</v>
      </c>
      <c r="W342" s="231">
        <f>SUMIF(Tableau3[FACTURE],Tableau6[[#This Row],[NUM DE FACTURE]],Tableau3[MONTANT TTC])</f>
        <v>0</v>
      </c>
      <c r="X342" s="3"/>
      <c r="Y342" s="90">
        <f>+Tableau6[[#This Row],[NET A PAYER]]-Tableau6[[#This Row],[MONTANT PAYE]]</f>
        <v>6484100</v>
      </c>
      <c r="Z342"/>
    </row>
    <row r="343" spans="1:26" x14ac:dyDescent="0.2">
      <c r="A343" s="363" t="s">
        <v>100</v>
      </c>
      <c r="B343" s="3">
        <v>46098</v>
      </c>
      <c r="C343" s="3">
        <v>46099</v>
      </c>
      <c r="D343" s="251">
        <v>26000000043</v>
      </c>
      <c r="E343" s="254" t="s">
        <v>138</v>
      </c>
      <c r="F343" s="254" t="s">
        <v>372</v>
      </c>
      <c r="G343" s="254" t="s">
        <v>180</v>
      </c>
      <c r="H343" s="254" t="s">
        <v>116</v>
      </c>
      <c r="I343" s="230"/>
      <c r="J343" s="248">
        <v>23900740</v>
      </c>
      <c r="K343" s="156">
        <f>+Tableau6[[#This Row],[MONTANT HT BIEN]]+Tableau6[[#This Row],[MONTANT HT SERVICE]]</f>
        <v>23900740</v>
      </c>
      <c r="L343" s="10">
        <v>0</v>
      </c>
      <c r="M343" s="10">
        <f>+IFERROR(IF(Tableau6[[#This Row],[CODE TVA]]="TVAF",Tableau6[[#This Row],[MONTANT HT]]*0.18,0),0)</f>
        <v>4302133.2</v>
      </c>
      <c r="N343" s="10">
        <f>Tableau6[[#This Row],[MONTANT HT]]+Tableau6[[#This Row],[TVA]]-Tableau6[[#This Row],[ACOMPTE SUR HT]]</f>
        <v>28202873.199999999</v>
      </c>
      <c r="O343" s="10"/>
      <c r="P343" s="10">
        <f>+ROUND(Tableau6[[#This Row],[MONTANT TTC]]-Tableau6[[#This Row],[ACOMPTE SUR TTC]],0)</f>
        <v>28202873</v>
      </c>
      <c r="Q343" t="s">
        <v>804</v>
      </c>
      <c r="R343" s="4">
        <f>IFERROR(INDEX(Tableau2[[ID BC UNIQUE]:[MONTANT HT VALIDE]],MATCH(Tableau6[[#This Row],[N° BC]],Tableau2[ID BC UNIQUE],0),6),0)</f>
        <v>23900740</v>
      </c>
      <c r="S343" s="225">
        <f>IFERROR(INDEX(Tableau2[[DATE]:[DELAIS DE PAIEMENT FACTURES EN JOUR]],MATCH(Tableau6[[#This Row],[N° BC]],Tableau2[ID BC UNIQUE],0),5),0)</f>
        <v>30</v>
      </c>
      <c r="T343" s="3">
        <f>IF(ISBLANK(Tableau6[[#This Row],[DATE DE DEPOT]]),"",Tableau6[[#This Row],[DATE DE DEPOT]]+Tableau6[[#This Row],[DELAI]])</f>
        <v>46129</v>
      </c>
      <c r="U343" s="225">
        <f ca="1">+IF(AND(W343=0,Tableau6[[#This Row],[DATE LIMITE]]&lt;TODAY()),TODAY()-Tableau6[[#This Row],[DATE LIMITE]],0)</f>
        <v>0</v>
      </c>
      <c r="V34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43" s="231">
        <f>SUMIF(Tableau3[FACTURE],Tableau6[[#This Row],[NUM DE FACTURE]],Tableau3[MONTANT TTC])</f>
        <v>0</v>
      </c>
      <c r="X343" s="3"/>
      <c r="Y343" s="90">
        <f>+Tableau6[[#This Row],[NET A PAYER]]-Tableau6[[#This Row],[MONTANT PAYE]]</f>
        <v>28202873</v>
      </c>
      <c r="Z343"/>
    </row>
    <row r="344" spans="1:26" x14ac:dyDescent="0.2">
      <c r="A344" s="363" t="s">
        <v>100</v>
      </c>
      <c r="B344" s="3">
        <v>46098</v>
      </c>
      <c r="C344" s="3">
        <v>46099</v>
      </c>
      <c r="D344" s="251">
        <v>26000000045</v>
      </c>
      <c r="E344" s="254" t="s">
        <v>138</v>
      </c>
      <c r="F344" s="254" t="s">
        <v>806</v>
      </c>
      <c r="G344" s="254" t="s">
        <v>179</v>
      </c>
      <c r="H344" s="254" t="s">
        <v>116</v>
      </c>
      <c r="I344" s="230"/>
      <c r="J344" s="248">
        <v>13777778</v>
      </c>
      <c r="K344" s="156">
        <f>+Tableau6[[#This Row],[MONTANT HT BIEN]]+Tableau6[[#This Row],[MONTANT HT SERVICE]]</f>
        <v>13777778</v>
      </c>
      <c r="L344" s="10">
        <v>0</v>
      </c>
      <c r="M344" s="10">
        <f>+IFERROR(IF(Tableau6[[#This Row],[CODE TVA]]="TVAF",Tableau6[[#This Row],[MONTANT HT]]*0.18,0),0)</f>
        <v>2480000.04</v>
      </c>
      <c r="N344" s="10">
        <f>Tableau6[[#This Row],[MONTANT HT]]+Tableau6[[#This Row],[TVA]]-Tableau6[[#This Row],[ACOMPTE SUR HT]]</f>
        <v>16257778.039999999</v>
      </c>
      <c r="O344" s="10"/>
      <c r="P344" s="10">
        <f>+ROUND(Tableau6[[#This Row],[MONTANT TTC]]-Tableau6[[#This Row],[ACOMPTE SUR TTC]],0)</f>
        <v>16257778</v>
      </c>
      <c r="Q344" t="s">
        <v>805</v>
      </c>
      <c r="R344" s="4">
        <f>IFERROR(INDEX(Tableau2[[ID BC UNIQUE]:[MONTANT HT VALIDE]],MATCH(Tableau6[[#This Row],[N° BC]],Tableau2[ID BC UNIQUE],0),6),0)</f>
        <v>13777778</v>
      </c>
      <c r="S344" s="225">
        <f>IFERROR(INDEX(Tableau2[[DATE]:[DELAIS DE PAIEMENT FACTURES EN JOUR]],MATCH(Tableau6[[#This Row],[N° BC]],Tableau2[ID BC UNIQUE],0),5),0)</f>
        <v>30</v>
      </c>
      <c r="T344" s="3">
        <f>IF(ISBLANK(Tableau6[[#This Row],[DATE DE DEPOT]]),"",Tableau6[[#This Row],[DATE DE DEPOT]]+Tableau6[[#This Row],[DELAI]])</f>
        <v>46129</v>
      </c>
      <c r="U344" s="225">
        <f ca="1">+IF(AND(W344=0,Tableau6[[#This Row],[DATE LIMITE]]&lt;TODAY()),TODAY()-Tableau6[[#This Row],[DATE LIMITE]],0)</f>
        <v>0</v>
      </c>
      <c r="V344"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44" s="231">
        <f>SUMIF(Tableau3[FACTURE],Tableau6[[#This Row],[NUM DE FACTURE]],Tableau3[MONTANT TTC])</f>
        <v>0</v>
      </c>
      <c r="X344" s="3"/>
      <c r="Y344" s="90">
        <f>+Tableau6[[#This Row],[NET A PAYER]]-Tableau6[[#This Row],[MONTANT PAYE]]</f>
        <v>16257778</v>
      </c>
      <c r="Z344"/>
    </row>
    <row r="345" spans="1:26" x14ac:dyDescent="0.2">
      <c r="A345" s="363" t="s">
        <v>100</v>
      </c>
      <c r="B345" s="3">
        <v>46098</v>
      </c>
      <c r="C345" s="3">
        <v>46099</v>
      </c>
      <c r="D345" s="251">
        <v>26000000042</v>
      </c>
      <c r="E345" s="254" t="s">
        <v>138</v>
      </c>
      <c r="F345" s="254" t="s">
        <v>723</v>
      </c>
      <c r="G345" s="254" t="s">
        <v>180</v>
      </c>
      <c r="H345" s="254" t="s">
        <v>116</v>
      </c>
      <c r="I345" s="230"/>
      <c r="J345" s="248">
        <v>5269500</v>
      </c>
      <c r="K345" s="156">
        <f>+Tableau6[[#This Row],[MONTANT HT BIEN]]+Tableau6[[#This Row],[MONTANT HT SERVICE]]</f>
        <v>5269500</v>
      </c>
      <c r="L345" s="10">
        <v>0</v>
      </c>
      <c r="M345" s="10">
        <f>+IFERROR(IF(Tableau6[[#This Row],[CODE TVA]]="TVAF",Tableau6[[#This Row],[MONTANT HT]]*0.18,0),0)</f>
        <v>948510</v>
      </c>
      <c r="N345" s="10">
        <f>Tableau6[[#This Row],[MONTANT HT]]+Tableau6[[#This Row],[TVA]]-Tableau6[[#This Row],[ACOMPTE SUR HT]]</f>
        <v>6218010</v>
      </c>
      <c r="O345" s="10"/>
      <c r="P345" s="10">
        <f>+ROUND(Tableau6[[#This Row],[MONTANT TTC]]-Tableau6[[#This Row],[ACOMPTE SUR TTC]],0)</f>
        <v>6218010</v>
      </c>
      <c r="Q345" t="s">
        <v>807</v>
      </c>
      <c r="R345" s="4">
        <f>IFERROR(INDEX(Tableau2[[ID BC UNIQUE]:[MONTANT HT VALIDE]],MATCH(Tableau6[[#This Row],[N° BC]],Tableau2[ID BC UNIQUE],0),6),0)</f>
        <v>5269500</v>
      </c>
      <c r="S345" s="225">
        <f>IFERROR(INDEX(Tableau2[[DATE]:[DELAIS DE PAIEMENT FACTURES EN JOUR]],MATCH(Tableau6[[#This Row],[N° BC]],Tableau2[ID BC UNIQUE],0),5),0)</f>
        <v>30</v>
      </c>
      <c r="T345" s="3">
        <f>IF(ISBLANK(Tableau6[[#This Row],[DATE DE DEPOT]]),"",Tableau6[[#This Row],[DATE DE DEPOT]]+Tableau6[[#This Row],[DELAI]])</f>
        <v>46129</v>
      </c>
      <c r="U345" s="225">
        <f ca="1">+IF(AND(W345=0,Tableau6[[#This Row],[DATE LIMITE]]&lt;TODAY()),TODAY()-Tableau6[[#This Row],[DATE LIMITE]],0)</f>
        <v>0</v>
      </c>
      <c r="V34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45" s="231">
        <f>SUMIF(Tableau3[FACTURE],Tableau6[[#This Row],[NUM DE FACTURE]],Tableau3[MONTANT TTC])</f>
        <v>0</v>
      </c>
      <c r="X345" s="3"/>
      <c r="Y345" s="90">
        <f>+Tableau6[[#This Row],[NET A PAYER]]-Tableau6[[#This Row],[MONTANT PAYE]]</f>
        <v>6218010</v>
      </c>
      <c r="Z345"/>
    </row>
    <row r="346" spans="1:26" x14ac:dyDescent="0.2">
      <c r="A346" s="363" t="s">
        <v>100</v>
      </c>
      <c r="B346" s="3">
        <v>46098</v>
      </c>
      <c r="C346" s="3">
        <v>46099</v>
      </c>
      <c r="D346" s="251">
        <v>26000000044</v>
      </c>
      <c r="E346" s="254" t="s">
        <v>138</v>
      </c>
      <c r="F346" s="254" t="s">
        <v>723</v>
      </c>
      <c r="G346" s="254" t="s">
        <v>180</v>
      </c>
      <c r="H346" s="254" t="s">
        <v>116</v>
      </c>
      <c r="I346" s="230"/>
      <c r="J346" s="248">
        <v>18023460</v>
      </c>
      <c r="K346" s="156">
        <f>+Tableau6[[#This Row],[MONTANT HT BIEN]]+Tableau6[[#This Row],[MONTANT HT SERVICE]]</f>
        <v>18023460</v>
      </c>
      <c r="L346" s="10">
        <v>0</v>
      </c>
      <c r="M346" s="10">
        <f>+IFERROR(IF(Tableau6[[#This Row],[CODE TVA]]="TVAF",Tableau6[[#This Row],[MONTANT HT]]*0.18,0),0)</f>
        <v>3244222.8</v>
      </c>
      <c r="N346" s="10">
        <f>Tableau6[[#This Row],[MONTANT HT]]+Tableau6[[#This Row],[TVA]]-Tableau6[[#This Row],[ACOMPTE SUR HT]]</f>
        <v>21267682.800000001</v>
      </c>
      <c r="O346" s="10"/>
      <c r="P346" s="10">
        <f>+ROUND(Tableau6[[#This Row],[MONTANT TTC]]-Tableau6[[#This Row],[ACOMPTE SUR TTC]],0)</f>
        <v>21267683</v>
      </c>
      <c r="Q346" t="s">
        <v>808</v>
      </c>
      <c r="R346" s="4">
        <f>IFERROR(INDEX(Tableau2[[ID BC UNIQUE]:[MONTANT HT VALIDE]],MATCH(Tableau6[[#This Row],[N° BC]],Tableau2[ID BC UNIQUE],0),6),0)</f>
        <v>18023460</v>
      </c>
      <c r="S346" s="225">
        <f>IFERROR(INDEX(Tableau2[[DATE]:[DELAIS DE PAIEMENT FACTURES EN JOUR]],MATCH(Tableau6[[#This Row],[N° BC]],Tableau2[ID BC UNIQUE],0),5),0)</f>
        <v>30</v>
      </c>
      <c r="T346" s="3">
        <f>IF(ISBLANK(Tableau6[[#This Row],[DATE DE DEPOT]]),"",Tableau6[[#This Row],[DATE DE DEPOT]]+Tableau6[[#This Row],[DELAI]])</f>
        <v>46129</v>
      </c>
      <c r="U346" s="225">
        <f ca="1">+IF(AND(W346=0,Tableau6[[#This Row],[DATE LIMITE]]&lt;TODAY()),TODAY()-Tableau6[[#This Row],[DATE LIMITE]],0)</f>
        <v>0</v>
      </c>
      <c r="V346"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46" s="231">
        <f>SUMIF(Tableau3[FACTURE],Tableau6[[#This Row],[NUM DE FACTURE]],Tableau3[MONTANT TTC])</f>
        <v>0</v>
      </c>
      <c r="X346" s="3"/>
      <c r="Y346" s="90">
        <f>+Tableau6[[#This Row],[NET A PAYER]]-Tableau6[[#This Row],[MONTANT PAYE]]</f>
        <v>21267683</v>
      </c>
      <c r="Z346"/>
    </row>
    <row r="347" spans="1:26" x14ac:dyDescent="0.2">
      <c r="A347" s="363" t="s">
        <v>100</v>
      </c>
      <c r="B347" s="3">
        <v>46100</v>
      </c>
      <c r="C347" s="3">
        <v>46104</v>
      </c>
      <c r="D347" s="251">
        <v>26000000046</v>
      </c>
      <c r="E347" s="254" t="s">
        <v>138</v>
      </c>
      <c r="F347" s="254" t="s">
        <v>816</v>
      </c>
      <c r="G347" s="254" t="s">
        <v>167</v>
      </c>
      <c r="H347" s="254" t="s">
        <v>116</v>
      </c>
      <c r="I347" s="230"/>
      <c r="J347" s="248">
        <v>1350000</v>
      </c>
      <c r="K347" s="156">
        <f>+Tableau6[[#This Row],[MONTANT HT BIEN]]+Tableau6[[#This Row],[MONTANT HT SERVICE]]</f>
        <v>1350000</v>
      </c>
      <c r="L347" s="10">
        <v>0</v>
      </c>
      <c r="M347" s="10">
        <f>+IFERROR(IF(Tableau6[[#This Row],[CODE TVA]]="TVAF",Tableau6[[#This Row],[MONTANT HT]]*0.18,0),0)</f>
        <v>243000</v>
      </c>
      <c r="N347" s="10">
        <f>Tableau6[[#This Row],[MONTANT HT]]+Tableau6[[#This Row],[TVA]]-Tableau6[[#This Row],[ACOMPTE SUR HT]]</f>
        <v>1593000</v>
      </c>
      <c r="O347" s="10"/>
      <c r="P347" s="10">
        <f>+ROUND(Tableau6[[#This Row],[MONTANT TTC]]-Tableau6[[#This Row],[ACOMPTE SUR TTC]],0)</f>
        <v>1593000</v>
      </c>
      <c r="Q347" t="s">
        <v>817</v>
      </c>
      <c r="R347" s="4">
        <f>IFERROR(INDEX(Tableau2[[ID BC UNIQUE]:[MONTANT HT VALIDE]],MATCH(Tableau6[[#This Row],[N° BC]],Tableau2[ID BC UNIQUE],0),6),0)</f>
        <v>1350000</v>
      </c>
      <c r="S347" s="225">
        <f>IFERROR(INDEX(Tableau2[[DATE]:[DELAIS DE PAIEMENT FACTURES EN JOUR]],MATCH(Tableau6[[#This Row],[N° BC]],Tableau2[ID BC UNIQUE],0),5),0)</f>
        <v>30</v>
      </c>
      <c r="T347" s="3">
        <f>IF(ISBLANK(Tableau6[[#This Row],[DATE DE DEPOT]]),"",Tableau6[[#This Row],[DATE DE DEPOT]]+Tableau6[[#This Row],[DELAI]])</f>
        <v>46134</v>
      </c>
      <c r="U347" s="225">
        <f ca="1">+IF(AND(W347=0,Tableau6[[#This Row],[DATE LIMITE]]&lt;TODAY()),TODAY()-Tableau6[[#This Row],[DATE LIMITE]],0)</f>
        <v>0</v>
      </c>
      <c r="V347"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47" s="231">
        <f>SUMIF(Tableau3[FACTURE],Tableau6[[#This Row],[NUM DE FACTURE]],Tableau3[MONTANT TTC])</f>
        <v>0</v>
      </c>
      <c r="X347" s="3"/>
      <c r="Y347" s="90">
        <f>+Tableau6[[#This Row],[NET A PAYER]]-Tableau6[[#This Row],[MONTANT PAYE]]</f>
        <v>1593000</v>
      </c>
      <c r="Z347"/>
    </row>
    <row r="348" spans="1:26" x14ac:dyDescent="0.2">
      <c r="A348" s="363" t="s">
        <v>100</v>
      </c>
      <c r="B348" s="3">
        <v>46100</v>
      </c>
      <c r="C348" s="3">
        <v>46104</v>
      </c>
      <c r="D348" s="251">
        <v>26000000047</v>
      </c>
      <c r="E348" s="254" t="s">
        <v>138</v>
      </c>
      <c r="F348" s="254" t="s">
        <v>816</v>
      </c>
      <c r="G348" s="254" t="s">
        <v>156</v>
      </c>
      <c r="H348" s="254" t="s">
        <v>116</v>
      </c>
      <c r="I348" s="230"/>
      <c r="J348" s="248">
        <v>1080000</v>
      </c>
      <c r="K348" s="156">
        <f>+Tableau6[[#This Row],[MONTANT HT BIEN]]+Tableau6[[#This Row],[MONTANT HT SERVICE]]</f>
        <v>1080000</v>
      </c>
      <c r="L348" s="10">
        <v>0</v>
      </c>
      <c r="M348" s="10">
        <f>+IFERROR(IF(Tableau6[[#This Row],[CODE TVA]]="TVAF",Tableau6[[#This Row],[MONTANT HT]]*0.18,0),0)</f>
        <v>194400</v>
      </c>
      <c r="N348" s="10">
        <f>Tableau6[[#This Row],[MONTANT HT]]+Tableau6[[#This Row],[TVA]]-Tableau6[[#This Row],[ACOMPTE SUR HT]]</f>
        <v>1274400</v>
      </c>
      <c r="O348" s="10"/>
      <c r="P348" s="10">
        <f>+ROUND(Tableau6[[#This Row],[MONTANT TTC]]-Tableau6[[#This Row],[ACOMPTE SUR TTC]],0)</f>
        <v>1274400</v>
      </c>
      <c r="Q348" t="s">
        <v>827</v>
      </c>
      <c r="R348" s="4">
        <f>IFERROR(INDEX(Tableau2[[ID BC UNIQUE]:[MONTANT HT VALIDE]],MATCH(Tableau6[[#This Row],[N° BC]],Tableau2[ID BC UNIQUE],0),6),0)</f>
        <v>1080000</v>
      </c>
      <c r="S348" s="225">
        <f>IFERROR(INDEX(Tableau2[[DATE]:[DELAIS DE PAIEMENT FACTURES EN JOUR]],MATCH(Tableau6[[#This Row],[N° BC]],Tableau2[ID BC UNIQUE],0),5),0)</f>
        <v>30</v>
      </c>
      <c r="T348" s="3">
        <f>IF(ISBLANK(Tableau6[[#This Row],[DATE DE DEPOT]]),"",Tableau6[[#This Row],[DATE DE DEPOT]]+Tableau6[[#This Row],[DELAI]])</f>
        <v>46134</v>
      </c>
      <c r="U348" s="225">
        <f ca="1">+IF(AND(W348=0,Tableau6[[#This Row],[DATE LIMITE]]&lt;TODAY()),TODAY()-Tableau6[[#This Row],[DATE LIMITE]],0)</f>
        <v>0</v>
      </c>
      <c r="V34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48" s="231">
        <f>SUMIF(Tableau3[FACTURE],Tableau6[[#This Row],[NUM DE FACTURE]],Tableau3[MONTANT TTC])</f>
        <v>0</v>
      </c>
      <c r="X348" s="3"/>
      <c r="Y348" s="90">
        <f>+Tableau6[[#This Row],[NET A PAYER]]-Tableau6[[#This Row],[MONTANT PAYE]]</f>
        <v>1274400</v>
      </c>
      <c r="Z348"/>
    </row>
    <row r="349" spans="1:26" x14ac:dyDescent="0.2">
      <c r="A349" s="363" t="s">
        <v>100</v>
      </c>
      <c r="B349" s="3">
        <v>46100</v>
      </c>
      <c r="C349" s="3">
        <v>46104</v>
      </c>
      <c r="D349" s="251">
        <v>26000000048</v>
      </c>
      <c r="E349" s="254" t="s">
        <v>138</v>
      </c>
      <c r="F349" s="254" t="s">
        <v>723</v>
      </c>
      <c r="G349" s="254" t="s">
        <v>172</v>
      </c>
      <c r="H349" s="254" t="s">
        <v>116</v>
      </c>
      <c r="I349" s="230"/>
      <c r="J349" s="248">
        <v>1080000</v>
      </c>
      <c r="K349" s="156">
        <f>+Tableau6[[#This Row],[MONTANT HT BIEN]]+Tableau6[[#This Row],[MONTANT HT SERVICE]]</f>
        <v>1080000</v>
      </c>
      <c r="L349" s="10">
        <v>0</v>
      </c>
      <c r="M349" s="10">
        <f>+IFERROR(IF(Tableau6[[#This Row],[CODE TVA]]="TVAF",Tableau6[[#This Row],[MONTANT HT]]*0.18,0),0)</f>
        <v>194400</v>
      </c>
      <c r="N349" s="10">
        <f>Tableau6[[#This Row],[MONTANT HT]]+Tableau6[[#This Row],[TVA]]-Tableau6[[#This Row],[ACOMPTE SUR HT]]</f>
        <v>1274400</v>
      </c>
      <c r="O349" s="10"/>
      <c r="P349" s="10">
        <f>+ROUND(Tableau6[[#This Row],[MONTANT TTC]]-Tableau6[[#This Row],[ACOMPTE SUR TTC]],0)</f>
        <v>1274400</v>
      </c>
      <c r="Q349" t="s">
        <v>818</v>
      </c>
      <c r="R349" s="4">
        <f>IFERROR(INDEX(Tableau2[[ID BC UNIQUE]:[MONTANT HT VALIDE]],MATCH(Tableau6[[#This Row],[N° BC]],Tableau2[ID BC UNIQUE],0),6),0)</f>
        <v>1080000</v>
      </c>
      <c r="S349" s="225">
        <f>IFERROR(INDEX(Tableau2[[DATE]:[DELAIS DE PAIEMENT FACTURES EN JOUR]],MATCH(Tableau6[[#This Row],[N° BC]],Tableau2[ID BC UNIQUE],0),5),0)</f>
        <v>30</v>
      </c>
      <c r="T349" s="3">
        <f>IF(ISBLANK(Tableau6[[#This Row],[DATE DE DEPOT]]),"",Tableau6[[#This Row],[DATE DE DEPOT]]+Tableau6[[#This Row],[DELAI]])</f>
        <v>46134</v>
      </c>
      <c r="U349" s="225">
        <f ca="1">+IF(AND(W349=0,Tableau6[[#This Row],[DATE LIMITE]]&lt;TODAY()),TODAY()-Tableau6[[#This Row],[DATE LIMITE]],0)</f>
        <v>0</v>
      </c>
      <c r="V349"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49" s="231">
        <f>SUMIF(Tableau3[FACTURE],Tableau6[[#This Row],[NUM DE FACTURE]],Tableau3[MONTANT TTC])</f>
        <v>0</v>
      </c>
      <c r="X349" s="3"/>
      <c r="Y349" s="90">
        <f>+Tableau6[[#This Row],[NET A PAYER]]-Tableau6[[#This Row],[MONTANT PAYE]]</f>
        <v>1274400</v>
      </c>
      <c r="Z349"/>
    </row>
    <row r="350" spans="1:26" x14ac:dyDescent="0.2">
      <c r="A350" s="363" t="s">
        <v>100</v>
      </c>
      <c r="B350" s="3">
        <v>46100</v>
      </c>
      <c r="C350" s="3">
        <v>46104</v>
      </c>
      <c r="D350" s="251">
        <v>26000000049</v>
      </c>
      <c r="E350" s="254" t="s">
        <v>138</v>
      </c>
      <c r="F350" s="254" t="s">
        <v>820</v>
      </c>
      <c r="G350" s="254" t="s">
        <v>199</v>
      </c>
      <c r="H350" s="254" t="s">
        <v>116</v>
      </c>
      <c r="I350" s="230"/>
      <c r="J350" s="248">
        <v>5120000</v>
      </c>
      <c r="K350" s="156">
        <f>+Tableau6[[#This Row],[MONTANT HT BIEN]]+Tableau6[[#This Row],[MONTANT HT SERVICE]]</f>
        <v>5120000</v>
      </c>
      <c r="L350" s="10">
        <v>0</v>
      </c>
      <c r="M350" s="10">
        <f>+IFERROR(IF(Tableau6[[#This Row],[CODE TVA]]="TVAF",Tableau6[[#This Row],[MONTANT HT]]*0.18,0),0)</f>
        <v>921600</v>
      </c>
      <c r="N350" s="10">
        <f>Tableau6[[#This Row],[MONTANT HT]]+Tableau6[[#This Row],[TVA]]-Tableau6[[#This Row],[ACOMPTE SUR HT]]</f>
        <v>6041600</v>
      </c>
      <c r="O350" s="10"/>
      <c r="P350" s="10">
        <f>+ROUND(Tableau6[[#This Row],[MONTANT TTC]]-Tableau6[[#This Row],[ACOMPTE SUR TTC]],0)</f>
        <v>6041600</v>
      </c>
      <c r="Q350" t="s">
        <v>819</v>
      </c>
      <c r="R350" s="4">
        <f>IFERROR(INDEX(Tableau2[[ID BC UNIQUE]:[MONTANT HT VALIDE]],MATCH(Tableau6[[#This Row],[N° BC]],Tableau2[ID BC UNIQUE],0),6),0)</f>
        <v>5120000</v>
      </c>
      <c r="S350" s="225">
        <f>IFERROR(INDEX(Tableau2[[DATE]:[DELAIS DE PAIEMENT FACTURES EN JOUR]],MATCH(Tableau6[[#This Row],[N° BC]],Tableau2[ID BC UNIQUE],0),5),0)</f>
        <v>30</v>
      </c>
      <c r="T350" s="3">
        <f>IF(ISBLANK(Tableau6[[#This Row],[DATE DE DEPOT]]),"",Tableau6[[#This Row],[DATE DE DEPOT]]+Tableau6[[#This Row],[DELAI]])</f>
        <v>46134</v>
      </c>
      <c r="U350" s="225">
        <f ca="1">+IF(AND(W350=0,Tableau6[[#This Row],[DATE LIMITE]]&lt;TODAY()),TODAY()-Tableau6[[#This Row],[DATE LIMITE]],0)</f>
        <v>0</v>
      </c>
      <c r="V35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50" s="231">
        <f>SUMIF(Tableau3[FACTURE],Tableau6[[#This Row],[NUM DE FACTURE]],Tableau3[MONTANT TTC])</f>
        <v>0</v>
      </c>
      <c r="X350" s="3"/>
      <c r="Y350" s="90">
        <f>+Tableau6[[#This Row],[NET A PAYER]]-Tableau6[[#This Row],[MONTANT PAYE]]</f>
        <v>6041600</v>
      </c>
      <c r="Z350"/>
    </row>
    <row r="351" spans="1:26" x14ac:dyDescent="0.2">
      <c r="A351" s="363" t="s">
        <v>100</v>
      </c>
      <c r="B351" s="3">
        <v>46100</v>
      </c>
      <c r="C351" s="3">
        <v>46104</v>
      </c>
      <c r="D351" s="251">
        <v>26000000050</v>
      </c>
      <c r="E351" s="254" t="s">
        <v>138</v>
      </c>
      <c r="F351" s="254" t="s">
        <v>820</v>
      </c>
      <c r="G351" s="254" t="s">
        <v>199</v>
      </c>
      <c r="H351" s="254" t="s">
        <v>116</v>
      </c>
      <c r="I351" s="230"/>
      <c r="J351" s="248">
        <v>7920000</v>
      </c>
      <c r="K351" s="156">
        <f>+Tableau6[[#This Row],[MONTANT HT BIEN]]+Tableau6[[#This Row],[MONTANT HT SERVICE]]</f>
        <v>7920000</v>
      </c>
      <c r="L351" s="10">
        <v>0</v>
      </c>
      <c r="M351" s="10">
        <f>+IFERROR(IF(Tableau6[[#This Row],[CODE TVA]]="TVAF",Tableau6[[#This Row],[MONTANT HT]]*0.18,0),0)</f>
        <v>1425600</v>
      </c>
      <c r="N351" s="10">
        <f>Tableau6[[#This Row],[MONTANT HT]]+Tableau6[[#This Row],[TVA]]-Tableau6[[#This Row],[ACOMPTE SUR HT]]</f>
        <v>9345600</v>
      </c>
      <c r="O351" s="10"/>
      <c r="P351" s="10">
        <f>+ROUND(Tableau6[[#This Row],[MONTANT TTC]]-Tableau6[[#This Row],[ACOMPTE SUR TTC]],0)</f>
        <v>9345600</v>
      </c>
      <c r="Q351" t="s">
        <v>821</v>
      </c>
      <c r="R351" s="4">
        <f>IFERROR(INDEX(Tableau2[[ID BC UNIQUE]:[MONTANT HT VALIDE]],MATCH(Tableau6[[#This Row],[N° BC]],Tableau2[ID BC UNIQUE],0),6),0)</f>
        <v>7920000</v>
      </c>
      <c r="S351" s="225">
        <f>IFERROR(INDEX(Tableau2[[DATE]:[DELAIS DE PAIEMENT FACTURES EN JOUR]],MATCH(Tableau6[[#This Row],[N° BC]],Tableau2[ID BC UNIQUE],0),5),0)</f>
        <v>30</v>
      </c>
      <c r="T351" s="3">
        <f>IF(ISBLANK(Tableau6[[#This Row],[DATE DE DEPOT]]),"",Tableau6[[#This Row],[DATE DE DEPOT]]+Tableau6[[#This Row],[DELAI]])</f>
        <v>46134</v>
      </c>
      <c r="U351" s="225">
        <f ca="1">+IF(AND(W351=0,Tableau6[[#This Row],[DATE LIMITE]]&lt;TODAY()),TODAY()-Tableau6[[#This Row],[DATE LIMITE]],0)</f>
        <v>0</v>
      </c>
      <c r="V35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51" s="231">
        <f>SUMIF(Tableau3[FACTURE],Tableau6[[#This Row],[NUM DE FACTURE]],Tableau3[MONTANT TTC])</f>
        <v>0</v>
      </c>
      <c r="X351" s="3"/>
      <c r="Y351" s="90">
        <f>+Tableau6[[#This Row],[NET A PAYER]]-Tableau6[[#This Row],[MONTANT PAYE]]</f>
        <v>9345600</v>
      </c>
      <c r="Z351"/>
    </row>
    <row r="352" spans="1:26" x14ac:dyDescent="0.2">
      <c r="A352" s="363" t="s">
        <v>100</v>
      </c>
      <c r="B352" s="3">
        <v>46100</v>
      </c>
      <c r="C352" s="3">
        <v>46104</v>
      </c>
      <c r="D352" s="251">
        <v>26000000051</v>
      </c>
      <c r="E352" s="254" t="s">
        <v>138</v>
      </c>
      <c r="F352" s="254" t="s">
        <v>825</v>
      </c>
      <c r="G352" s="254" t="s">
        <v>165</v>
      </c>
      <c r="H352" s="254" t="s">
        <v>116</v>
      </c>
      <c r="I352" s="230"/>
      <c r="J352" s="248">
        <v>1000000</v>
      </c>
      <c r="K352" s="156">
        <f>+Tableau6[[#This Row],[MONTANT HT BIEN]]+Tableau6[[#This Row],[MONTANT HT SERVICE]]</f>
        <v>1000000</v>
      </c>
      <c r="L352" s="10">
        <v>0</v>
      </c>
      <c r="M352" s="10">
        <f>+IFERROR(IF(Tableau6[[#This Row],[CODE TVA]]="TVAF",Tableau6[[#This Row],[MONTANT HT]]*0.18,0),0)</f>
        <v>180000</v>
      </c>
      <c r="N352" s="10">
        <f>Tableau6[[#This Row],[MONTANT HT]]+Tableau6[[#This Row],[TVA]]-Tableau6[[#This Row],[ACOMPTE SUR HT]]</f>
        <v>1180000</v>
      </c>
      <c r="O352" s="10"/>
      <c r="P352" s="10">
        <f>+ROUND(Tableau6[[#This Row],[MONTANT TTC]]-Tableau6[[#This Row],[ACOMPTE SUR TTC]],0)</f>
        <v>1180000</v>
      </c>
      <c r="Q352" t="s">
        <v>824</v>
      </c>
      <c r="R352" s="4">
        <f>IFERROR(INDEX(Tableau2[[ID BC UNIQUE]:[MONTANT HT VALIDE]],MATCH(Tableau6[[#This Row],[N° BC]],Tableau2[ID BC UNIQUE],0),6),0)</f>
        <v>1000000</v>
      </c>
      <c r="S352" s="225">
        <f>IFERROR(INDEX(Tableau2[[DATE]:[DELAIS DE PAIEMENT FACTURES EN JOUR]],MATCH(Tableau6[[#This Row],[N° BC]],Tableau2[ID BC UNIQUE],0),5),0)</f>
        <v>30</v>
      </c>
      <c r="T352" s="3">
        <f>IF(ISBLANK(Tableau6[[#This Row],[DATE DE DEPOT]]),"",Tableau6[[#This Row],[DATE DE DEPOT]]+Tableau6[[#This Row],[DELAI]])</f>
        <v>46134</v>
      </c>
      <c r="U352" s="225">
        <f ca="1">+IF(AND(W352=0,Tableau6[[#This Row],[DATE LIMITE]]&lt;TODAY()),TODAY()-Tableau6[[#This Row],[DATE LIMITE]],0)</f>
        <v>0</v>
      </c>
      <c r="V35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52" s="231">
        <f>SUMIF(Tableau3[FACTURE],Tableau6[[#This Row],[NUM DE FACTURE]],Tableau3[MONTANT TTC])</f>
        <v>0</v>
      </c>
      <c r="X352" s="3"/>
      <c r="Y352" s="90">
        <f>+Tableau6[[#This Row],[NET A PAYER]]-Tableau6[[#This Row],[MONTANT PAYE]]</f>
        <v>1180000</v>
      </c>
      <c r="Z352"/>
    </row>
    <row r="353" spans="1:26" x14ac:dyDescent="0.2">
      <c r="A353" s="363" t="s">
        <v>100</v>
      </c>
      <c r="B353" s="3">
        <v>46100</v>
      </c>
      <c r="C353" s="3">
        <v>46104</v>
      </c>
      <c r="D353" s="251">
        <v>26000000052</v>
      </c>
      <c r="E353" s="254" t="s">
        <v>138</v>
      </c>
      <c r="F353" s="254" t="s">
        <v>822</v>
      </c>
      <c r="G353" s="254" t="s">
        <v>170</v>
      </c>
      <c r="H353" s="254" t="s">
        <v>116</v>
      </c>
      <c r="I353" s="230"/>
      <c r="J353" s="248">
        <v>4500000</v>
      </c>
      <c r="K353" s="156">
        <f>+Tableau6[[#This Row],[MONTANT HT BIEN]]+Tableau6[[#This Row],[MONTANT HT SERVICE]]</f>
        <v>4500000</v>
      </c>
      <c r="L353" s="10">
        <v>0</v>
      </c>
      <c r="M353" s="10">
        <f>+IFERROR(IF(Tableau6[[#This Row],[CODE TVA]]="TVAF",Tableau6[[#This Row],[MONTANT HT]]*0.18,0),0)</f>
        <v>810000</v>
      </c>
      <c r="N353" s="10">
        <f>Tableau6[[#This Row],[MONTANT HT]]+Tableau6[[#This Row],[TVA]]-Tableau6[[#This Row],[ACOMPTE SUR HT]]</f>
        <v>5310000</v>
      </c>
      <c r="O353" s="10"/>
      <c r="P353" s="10">
        <f>+ROUND(Tableau6[[#This Row],[MONTANT TTC]]-Tableau6[[#This Row],[ACOMPTE SUR TTC]],0)</f>
        <v>5310000</v>
      </c>
      <c r="Q353" t="s">
        <v>823</v>
      </c>
      <c r="R353" s="4">
        <f>IFERROR(INDEX(Tableau2[[ID BC UNIQUE]:[MONTANT HT VALIDE]],MATCH(Tableau6[[#This Row],[N° BC]],Tableau2[ID BC UNIQUE],0),6),0)</f>
        <v>4500000</v>
      </c>
      <c r="S353" s="225">
        <f>IFERROR(INDEX(Tableau2[[DATE]:[DELAIS DE PAIEMENT FACTURES EN JOUR]],MATCH(Tableau6[[#This Row],[N° BC]],Tableau2[ID BC UNIQUE],0),5),0)</f>
        <v>30</v>
      </c>
      <c r="T353" s="3">
        <f>IF(ISBLANK(Tableau6[[#This Row],[DATE DE DEPOT]]),"",Tableau6[[#This Row],[DATE DE DEPOT]]+Tableau6[[#This Row],[DELAI]])</f>
        <v>46134</v>
      </c>
      <c r="U353" s="225">
        <f ca="1">+IF(AND(W353=0,Tableau6[[#This Row],[DATE LIMITE]]&lt;TODAY()),TODAY()-Tableau6[[#This Row],[DATE LIMITE]],0)</f>
        <v>0</v>
      </c>
      <c r="V35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53" s="231">
        <f>SUMIF(Tableau3[FACTURE],Tableau6[[#This Row],[NUM DE FACTURE]],Tableau3[MONTANT TTC])</f>
        <v>0</v>
      </c>
      <c r="X353" s="3"/>
      <c r="Y353" s="90">
        <f>+Tableau6[[#This Row],[NET A PAYER]]-Tableau6[[#This Row],[MONTANT PAYE]]</f>
        <v>5310000</v>
      </c>
      <c r="Z353"/>
    </row>
    <row r="354" spans="1:26" x14ac:dyDescent="0.2">
      <c r="A354" s="363" t="s">
        <v>100</v>
      </c>
      <c r="B354" s="3">
        <v>46100</v>
      </c>
      <c r="C354" s="3">
        <v>46104</v>
      </c>
      <c r="D354" s="251">
        <v>26000000053</v>
      </c>
      <c r="E354" s="254" t="s">
        <v>138</v>
      </c>
      <c r="F354" s="254" t="s">
        <v>825</v>
      </c>
      <c r="G354" s="254" t="s">
        <v>171</v>
      </c>
      <c r="H354" s="254" t="s">
        <v>116</v>
      </c>
      <c r="I354" s="230"/>
      <c r="J354" s="248">
        <v>4320000</v>
      </c>
      <c r="K354" s="156">
        <f>+Tableau6[[#This Row],[MONTANT HT BIEN]]+Tableau6[[#This Row],[MONTANT HT SERVICE]]</f>
        <v>4320000</v>
      </c>
      <c r="L354" s="10">
        <v>0</v>
      </c>
      <c r="M354" s="10">
        <f>+IFERROR(IF(Tableau6[[#This Row],[CODE TVA]]="TVAF",Tableau6[[#This Row],[MONTANT HT]]*0.18,0),0)</f>
        <v>777600</v>
      </c>
      <c r="N354" s="10">
        <f>Tableau6[[#This Row],[MONTANT HT]]+Tableau6[[#This Row],[TVA]]-Tableau6[[#This Row],[ACOMPTE SUR HT]]</f>
        <v>5097600</v>
      </c>
      <c r="O354" s="10"/>
      <c r="P354" s="10">
        <f>+ROUND(Tableau6[[#This Row],[MONTANT TTC]]-Tableau6[[#This Row],[ACOMPTE SUR TTC]],0)</f>
        <v>5097600</v>
      </c>
      <c r="Q354" t="s">
        <v>826</v>
      </c>
      <c r="R354" s="4">
        <f>IFERROR(INDEX(Tableau2[[ID BC UNIQUE]:[MONTANT HT VALIDE]],MATCH(Tableau6[[#This Row],[N° BC]],Tableau2[ID BC UNIQUE],0),6),0)</f>
        <v>4320000</v>
      </c>
      <c r="S354" s="225">
        <f>IFERROR(INDEX(Tableau2[[DATE]:[DELAIS DE PAIEMENT FACTURES EN JOUR]],MATCH(Tableau6[[#This Row],[N° BC]],Tableau2[ID BC UNIQUE],0),5),0)</f>
        <v>30</v>
      </c>
      <c r="T354" s="3">
        <f>IF(ISBLANK(Tableau6[[#This Row],[DATE DE DEPOT]]),"",Tableau6[[#This Row],[DATE DE DEPOT]]+Tableau6[[#This Row],[DELAI]])</f>
        <v>46134</v>
      </c>
      <c r="U354" s="225">
        <f ca="1">+IF(AND(W354=0,Tableau6[[#This Row],[DATE LIMITE]]&lt;TODAY()),TODAY()-Tableau6[[#This Row],[DATE LIMITE]],0)</f>
        <v>0</v>
      </c>
      <c r="V354"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54" s="231">
        <f>SUMIF(Tableau3[FACTURE],Tableau6[[#This Row],[NUM DE FACTURE]],Tableau3[MONTANT TTC])</f>
        <v>0</v>
      </c>
      <c r="X354" s="3"/>
      <c r="Y354" s="90">
        <f>+Tableau6[[#This Row],[NET A PAYER]]-Tableau6[[#This Row],[MONTANT PAYE]]</f>
        <v>5097600</v>
      </c>
      <c r="Z354"/>
    </row>
    <row r="355" spans="1:26" x14ac:dyDescent="0.2">
      <c r="A355" s="363" t="s">
        <v>100</v>
      </c>
      <c r="B355" s="3">
        <v>46105</v>
      </c>
      <c r="C355" s="3">
        <v>46105</v>
      </c>
      <c r="D355" s="251">
        <v>26000000056</v>
      </c>
      <c r="E355" s="254" t="s">
        <v>138</v>
      </c>
      <c r="F355" s="254" t="s">
        <v>820</v>
      </c>
      <c r="G355" s="254" t="s">
        <v>169</v>
      </c>
      <c r="H355" s="254" t="s">
        <v>116</v>
      </c>
      <c r="I355" s="230"/>
      <c r="J355" s="248">
        <v>180000</v>
      </c>
      <c r="K355" s="156">
        <f>+Tableau6[[#This Row],[MONTANT HT BIEN]]+Tableau6[[#This Row],[MONTANT HT SERVICE]]</f>
        <v>180000</v>
      </c>
      <c r="L355" s="10">
        <v>0</v>
      </c>
      <c r="M355" s="10">
        <f>+IFERROR(IF(Tableau6[[#This Row],[CODE TVA]]="TVAF",Tableau6[[#This Row],[MONTANT HT]]*0.18,0),0)</f>
        <v>32400</v>
      </c>
      <c r="N355" s="10">
        <f>Tableau6[[#This Row],[MONTANT HT]]+Tableau6[[#This Row],[TVA]]-Tableau6[[#This Row],[ACOMPTE SUR HT]]</f>
        <v>212400</v>
      </c>
      <c r="O355" s="10"/>
      <c r="P355" s="10">
        <f>+ROUND(Tableau6[[#This Row],[MONTANT TTC]]-Tableau6[[#This Row],[ACOMPTE SUR TTC]],0)</f>
        <v>212400</v>
      </c>
      <c r="Q355" t="s">
        <v>828</v>
      </c>
      <c r="R355" s="4">
        <f>IFERROR(INDEX(Tableau2[[ID BC UNIQUE]:[MONTANT HT VALIDE]],MATCH(Tableau6[[#This Row],[N° BC]],Tableau2[ID BC UNIQUE],0),6),0)</f>
        <v>180000</v>
      </c>
      <c r="S355" s="225">
        <f>IFERROR(INDEX(Tableau2[[DATE]:[DELAIS DE PAIEMENT FACTURES EN JOUR]],MATCH(Tableau6[[#This Row],[N° BC]],Tableau2[ID BC UNIQUE],0),5),0)</f>
        <v>30</v>
      </c>
      <c r="T355" s="3">
        <f>IF(ISBLANK(Tableau6[[#This Row],[DATE DE DEPOT]]),"",Tableau6[[#This Row],[DATE DE DEPOT]]+Tableau6[[#This Row],[DELAI]])</f>
        <v>46135</v>
      </c>
      <c r="U355" s="225">
        <f ca="1">+IF(AND(W355=0,Tableau6[[#This Row],[DATE LIMITE]]&lt;TODAY()),TODAY()-Tableau6[[#This Row],[DATE LIMITE]],0)</f>
        <v>0</v>
      </c>
      <c r="V35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55" s="231">
        <f>SUMIF(Tableau3[FACTURE],Tableau6[[#This Row],[NUM DE FACTURE]],Tableau3[MONTANT TTC])</f>
        <v>0</v>
      </c>
      <c r="X355" s="3"/>
      <c r="Y355" s="90">
        <f>+Tableau6[[#This Row],[NET A PAYER]]-Tableau6[[#This Row],[MONTANT PAYE]]</f>
        <v>212400</v>
      </c>
      <c r="Z355"/>
    </row>
    <row r="356" spans="1:26" x14ac:dyDescent="0.2">
      <c r="A356" s="363" t="s">
        <v>100</v>
      </c>
      <c r="B356" s="3">
        <v>46105</v>
      </c>
      <c r="C356" s="3">
        <v>46105</v>
      </c>
      <c r="D356" s="251">
        <v>26000000057</v>
      </c>
      <c r="E356" s="254" t="s">
        <v>138</v>
      </c>
      <c r="F356" s="254" t="s">
        <v>830</v>
      </c>
      <c r="G356" s="254" t="s">
        <v>199</v>
      </c>
      <c r="H356" s="254" t="s">
        <v>116</v>
      </c>
      <c r="I356" s="230"/>
      <c r="J356" s="248">
        <v>640000</v>
      </c>
      <c r="K356" s="156">
        <f>+Tableau6[[#This Row],[MONTANT HT BIEN]]+Tableau6[[#This Row],[MONTANT HT SERVICE]]</f>
        <v>640000</v>
      </c>
      <c r="L356" s="10">
        <v>0</v>
      </c>
      <c r="M356" s="10">
        <f>+IFERROR(IF(Tableau6[[#This Row],[CODE TVA]]="TVAF",Tableau6[[#This Row],[MONTANT HT]]*0.18,0),0)</f>
        <v>115200</v>
      </c>
      <c r="N356" s="10">
        <f>Tableau6[[#This Row],[MONTANT HT]]+Tableau6[[#This Row],[TVA]]-Tableau6[[#This Row],[ACOMPTE SUR HT]]</f>
        <v>755200</v>
      </c>
      <c r="O356" s="10"/>
      <c r="P356" s="10">
        <f>+ROUND(Tableau6[[#This Row],[MONTANT TTC]]-Tableau6[[#This Row],[ACOMPTE SUR TTC]],0)</f>
        <v>755200</v>
      </c>
      <c r="Q356" t="s">
        <v>829</v>
      </c>
      <c r="R356" s="4">
        <f>IFERROR(INDEX(Tableau2[[ID BC UNIQUE]:[MONTANT HT VALIDE]],MATCH(Tableau6[[#This Row],[N° BC]],Tableau2[ID BC UNIQUE],0),6),0)</f>
        <v>640000</v>
      </c>
      <c r="S356" s="225">
        <f>IFERROR(INDEX(Tableau2[[DATE]:[DELAIS DE PAIEMENT FACTURES EN JOUR]],MATCH(Tableau6[[#This Row],[N° BC]],Tableau2[ID BC UNIQUE],0),5),0)</f>
        <v>30</v>
      </c>
      <c r="T356" s="3">
        <f>IF(ISBLANK(Tableau6[[#This Row],[DATE DE DEPOT]]),"",Tableau6[[#This Row],[DATE DE DEPOT]]+Tableau6[[#This Row],[DELAI]])</f>
        <v>46135</v>
      </c>
      <c r="U356" s="225">
        <f ca="1">+IF(AND(W356=0,Tableau6[[#This Row],[DATE LIMITE]]&lt;TODAY()),TODAY()-Tableau6[[#This Row],[DATE LIMITE]],0)</f>
        <v>0</v>
      </c>
      <c r="V356"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56" s="231">
        <f>SUMIF(Tableau3[FACTURE],Tableau6[[#This Row],[NUM DE FACTURE]],Tableau3[MONTANT TTC])</f>
        <v>0</v>
      </c>
      <c r="X356" s="3"/>
      <c r="Y356" s="90">
        <f>+Tableau6[[#This Row],[NET A PAYER]]-Tableau6[[#This Row],[MONTANT PAYE]]</f>
        <v>755200</v>
      </c>
      <c r="Z356"/>
    </row>
    <row r="357" spans="1:26" x14ac:dyDescent="0.2">
      <c r="A357" s="363" t="s">
        <v>100</v>
      </c>
      <c r="B357" s="3">
        <v>46105</v>
      </c>
      <c r="C357" s="3">
        <v>46105</v>
      </c>
      <c r="D357" s="251">
        <v>26000000058</v>
      </c>
      <c r="E357" s="254" t="s">
        <v>138</v>
      </c>
      <c r="F357" s="254" t="s">
        <v>830</v>
      </c>
      <c r="G357" s="254" t="s">
        <v>199</v>
      </c>
      <c r="H357" s="254" t="s">
        <v>116</v>
      </c>
      <c r="I357" s="230"/>
      <c r="J357" s="248">
        <v>800000</v>
      </c>
      <c r="K357" s="156">
        <f>+Tableau6[[#This Row],[MONTANT HT BIEN]]+Tableau6[[#This Row],[MONTANT HT SERVICE]]</f>
        <v>800000</v>
      </c>
      <c r="L357" s="10">
        <v>0</v>
      </c>
      <c r="M357" s="10">
        <f>+IFERROR(IF(Tableau6[[#This Row],[CODE TVA]]="TVAF",Tableau6[[#This Row],[MONTANT HT]]*0.18,0),0)</f>
        <v>144000</v>
      </c>
      <c r="N357" s="10">
        <f>Tableau6[[#This Row],[MONTANT HT]]+Tableau6[[#This Row],[TVA]]-Tableau6[[#This Row],[ACOMPTE SUR HT]]</f>
        <v>944000</v>
      </c>
      <c r="O357" s="10"/>
      <c r="P357" s="10">
        <f>+ROUND(Tableau6[[#This Row],[MONTANT TTC]]-Tableau6[[#This Row],[ACOMPTE SUR TTC]],0)</f>
        <v>944000</v>
      </c>
      <c r="Q357" t="s">
        <v>831</v>
      </c>
      <c r="R357" s="4">
        <f>IFERROR(INDEX(Tableau2[[ID BC UNIQUE]:[MONTANT HT VALIDE]],MATCH(Tableau6[[#This Row],[N° BC]],Tableau2[ID BC UNIQUE],0),6),0)</f>
        <v>800000</v>
      </c>
      <c r="S357" s="225">
        <f>IFERROR(INDEX(Tableau2[[DATE]:[DELAIS DE PAIEMENT FACTURES EN JOUR]],MATCH(Tableau6[[#This Row],[N° BC]],Tableau2[ID BC UNIQUE],0),5),0)</f>
        <v>30</v>
      </c>
      <c r="T357" s="3">
        <f>IF(ISBLANK(Tableau6[[#This Row],[DATE DE DEPOT]]),"",Tableau6[[#This Row],[DATE DE DEPOT]]+Tableau6[[#This Row],[DELAI]])</f>
        <v>46135</v>
      </c>
      <c r="U357" s="225">
        <f ca="1">+IF(AND(W357=0,Tableau6[[#This Row],[DATE LIMITE]]&lt;TODAY()),TODAY()-Tableau6[[#This Row],[DATE LIMITE]],0)</f>
        <v>0</v>
      </c>
      <c r="V357"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57" s="231">
        <f>SUMIF(Tableau3[FACTURE],Tableau6[[#This Row],[NUM DE FACTURE]],Tableau3[MONTANT TTC])</f>
        <v>0</v>
      </c>
      <c r="X357" s="3"/>
      <c r="Y357" s="90">
        <f>+Tableau6[[#This Row],[NET A PAYER]]-Tableau6[[#This Row],[MONTANT PAYE]]</f>
        <v>944000</v>
      </c>
      <c r="Z357"/>
    </row>
    <row r="358" spans="1:26" x14ac:dyDescent="0.2">
      <c r="A358" s="363" t="s">
        <v>100</v>
      </c>
      <c r="B358" s="3">
        <v>46105</v>
      </c>
      <c r="C358" s="3">
        <v>46105</v>
      </c>
      <c r="D358" s="251">
        <v>26000000060</v>
      </c>
      <c r="E358" s="254" t="s">
        <v>138</v>
      </c>
      <c r="F358" s="254" t="s">
        <v>830</v>
      </c>
      <c r="G358" s="254" t="s">
        <v>199</v>
      </c>
      <c r="H358" s="254" t="s">
        <v>116</v>
      </c>
      <c r="I358" s="230"/>
      <c r="J358" s="248">
        <v>600000</v>
      </c>
      <c r="K358" s="156">
        <f>+Tableau6[[#This Row],[MONTANT HT BIEN]]+Tableau6[[#This Row],[MONTANT HT SERVICE]]</f>
        <v>600000</v>
      </c>
      <c r="L358" s="10">
        <v>0</v>
      </c>
      <c r="M358" s="10">
        <f>+IFERROR(IF(Tableau6[[#This Row],[CODE TVA]]="TVAF",Tableau6[[#This Row],[MONTANT HT]]*0.18,0),0)</f>
        <v>108000</v>
      </c>
      <c r="N358" s="10">
        <f>Tableau6[[#This Row],[MONTANT HT]]+Tableau6[[#This Row],[TVA]]-Tableau6[[#This Row],[ACOMPTE SUR HT]]</f>
        <v>708000</v>
      </c>
      <c r="O358" s="10"/>
      <c r="P358" s="10">
        <f>+ROUND(Tableau6[[#This Row],[MONTANT TTC]]-Tableau6[[#This Row],[ACOMPTE SUR TTC]],0)</f>
        <v>708000</v>
      </c>
      <c r="Q358" t="s">
        <v>832</v>
      </c>
      <c r="R358" s="4">
        <f>IFERROR(INDEX(Tableau2[[ID BC UNIQUE]:[MONTANT HT VALIDE]],MATCH(Tableau6[[#This Row],[N° BC]],Tableau2[ID BC UNIQUE],0),6),0)</f>
        <v>600000</v>
      </c>
      <c r="S358" s="225">
        <f>IFERROR(INDEX(Tableau2[[DATE]:[DELAIS DE PAIEMENT FACTURES EN JOUR]],MATCH(Tableau6[[#This Row],[N° BC]],Tableau2[ID BC UNIQUE],0),5),0)</f>
        <v>30</v>
      </c>
      <c r="T358" s="3">
        <f>IF(ISBLANK(Tableau6[[#This Row],[DATE DE DEPOT]]),"",Tableau6[[#This Row],[DATE DE DEPOT]]+Tableau6[[#This Row],[DELAI]])</f>
        <v>46135</v>
      </c>
      <c r="U358" s="225">
        <f ca="1">+IF(AND(W358=0,Tableau6[[#This Row],[DATE LIMITE]]&lt;TODAY()),TODAY()-Tableau6[[#This Row],[DATE LIMITE]],0)</f>
        <v>0</v>
      </c>
      <c r="V358"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58" s="231">
        <f>SUMIF(Tableau3[FACTURE],Tableau6[[#This Row],[NUM DE FACTURE]],Tableau3[MONTANT TTC])</f>
        <v>0</v>
      </c>
      <c r="X358" s="3"/>
      <c r="Y358" s="90">
        <f>+Tableau6[[#This Row],[NET A PAYER]]-Tableau6[[#This Row],[MONTANT PAYE]]</f>
        <v>708000</v>
      </c>
      <c r="Z358"/>
    </row>
    <row r="359" spans="1:26" x14ac:dyDescent="0.2">
      <c r="A359" s="363" t="s">
        <v>100</v>
      </c>
      <c r="B359" s="3">
        <v>46105</v>
      </c>
      <c r="C359" s="3">
        <v>46107</v>
      </c>
      <c r="D359" s="251">
        <v>26000000061</v>
      </c>
      <c r="E359" s="254" t="s">
        <v>138</v>
      </c>
      <c r="F359" s="254" t="s">
        <v>834</v>
      </c>
      <c r="G359" s="254" t="s">
        <v>835</v>
      </c>
      <c r="H359" s="254" t="s">
        <v>116</v>
      </c>
      <c r="I359" s="230"/>
      <c r="J359" s="248">
        <v>1080000</v>
      </c>
      <c r="K359" s="156">
        <f>+Tableau6[[#This Row],[MONTANT HT BIEN]]+Tableau6[[#This Row],[MONTANT HT SERVICE]]</f>
        <v>1080000</v>
      </c>
      <c r="L359" s="10">
        <v>0</v>
      </c>
      <c r="M359" s="10">
        <f>+IFERROR(IF(Tableau6[[#This Row],[CODE TVA]]="TVAF",Tableau6[[#This Row],[MONTANT HT]]*0.18,0),0)</f>
        <v>194400</v>
      </c>
      <c r="N359" s="10">
        <f>Tableau6[[#This Row],[MONTANT HT]]+Tableau6[[#This Row],[TVA]]-Tableau6[[#This Row],[ACOMPTE SUR HT]]</f>
        <v>1274400</v>
      </c>
      <c r="O359" s="10"/>
      <c r="P359" s="10">
        <f>+ROUND(Tableau6[[#This Row],[MONTANT TTC]]-Tableau6[[#This Row],[ACOMPTE SUR TTC]],0)</f>
        <v>1274400</v>
      </c>
      <c r="Q359" t="s">
        <v>836</v>
      </c>
      <c r="R359" s="4">
        <f>IFERROR(INDEX(Tableau2[[ID BC UNIQUE]:[MONTANT HT VALIDE]],MATCH(Tableau6[[#This Row],[N° BC]],Tableau2[ID BC UNIQUE],0),6),0)</f>
        <v>1080000</v>
      </c>
      <c r="S359" s="225">
        <f>IFERROR(INDEX(Tableau2[[DATE]:[DELAIS DE PAIEMENT FACTURES EN JOUR]],MATCH(Tableau6[[#This Row],[N° BC]],Tableau2[ID BC UNIQUE],0),5),0)</f>
        <v>30</v>
      </c>
      <c r="T359" s="3">
        <f>IF(ISBLANK(Tableau6[[#This Row],[DATE DE DEPOT]]),"",Tableau6[[#This Row],[DATE DE DEPOT]]+Tableau6[[#This Row],[DELAI]])</f>
        <v>46137</v>
      </c>
      <c r="U359" s="225">
        <f ca="1">+IF(AND(W359=0,Tableau6[[#This Row],[DATE LIMITE]]&lt;TODAY()),TODAY()-Tableau6[[#This Row],[DATE LIMITE]],0)</f>
        <v>0</v>
      </c>
      <c r="V359"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59" s="231">
        <f>SUMIF(Tableau3[FACTURE],Tableau6[[#This Row],[NUM DE FACTURE]],Tableau3[MONTANT TTC])</f>
        <v>0</v>
      </c>
      <c r="X359" s="3"/>
      <c r="Y359" s="90">
        <f>+Tableau6[[#This Row],[NET A PAYER]]-Tableau6[[#This Row],[MONTANT PAYE]]</f>
        <v>1274400</v>
      </c>
      <c r="Z359"/>
    </row>
    <row r="360" spans="1:26" x14ac:dyDescent="0.2">
      <c r="A360" s="363" t="s">
        <v>100</v>
      </c>
      <c r="B360" s="3">
        <v>46105</v>
      </c>
      <c r="C360" s="3">
        <v>46107</v>
      </c>
      <c r="D360" s="251">
        <v>26000000055</v>
      </c>
      <c r="E360" s="254" t="s">
        <v>138</v>
      </c>
      <c r="F360" s="254" t="s">
        <v>837</v>
      </c>
      <c r="G360" s="254" t="s">
        <v>186</v>
      </c>
      <c r="H360" s="254" t="s">
        <v>116</v>
      </c>
      <c r="I360" s="230"/>
      <c r="J360" s="248">
        <v>11635009</v>
      </c>
      <c r="K360" s="156">
        <f>+Tableau6[[#This Row],[MONTANT HT BIEN]]+Tableau6[[#This Row],[MONTANT HT SERVICE]]</f>
        <v>11635009</v>
      </c>
      <c r="L360" s="10">
        <v>0</v>
      </c>
      <c r="M360" s="10">
        <f>+IFERROR(IF(Tableau6[[#This Row],[CODE TVA]]="TVAF",Tableau6[[#This Row],[MONTANT HT]]*0.18,0),0)</f>
        <v>2094301.6199999999</v>
      </c>
      <c r="N360" s="10">
        <f>Tableau6[[#This Row],[MONTANT HT]]+Tableau6[[#This Row],[TVA]]-Tableau6[[#This Row],[ACOMPTE SUR HT]]</f>
        <v>13729310.619999999</v>
      </c>
      <c r="O360" s="10"/>
      <c r="P360" s="10">
        <f>+ROUND(Tableau6[[#This Row],[MONTANT TTC]]-Tableau6[[#This Row],[ACOMPTE SUR TTC]],0)</f>
        <v>13729311</v>
      </c>
      <c r="Q360" t="s">
        <v>838</v>
      </c>
      <c r="R360" s="4">
        <f>IFERROR(INDEX(Tableau2[[ID BC UNIQUE]:[MONTANT HT VALIDE]],MATCH(Tableau6[[#This Row],[N° BC]],Tableau2[ID BC UNIQUE],0),6),0)</f>
        <v>11635009</v>
      </c>
      <c r="S360" s="225">
        <f>IFERROR(INDEX(Tableau2[[DATE]:[DELAIS DE PAIEMENT FACTURES EN JOUR]],MATCH(Tableau6[[#This Row],[N° BC]],Tableau2[ID BC UNIQUE],0),5),0)</f>
        <v>30</v>
      </c>
      <c r="T360" s="3">
        <f>IF(ISBLANK(Tableau6[[#This Row],[DATE DE DEPOT]]),"",Tableau6[[#This Row],[DATE DE DEPOT]]+Tableau6[[#This Row],[DELAI]])</f>
        <v>46137</v>
      </c>
      <c r="U360" s="225">
        <f ca="1">+IF(AND(W360=0,Tableau6[[#This Row],[DATE LIMITE]]&lt;TODAY()),TODAY()-Tableau6[[#This Row],[DATE LIMITE]],0)</f>
        <v>0</v>
      </c>
      <c r="V360"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60" s="231">
        <f>SUMIF(Tableau3[FACTURE],Tableau6[[#This Row],[NUM DE FACTURE]],Tableau3[MONTANT TTC])</f>
        <v>0</v>
      </c>
      <c r="X360" s="3"/>
      <c r="Y360" s="90">
        <f>+Tableau6[[#This Row],[NET A PAYER]]-Tableau6[[#This Row],[MONTANT PAYE]]</f>
        <v>13729311</v>
      </c>
      <c r="Z360"/>
    </row>
    <row r="361" spans="1:26" x14ac:dyDescent="0.2">
      <c r="A361" s="363" t="s">
        <v>100</v>
      </c>
      <c r="B361" s="3">
        <v>46106</v>
      </c>
      <c r="C361" s="3">
        <v>46107</v>
      </c>
      <c r="D361" s="251">
        <v>26000000062</v>
      </c>
      <c r="E361" s="254" t="s">
        <v>138</v>
      </c>
      <c r="F361" s="254" t="s">
        <v>806</v>
      </c>
      <c r="G361" s="254" t="s">
        <v>840</v>
      </c>
      <c r="H361" s="254" t="s">
        <v>305</v>
      </c>
      <c r="I361" s="230"/>
      <c r="J361" s="248">
        <v>2880000</v>
      </c>
      <c r="K361" s="156">
        <f>+Tableau6[[#This Row],[MONTANT HT BIEN]]+Tableau6[[#This Row],[MONTANT HT SERVICE]]</f>
        <v>2880000</v>
      </c>
      <c r="L361" s="10">
        <v>0</v>
      </c>
      <c r="M361" s="10">
        <f>+IFERROR(IF(Tableau6[[#This Row],[CODE TVA]]="TVAF",Tableau6[[#This Row],[MONTANT HT]]*0.18,0),0)</f>
        <v>0</v>
      </c>
      <c r="N361" s="10">
        <f>Tableau6[[#This Row],[MONTANT HT]]+Tableau6[[#This Row],[TVA]]-Tableau6[[#This Row],[ACOMPTE SUR HT]]</f>
        <v>2880000</v>
      </c>
      <c r="O361" s="10"/>
      <c r="P361" s="10">
        <f>+ROUND(Tableau6[[#This Row],[MONTANT TTC]]-Tableau6[[#This Row],[ACOMPTE SUR TTC]],0)</f>
        <v>2880000</v>
      </c>
      <c r="Q361" t="s">
        <v>839</v>
      </c>
      <c r="R361" s="4">
        <f>IFERROR(INDEX(Tableau2[[ID BC UNIQUE]:[MONTANT HT VALIDE]],MATCH(Tableau6[[#This Row],[N° BC]],Tableau2[ID BC UNIQUE],0),6),0)</f>
        <v>2880000</v>
      </c>
      <c r="S361" s="225">
        <f>IFERROR(INDEX(Tableau2[[DATE]:[DELAIS DE PAIEMENT FACTURES EN JOUR]],MATCH(Tableau6[[#This Row],[N° BC]],Tableau2[ID BC UNIQUE],0),5),0)</f>
        <v>30</v>
      </c>
      <c r="T361" s="3">
        <f>IF(ISBLANK(Tableau6[[#This Row],[DATE DE DEPOT]]),"",Tableau6[[#This Row],[DATE DE DEPOT]]+Tableau6[[#This Row],[DELAI]])</f>
        <v>46137</v>
      </c>
      <c r="U361" s="225">
        <f ca="1">+IF(AND(W361=0,Tableau6[[#This Row],[DATE LIMITE]]&lt;TODAY()),TODAY()-Tableau6[[#This Row],[DATE LIMITE]],0)</f>
        <v>0</v>
      </c>
      <c r="V361"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61" s="231">
        <f>SUMIF(Tableau3[FACTURE],Tableau6[[#This Row],[NUM DE FACTURE]],Tableau3[MONTANT TTC])</f>
        <v>0</v>
      </c>
      <c r="X361" s="3"/>
      <c r="Y361" s="90">
        <f>+Tableau6[[#This Row],[NET A PAYER]]-Tableau6[[#This Row],[MONTANT PAYE]]</f>
        <v>2880000</v>
      </c>
      <c r="Z361"/>
    </row>
    <row r="362" spans="1:26" x14ac:dyDescent="0.2">
      <c r="A362" s="363" t="s">
        <v>100</v>
      </c>
      <c r="B362" s="3">
        <v>46108</v>
      </c>
      <c r="C362" s="3"/>
      <c r="D362" s="251">
        <v>26000000063</v>
      </c>
      <c r="E362" s="254" t="s">
        <v>743</v>
      </c>
      <c r="F362" s="254" t="s">
        <v>843</v>
      </c>
      <c r="G362" s="254"/>
      <c r="H362" s="254" t="s">
        <v>305</v>
      </c>
      <c r="I362" s="230"/>
      <c r="J362" s="248">
        <v>560000</v>
      </c>
      <c r="K362" s="156">
        <f>+Tableau6[[#This Row],[MONTANT HT BIEN]]+Tableau6[[#This Row],[MONTANT HT SERVICE]]</f>
        <v>560000</v>
      </c>
      <c r="L362" s="10">
        <v>0</v>
      </c>
      <c r="M362" s="10">
        <f>+IFERROR(IF(Tableau6[[#This Row],[CODE TVA]]="TVAF",Tableau6[[#This Row],[MONTANT HT]]*0.18,0),0)</f>
        <v>0</v>
      </c>
      <c r="N362" s="10">
        <f>Tableau6[[#This Row],[MONTANT HT]]+Tableau6[[#This Row],[TVA]]-Tableau6[[#This Row],[ACOMPTE SUR HT]]</f>
        <v>560000</v>
      </c>
      <c r="O362" s="10"/>
      <c r="P362" s="10">
        <f>+ROUND(Tableau6[[#This Row],[MONTANT TTC]]-Tableau6[[#This Row],[ACOMPTE SUR TTC]],0)</f>
        <v>560000</v>
      </c>
      <c r="R362" s="4">
        <f>IFERROR(INDEX(Tableau2[[ID BC UNIQUE]:[MONTANT HT VALIDE]],MATCH(Tableau6[[#This Row],[N° BC]],Tableau2[ID BC UNIQUE],0),6),0)</f>
        <v>0</v>
      </c>
      <c r="S362" s="225">
        <f>IFERROR(INDEX(Tableau2[[DATE]:[DELAIS DE PAIEMENT FACTURES EN JOUR]],MATCH(Tableau6[[#This Row],[N° BC]],Tableau2[ID BC UNIQUE],0),5),0)</f>
        <v>0</v>
      </c>
      <c r="T362" s="3" t="str">
        <f>IF(ISBLANK(Tableau6[[#This Row],[DATE DE DEPOT]]),"",Tableau6[[#This Row],[DATE DE DEPOT]]+Tableau6[[#This Row],[DELAI]])</f>
        <v/>
      </c>
      <c r="U362" s="225">
        <f ca="1">+IF(AND(W362=0,Tableau6[[#This Row],[DATE LIMITE]]&lt;TODAY()),TODAY()-Tableau6[[#This Row],[DATE LIMITE]],0)</f>
        <v>0</v>
      </c>
      <c r="V362"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62" s="231">
        <f>SUMIF(Tableau3[FACTURE],Tableau6[[#This Row],[NUM DE FACTURE]],Tableau3[MONTANT TTC])</f>
        <v>0</v>
      </c>
      <c r="X362" s="3"/>
      <c r="Y362" s="90">
        <f>+Tableau6[[#This Row],[NET A PAYER]]-Tableau6[[#This Row],[MONTANT PAYE]]</f>
        <v>560000</v>
      </c>
      <c r="Z362"/>
    </row>
    <row r="363" spans="1:26" x14ac:dyDescent="0.2">
      <c r="A363" s="363" t="s">
        <v>100</v>
      </c>
      <c r="B363" s="3">
        <v>46111</v>
      </c>
      <c r="C363" s="3">
        <v>46112</v>
      </c>
      <c r="D363" s="251">
        <v>26000000064</v>
      </c>
      <c r="E363" s="254" t="s">
        <v>138</v>
      </c>
      <c r="F363" s="254" t="s">
        <v>806</v>
      </c>
      <c r="G363" s="254" t="s">
        <v>180</v>
      </c>
      <c r="H363" s="254" t="s">
        <v>116</v>
      </c>
      <c r="I363" s="230"/>
      <c r="J363" s="248">
        <v>2250000</v>
      </c>
      <c r="K363" s="156">
        <f>+Tableau6[[#This Row],[MONTANT HT BIEN]]+Tableau6[[#This Row],[MONTANT HT SERVICE]]</f>
        <v>2250000</v>
      </c>
      <c r="L363" s="10">
        <v>0</v>
      </c>
      <c r="M363" s="10">
        <f>+IFERROR(IF(Tableau6[[#This Row],[CODE TVA]]="TVAF",Tableau6[[#This Row],[MONTANT HT]]*0.18,0),0)</f>
        <v>405000</v>
      </c>
      <c r="N363" s="10">
        <f>Tableau6[[#This Row],[MONTANT HT]]+Tableau6[[#This Row],[TVA]]-Tableau6[[#This Row],[ACOMPTE SUR HT]]</f>
        <v>2655000</v>
      </c>
      <c r="O363" s="10"/>
      <c r="P363" s="10">
        <f>+ROUND(Tableau6[[#This Row],[MONTANT TTC]]-Tableau6[[#This Row],[ACOMPTE SUR TTC]],0)</f>
        <v>2655000</v>
      </c>
      <c r="Q363" t="s">
        <v>844</v>
      </c>
      <c r="R363" s="4">
        <f>IFERROR(INDEX(Tableau2[[ID BC UNIQUE]:[MONTANT HT VALIDE]],MATCH(Tableau6[[#This Row],[N° BC]],Tableau2[ID BC UNIQUE],0),6),0)</f>
        <v>2250000</v>
      </c>
      <c r="S363" s="225">
        <f>IFERROR(INDEX(Tableau2[[DATE]:[DELAIS DE PAIEMENT FACTURES EN JOUR]],MATCH(Tableau6[[#This Row],[N° BC]],Tableau2[ID BC UNIQUE],0),5),0)</f>
        <v>30</v>
      </c>
      <c r="T363" s="3">
        <f>IF(ISBLANK(Tableau6[[#This Row],[DATE DE DEPOT]]),"",Tableau6[[#This Row],[DATE DE DEPOT]]+Tableau6[[#This Row],[DELAI]])</f>
        <v>46142</v>
      </c>
      <c r="U363" s="225">
        <f ca="1">+IF(AND(W363=0,Tableau6[[#This Row],[DATE LIMITE]]&lt;TODAY()),TODAY()-Tableau6[[#This Row],[DATE LIMITE]],0)</f>
        <v>0</v>
      </c>
      <c r="V363"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63" s="231">
        <f>SUMIF(Tableau3[FACTURE],Tableau6[[#This Row],[NUM DE FACTURE]],Tableau3[MONTANT TTC])</f>
        <v>0</v>
      </c>
      <c r="X363" s="3"/>
      <c r="Y363" s="90">
        <f>+Tableau6[[#This Row],[NET A PAYER]]-Tableau6[[#This Row],[MONTANT PAYE]]</f>
        <v>2655000</v>
      </c>
      <c r="Z363"/>
    </row>
    <row r="364" spans="1:26" x14ac:dyDescent="0.2">
      <c r="A364" s="363" t="s">
        <v>100</v>
      </c>
      <c r="B364" s="3">
        <v>46112</v>
      </c>
      <c r="C364" s="3">
        <v>46112</v>
      </c>
      <c r="D364" s="251">
        <v>26000000065</v>
      </c>
      <c r="E364" s="254" t="s">
        <v>138</v>
      </c>
      <c r="F364" s="254" t="s">
        <v>806</v>
      </c>
      <c r="G364" s="254" t="s">
        <v>772</v>
      </c>
      <c r="H364" s="254" t="s">
        <v>116</v>
      </c>
      <c r="I364" s="230"/>
      <c r="J364" s="248">
        <v>12155000</v>
      </c>
      <c r="K364" s="156">
        <f>+Tableau6[[#This Row],[MONTANT HT BIEN]]+Tableau6[[#This Row],[MONTANT HT SERVICE]]</f>
        <v>12155000</v>
      </c>
      <c r="L364" s="10">
        <v>0</v>
      </c>
      <c r="M364" s="10">
        <f>+IFERROR(IF(Tableau6[[#This Row],[CODE TVA]]="TVAF",Tableau6[[#This Row],[MONTANT HT]]*0.18,0),0)</f>
        <v>2187900</v>
      </c>
      <c r="N364" s="10">
        <f>Tableau6[[#This Row],[MONTANT HT]]+Tableau6[[#This Row],[TVA]]-Tableau6[[#This Row],[ACOMPTE SUR HT]]</f>
        <v>14342900</v>
      </c>
      <c r="O364" s="10"/>
      <c r="P364" s="10">
        <f>+ROUND(Tableau6[[#This Row],[MONTANT TTC]]-Tableau6[[#This Row],[ACOMPTE SUR TTC]],0)</f>
        <v>14342900</v>
      </c>
      <c r="Q364" t="s">
        <v>845</v>
      </c>
      <c r="R364" s="4">
        <f>IFERROR(INDEX(Tableau2[[ID BC UNIQUE]:[MONTANT HT VALIDE]],MATCH(Tableau6[[#This Row],[N° BC]],Tableau2[ID BC UNIQUE],0),6),0)</f>
        <v>12155000</v>
      </c>
      <c r="S364" s="225">
        <f>IFERROR(INDEX(Tableau2[[DATE]:[DELAIS DE PAIEMENT FACTURES EN JOUR]],MATCH(Tableau6[[#This Row],[N° BC]],Tableau2[ID BC UNIQUE],0),5),0)</f>
        <v>30</v>
      </c>
      <c r="T364" s="3">
        <f>IF(ISBLANK(Tableau6[[#This Row],[DATE DE DEPOT]]),"",Tableau6[[#This Row],[DATE DE DEPOT]]+Tableau6[[#This Row],[DELAI]])</f>
        <v>46142</v>
      </c>
      <c r="U364" s="225">
        <f ca="1">+IF(AND(W364=0,Tableau6[[#This Row],[DATE LIMITE]]&lt;TODAY()),TODAY()-Tableau6[[#This Row],[DATE LIMITE]],0)</f>
        <v>0</v>
      </c>
      <c r="V364"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64" s="231">
        <f>SUMIF(Tableau3[FACTURE],Tableau6[[#This Row],[NUM DE FACTURE]],Tableau3[MONTANT TTC])</f>
        <v>0</v>
      </c>
      <c r="X364" s="3"/>
      <c r="Y364" s="90">
        <f>+Tableau6[[#This Row],[NET A PAYER]]-Tableau6[[#This Row],[MONTANT PAYE]]</f>
        <v>14342900</v>
      </c>
      <c r="Z364"/>
    </row>
    <row r="365" spans="1:26" x14ac:dyDescent="0.2">
      <c r="A365" s="363" t="s">
        <v>100</v>
      </c>
      <c r="B365" s="3">
        <v>46112</v>
      </c>
      <c r="C365" s="3">
        <v>46112</v>
      </c>
      <c r="D365" s="251">
        <v>26000000066</v>
      </c>
      <c r="E365" s="254" t="s">
        <v>138</v>
      </c>
      <c r="F365" s="254" t="s">
        <v>806</v>
      </c>
      <c r="G365" s="254" t="s">
        <v>178</v>
      </c>
      <c r="H365" s="254" t="s">
        <v>116</v>
      </c>
      <c r="I365" s="230"/>
      <c r="J365" s="248">
        <v>7500016</v>
      </c>
      <c r="K365" s="156">
        <f>+Tableau6[[#This Row],[MONTANT HT BIEN]]+Tableau6[[#This Row],[MONTANT HT SERVICE]]</f>
        <v>7500016</v>
      </c>
      <c r="L365" s="10">
        <v>0</v>
      </c>
      <c r="M365" s="10">
        <f>+IFERROR(IF(Tableau6[[#This Row],[CODE TVA]]="TVAF",Tableau6[[#This Row],[MONTANT HT]]*0.18,0),0)</f>
        <v>1350002.88</v>
      </c>
      <c r="N365" s="10">
        <f>Tableau6[[#This Row],[MONTANT HT]]+Tableau6[[#This Row],[TVA]]-Tableau6[[#This Row],[ACOMPTE SUR HT]]</f>
        <v>8850018.879999999</v>
      </c>
      <c r="O365" s="10"/>
      <c r="P365" s="10">
        <f>+ROUND(Tableau6[[#This Row],[MONTANT TTC]]-Tableau6[[#This Row],[ACOMPTE SUR TTC]],0)</f>
        <v>8850019</v>
      </c>
      <c r="Q365" t="s">
        <v>846</v>
      </c>
      <c r="R365" s="4">
        <f>IFERROR(INDEX(Tableau2[[ID BC UNIQUE]:[MONTANT HT VALIDE]],MATCH(Tableau6[[#This Row],[N° BC]],Tableau2[ID BC UNIQUE],0),6),0)</f>
        <v>7500016</v>
      </c>
      <c r="S365" s="225">
        <f>IFERROR(INDEX(Tableau2[[DATE]:[DELAIS DE PAIEMENT FACTURES EN JOUR]],MATCH(Tableau6[[#This Row],[N° BC]],Tableau2[ID BC UNIQUE],0),5),0)</f>
        <v>30</v>
      </c>
      <c r="T365" s="3">
        <f>IF(ISBLANK(Tableau6[[#This Row],[DATE DE DEPOT]]),"",Tableau6[[#This Row],[DATE DE DEPOT]]+Tableau6[[#This Row],[DELAI]])</f>
        <v>46142</v>
      </c>
      <c r="U365" s="225">
        <f ca="1">+IF(AND(W365=0,Tableau6[[#This Row],[DATE LIMITE]]&lt;TODAY()),TODAY()-Tableau6[[#This Row],[DATE LIMITE]],0)</f>
        <v>0</v>
      </c>
      <c r="V365"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65" s="231">
        <f>SUMIF(Tableau3[FACTURE],Tableau6[[#This Row],[NUM DE FACTURE]],Tableau3[MONTANT TTC])</f>
        <v>0</v>
      </c>
      <c r="X365" s="3"/>
      <c r="Y365" s="90">
        <f>+Tableau6[[#This Row],[NET A PAYER]]-Tableau6[[#This Row],[MONTANT PAYE]]</f>
        <v>8850019</v>
      </c>
      <c r="Z365"/>
    </row>
    <row r="366" spans="1:26" x14ac:dyDescent="0.2">
      <c r="A366" s="363" t="s">
        <v>100</v>
      </c>
      <c r="B366" s="3">
        <v>46112</v>
      </c>
      <c r="C366" s="3">
        <v>46112</v>
      </c>
      <c r="D366" s="251">
        <v>26000000067</v>
      </c>
      <c r="E366" s="254" t="s">
        <v>138</v>
      </c>
      <c r="F366" s="254" t="s">
        <v>806</v>
      </c>
      <c r="G366" s="254" t="s">
        <v>178</v>
      </c>
      <c r="H366" s="254" t="s">
        <v>116</v>
      </c>
      <c r="I366" s="230"/>
      <c r="J366" s="248">
        <v>6300000</v>
      </c>
      <c r="K366" s="156">
        <f>+Tableau6[[#This Row],[MONTANT HT BIEN]]+Tableau6[[#This Row],[MONTANT HT SERVICE]]</f>
        <v>6300000</v>
      </c>
      <c r="L366" s="10">
        <v>0</v>
      </c>
      <c r="M366" s="10">
        <f>+IFERROR(IF(Tableau6[[#This Row],[CODE TVA]]="TVAF",Tableau6[[#This Row],[MONTANT HT]]*0.18,0),0)</f>
        <v>1134000</v>
      </c>
      <c r="N366" s="10">
        <f>Tableau6[[#This Row],[MONTANT HT]]+Tableau6[[#This Row],[TVA]]-Tableau6[[#This Row],[ACOMPTE SUR HT]]</f>
        <v>7434000</v>
      </c>
      <c r="O366" s="10"/>
      <c r="P366" s="10">
        <f>+ROUND(Tableau6[[#This Row],[MONTANT TTC]]-Tableau6[[#This Row],[ACOMPTE SUR TTC]],0)</f>
        <v>7434000</v>
      </c>
      <c r="Q366" t="s">
        <v>847</v>
      </c>
      <c r="R366" s="4">
        <f>IFERROR(INDEX(Tableau2[[ID BC UNIQUE]:[MONTANT HT VALIDE]],MATCH(Tableau6[[#This Row],[N° BC]],Tableau2[ID BC UNIQUE],0),6),0)</f>
        <v>6300000</v>
      </c>
      <c r="S366" s="225">
        <f>IFERROR(INDEX(Tableau2[[DATE]:[DELAIS DE PAIEMENT FACTURES EN JOUR]],MATCH(Tableau6[[#This Row],[N° BC]],Tableau2[ID BC UNIQUE],0),5),0)</f>
        <v>30</v>
      </c>
      <c r="T366" s="3">
        <f>IF(ISBLANK(Tableau6[[#This Row],[DATE DE DEPOT]]),"",Tableau6[[#This Row],[DATE DE DEPOT]]+Tableau6[[#This Row],[DELAI]])</f>
        <v>46142</v>
      </c>
      <c r="U366" s="225">
        <f ca="1">+IF(AND(W366=0,Tableau6[[#This Row],[DATE LIMITE]]&lt;TODAY()),TODAY()-Tableau6[[#This Row],[DATE LIMITE]],0)</f>
        <v>0</v>
      </c>
      <c r="V366"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66" s="231">
        <f>SUMIF(Tableau3[FACTURE],Tableau6[[#This Row],[NUM DE FACTURE]],Tableau3[MONTANT TTC])</f>
        <v>0</v>
      </c>
      <c r="X366" s="3"/>
      <c r="Y366" s="90">
        <f>+Tableau6[[#This Row],[NET A PAYER]]-Tableau6[[#This Row],[MONTANT PAYE]]</f>
        <v>7434000</v>
      </c>
      <c r="Z366"/>
    </row>
    <row r="367" spans="1:26" x14ac:dyDescent="0.2">
      <c r="A367" s="363"/>
      <c r="B367" s="3"/>
      <c r="C367" s="3"/>
      <c r="D367" s="251"/>
      <c r="E367" s="254"/>
      <c r="F367" s="254"/>
      <c r="G367" s="254"/>
      <c r="H367" s="254"/>
      <c r="I367" s="230"/>
      <c r="J367" s="248"/>
      <c r="K367" s="156">
        <f>+Tableau6[[#This Row],[MONTANT HT BIEN]]+Tableau6[[#This Row],[MONTANT HT SERVICE]]</f>
        <v>0</v>
      </c>
      <c r="L367" s="10"/>
      <c r="M367" s="10">
        <f>+IFERROR(IF(Tableau6[[#This Row],[CODE TVA]]="TVAF",Tableau6[[#This Row],[MONTANT HT]]*0.18,0),0)</f>
        <v>0</v>
      </c>
      <c r="N367" s="10">
        <f>Tableau6[[#This Row],[MONTANT HT]]+Tableau6[[#This Row],[TVA]]-Tableau6[[#This Row],[ACOMPTE SUR HT]]</f>
        <v>0</v>
      </c>
      <c r="O367" s="10"/>
      <c r="P367" s="10">
        <f>+ROUND(Tableau6[[#This Row],[MONTANT TTC]]-Tableau6[[#This Row],[ACOMPTE SUR TTC]],0)</f>
        <v>0</v>
      </c>
      <c r="R367" s="4">
        <f>IFERROR(INDEX(Tableau2[[ID BC UNIQUE]:[MONTANT HT VALIDE]],MATCH(Tableau6[[#This Row],[N° BC]],Tableau2[ID BC UNIQUE],0),6),0)</f>
        <v>0</v>
      </c>
      <c r="S367" s="225">
        <f>IFERROR(INDEX(Tableau2[[DATE]:[DELAIS DE PAIEMENT FACTURES EN JOUR]],MATCH(Tableau6[[#This Row],[N° BC]],Tableau2[ID BC UNIQUE],0),5),0)</f>
        <v>0</v>
      </c>
      <c r="T367" s="3" t="str">
        <f>IF(ISBLANK(Tableau6[[#This Row],[DATE DE DEPOT]]),"",Tableau6[[#This Row],[DATE DE DEPOT]]+Tableau6[[#This Row],[DELAI]])</f>
        <v/>
      </c>
      <c r="U367" s="225">
        <f ca="1">+IF(AND(W367=0,Tableau6[[#This Row],[DATE LIMITE]]&lt;TODAY()),TODAY()-Tableau6[[#This Row],[DATE LIMITE]],0)</f>
        <v>0</v>
      </c>
      <c r="V367" t="str">
        <f ca="1">IF(Tableau6[[#This Row],[DATE LIMITE]]&gt;=TODAY(),"NON ECHUE",IF(Tableau6[[#This Row],[MONTANT HT]]&lt;0,IF(ISNUMBER(MATCH(-Tableau6[[#This Row],[MONTANT HT]],Tableau6[MONTANT HT],0)),"AVOIR TOTAL","AVOIR PARTIEL"),IF(AND(ISNUMBER(MATCH(-Tableau6[[#This Row],[MONTANT HT]],Tableau6[MONTANT HT],0)),(Tableau6[[#This Row],[ACOMPTE SUR TTC]]+Tableau6[[#This Row],[MONTANT PAYE]])=0),"FACTURE ANNULEE",IF(Tableau6[[#This Row],[ACOMPTE SUR TTC]]+Tableau6[[#This Row],[MONTANT PAYE]]=0,"ECHUE NON REGLEE",IF(Tableau6[[#This Row],[ACOMPTE SUR TTC]]+Tableau6[[#This Row],[MONTANT PAYE]]=Tableau6[[#This Row],[NET A PAYER]],"PAYE",IF(Tableau6[[#This Row],[ACOMPTE SUR TTC]]+Tableau6[[#This Row],[MONTANT PAYE]]&lt;Tableau6[[#This Row],[NET A PAYER]],"PAIEMENT PARTIEL","TROP PAYE"))))))</f>
        <v>NON ECHUE</v>
      </c>
      <c r="W367" s="231">
        <f>SUMIF(Tableau3[FACTURE],Tableau6[[#This Row],[NUM DE FACTURE]],Tableau3[MONTANT TTC])</f>
        <v>0</v>
      </c>
      <c r="X367" s="3"/>
      <c r="Y367" s="90">
        <f>+Tableau6[[#This Row],[NET A PAYER]]-Tableau6[[#This Row],[MONTANT PAYE]]</f>
        <v>0</v>
      </c>
      <c r="Z367"/>
    </row>
    <row r="368" spans="1:26" x14ac:dyDescent="0.2">
      <c r="D368">
        <f>SUBTOTAL(103,Tableau6[NUM DE FACTURE])</f>
        <v>362</v>
      </c>
      <c r="E368" s="221"/>
      <c r="F368" s="221"/>
      <c r="G368" s="221"/>
      <c r="H368" s="221"/>
      <c r="I368" s="222">
        <f>SUBTOTAL(109,Tableau6[MONTANT HT BIEN])</f>
        <v>83971200</v>
      </c>
      <c r="J368" s="222">
        <f>SUBTOTAL(109,Tableau6[MONTANT HT SERVICE])</f>
        <v>2137119505.9830508</v>
      </c>
      <c r="K368" s="4">
        <f>SUBTOTAL(109,Tableau6[MONTANT HT])</f>
        <v>2221090705.9830503</v>
      </c>
      <c r="L368" s="4">
        <f>SUBTOTAL(109,Tableau6[ACOMPTE SUR HT])</f>
        <v>0</v>
      </c>
      <c r="M368" s="4">
        <f>SUBTOTAL(109,Tableau6[TVA])</f>
        <v>368998112.69694912</v>
      </c>
      <c r="N368" s="4">
        <f>SUBTOTAL(109,Tableau6[MONTANT TTC])</f>
        <v>2590088818.6800003</v>
      </c>
      <c r="O368" s="4">
        <f>SUBTOTAL(109,Tableau6[ACOMPTE SUR TTC])</f>
        <v>177500</v>
      </c>
      <c r="P368" s="4">
        <f>SUBTOTAL(109,Tableau6[NET A PAYER])</f>
        <v>2589911320</v>
      </c>
      <c r="R368" s="4">
        <f>SUBTOTAL(109,Tableau6[MONTANT BC HT])</f>
        <v>2274468095.8474574</v>
      </c>
      <c r="W368" s="19">
        <f>SUBTOTAL(109,Tableau6[MONTANT PAYE])</f>
        <v>2313122506.4000001</v>
      </c>
      <c r="Y368" s="19">
        <f>SUBTOTAL(109,Tableau6[SOLDE SUR FACTURE])</f>
        <v>276788813.60000002</v>
      </c>
      <c r="Z368"/>
    </row>
  </sheetData>
  <phoneticPr fontId="9" type="noConversion"/>
  <dataValidations count="6">
    <dataValidation type="list" allowBlank="1" showInputMessage="1" showErrorMessage="1" sqref="E369:E1048576" xr:uid="{00000000-0002-0000-0400-000000000000}">
      <formula1>Nom_TClient</formula1>
    </dataValidation>
    <dataValidation type="list" allowBlank="1" showInputMessage="1" showErrorMessage="1" sqref="Q5:Q367" xr:uid="{00000000-0002-0000-0400-000002000000}">
      <formula1>ID_BC_UNIQUE</formula1>
    </dataValidation>
    <dataValidation type="list" allowBlank="1" showInputMessage="1" showErrorMessage="1" sqref="A5:A367" xr:uid="{00000000-0002-0000-0400-000003000000}">
      <formula1>ENTITE</formula1>
    </dataValidation>
    <dataValidation type="list" allowBlank="1" showInputMessage="1" showErrorMessage="1" sqref="H5:H367" xr:uid="{8C84BB77-C8D8-45C9-A430-952FAB4B4000}">
      <formula1>"TVAF,TVANF"</formula1>
    </dataValidation>
    <dataValidation type="list" allowBlank="1" showInputMessage="1" showErrorMessage="1" sqref="E5:E367" xr:uid="{1C28AF10-236B-44F3-9722-81836DE97F9A}">
      <formula1>NOM_CLIENT</formula1>
    </dataValidation>
    <dataValidation type="list" allowBlank="1" showInputMessage="1" showErrorMessage="1" sqref="T369:V1048576" xr:uid="{00000000-0002-0000-0400-000001000000}">
      <formula1>"OK,NO"</formula1>
    </dataValidation>
  </dataValidations>
  <printOptions horizontalCentered="1"/>
  <pageMargins left="0.31496062992125984" right="0.31496062992125984" top="0.74803149606299213" bottom="0.74803149606299213" header="0.31496062992125984" footer="0.31496062992125984"/>
  <pageSetup scale="34" fitToHeight="0" orientation="landscape" blackAndWhite="1" r:id="rId1"/>
  <headerFooter>
    <oddHeader>&amp;R18/09/2024</oddHeader>
    <oddFooter>&amp;CSERVICE COMPTABILITE&amp;R&amp;P/&amp;N</oddFooter>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FFFF"/>
    <pageSetUpPr fitToPage="1"/>
  </sheetPr>
  <dimension ref="A1:XFA384"/>
  <sheetViews>
    <sheetView topLeftCell="H125" workbookViewId="0">
      <selection activeCell="N309" sqref="N309"/>
    </sheetView>
  </sheetViews>
  <sheetFormatPr baseColWidth="10" defaultRowHeight="10.199999999999999" x14ac:dyDescent="0.2"/>
  <cols>
    <col min="1" max="1" width="14.25" customWidth="1"/>
    <col min="2" max="2" width="22.875" bestFit="1" customWidth="1"/>
    <col min="3" max="3" width="14.25" customWidth="1"/>
    <col min="4" max="4" width="17.375" customWidth="1"/>
    <col min="5" max="5" width="17.75" style="262" bestFit="1" customWidth="1"/>
    <col min="6" max="6" width="24" bestFit="1" customWidth="1"/>
    <col min="7" max="7" width="15.25" customWidth="1"/>
    <col min="8" max="8" width="14.5" customWidth="1"/>
    <col min="9" max="9" width="16.875" style="18" customWidth="1"/>
    <col min="10" max="10" width="26.375" customWidth="1"/>
    <col min="11" max="11" width="18.375" customWidth="1"/>
    <col min="12" max="12" width="15.875" customWidth="1"/>
    <col min="13" max="13" width="14.5" bestFit="1" customWidth="1"/>
    <col min="14" max="14" width="54.875" customWidth="1"/>
    <col min="15" max="15" width="36.125" bestFit="1" customWidth="1"/>
    <col min="16" max="16" width="21.375" bestFit="1" customWidth="1"/>
    <col min="17" max="17" width="11" customWidth="1"/>
    <col min="18" max="19" width="20.25" style="6" customWidth="1"/>
    <col min="21" max="21" width="27.875" customWidth="1"/>
    <col min="22" max="22" width="22.5" bestFit="1" customWidth="1"/>
    <col min="23" max="23" width="24.5" customWidth="1"/>
    <col min="25" max="25" width="29.875" style="70" bestFit="1" customWidth="1"/>
    <col min="26" max="26" width="18.625" bestFit="1" customWidth="1"/>
    <col min="27" max="27" width="24.875" style="3" bestFit="1" customWidth="1"/>
    <col min="28" max="28" width="13" bestFit="1" customWidth="1"/>
    <col min="29" max="29" width="22.875" bestFit="1" customWidth="1"/>
    <col min="30" max="31" width="22.875" customWidth="1"/>
    <col min="32" max="32" width="8.5" style="70" customWidth="1"/>
    <col min="33" max="33" width="14.75" style="70" bestFit="1" customWidth="1"/>
    <col min="34" max="34" width="28.75" customWidth="1"/>
    <col min="35" max="35" width="22.625" customWidth="1"/>
  </cols>
  <sheetData>
    <row r="1" spans="1:33" s="67" customFormat="1" ht="16.2" x14ac:dyDescent="0.3">
      <c r="A1" s="67" t="str">
        <f ca="1">+UPPER(MID(CELL("nomfichier",A1),FIND("]",CELL("nomfichier",A1))+1,20)&amp;" "&amp;YEAR('CLIENTS-CREANCES'!$N$1))</f>
        <v>REGLEMENT 2025</v>
      </c>
      <c r="E1" s="263"/>
      <c r="F1" s="66"/>
      <c r="H1" s="68"/>
      <c r="L1" s="66"/>
      <c r="N1" s="69"/>
      <c r="T1" s="473"/>
      <c r="U1" s="473" t="s">
        <v>78</v>
      </c>
    </row>
    <row r="2" spans="1:33" x14ac:dyDescent="0.2">
      <c r="F2" s="18"/>
      <c r="H2" s="6"/>
      <c r="I2"/>
      <c r="L2" s="18"/>
      <c r="N2" s="3"/>
      <c r="R2"/>
      <c r="S2"/>
      <c r="T2" s="70"/>
      <c r="U2" s="70"/>
      <c r="Y2"/>
      <c r="AA2"/>
      <c r="AF2"/>
      <c r="AG2"/>
    </row>
    <row r="3" spans="1:33" x14ac:dyDescent="0.2">
      <c r="A3" t="s">
        <v>57</v>
      </c>
      <c r="B3" t="s">
        <v>7</v>
      </c>
      <c r="C3" t="s">
        <v>62</v>
      </c>
      <c r="D3" s="6" t="s">
        <v>82</v>
      </c>
      <c r="E3" s="262" t="s">
        <v>47</v>
      </c>
      <c r="F3" s="18" t="s">
        <v>152</v>
      </c>
      <c r="G3" t="s">
        <v>4</v>
      </c>
      <c r="H3" s="6" t="s">
        <v>5</v>
      </c>
      <c r="I3" t="s">
        <v>3</v>
      </c>
      <c r="J3" t="s">
        <v>6</v>
      </c>
      <c r="K3" t="s">
        <v>231</v>
      </c>
      <c r="L3" s="18" t="s">
        <v>76</v>
      </c>
      <c r="M3" t="s">
        <v>12</v>
      </c>
      <c r="N3" s="249" t="s">
        <v>26</v>
      </c>
      <c r="O3" t="s">
        <v>252</v>
      </c>
      <c r="P3" t="s">
        <v>15</v>
      </c>
      <c r="Q3" s="250" t="s">
        <v>96</v>
      </c>
      <c r="R3" s="250" t="s">
        <v>330</v>
      </c>
      <c r="S3"/>
      <c r="T3" s="70" t="s">
        <v>57</v>
      </c>
      <c r="U3" s="70" t="s">
        <v>76</v>
      </c>
      <c r="V3" t="s">
        <v>77</v>
      </c>
      <c r="Y3"/>
      <c r="AA3"/>
      <c r="AF3"/>
      <c r="AG3"/>
    </row>
    <row r="4" spans="1:33" ht="10.050000000000001" customHeight="1" x14ac:dyDescent="0.2">
      <c r="A4" t="s">
        <v>100</v>
      </c>
      <c r="B4" t="s">
        <v>138</v>
      </c>
      <c r="C4" t="s">
        <v>60</v>
      </c>
      <c r="D4" s="58" t="s">
        <v>84</v>
      </c>
      <c r="E4" s="264">
        <v>47382930</v>
      </c>
      <c r="F4" s="18" t="s">
        <v>161</v>
      </c>
      <c r="G4" s="6" t="s">
        <v>157</v>
      </c>
      <c r="H4" s="100" t="s">
        <v>233</v>
      </c>
      <c r="I4" s="224">
        <v>45667</v>
      </c>
      <c r="J4" t="s">
        <v>17</v>
      </c>
      <c r="K4" s="3">
        <v>45670</v>
      </c>
      <c r="L4" s="18" t="s">
        <v>10</v>
      </c>
      <c r="M4" s="6" t="s">
        <v>660</v>
      </c>
      <c r="N4" s="3" t="str">
        <f>IFERROR(INDEX(Tableau6[],MATCH(Tableau3[[#This Row],[FACTURE]],Tableau6[NUM DE FACTURE],0),4),"")</f>
        <v/>
      </c>
      <c r="O4" t="str">
        <f>IF(Tableau3[[#This Row],[CLIENTS]]="","",CONCATENATE(Tableau3[[#This Row],[MODE ]]," ",Tableau3[[#This Row],[ETS PAYEUR]]," ","F/",Tableau3[[#This Row],[FACTURE]]))</f>
        <v>CHEQUE BGFIBANK F/160 EXO24</v>
      </c>
      <c r="P4" t="s">
        <v>639</v>
      </c>
      <c r="Q4">
        <f>+ROW()-ROW(Tableau3[[#Headers],[N° LIGNE_RF]])</f>
        <v>1</v>
      </c>
      <c r="R4" s="253">
        <f>IF(Tableau3[[#This Row],[REFERENCE ]]="","",MATCH(Tableau3[[#This Row],[REFERENCE ]],Tableau3[[REFERENCE ]],0))</f>
        <v>1</v>
      </c>
      <c r="S4"/>
      <c r="T4" s="70" t="s">
        <v>100</v>
      </c>
      <c r="U4" s="70" t="s">
        <v>10</v>
      </c>
      <c r="V4" s="70">
        <f>+SUMIFS(Tableau3[MONTANT TTC],Tableau3[ENTITE],Tableau13[[#This Row],[ENTITE]],Tableau3[DOMICILIATION PAIEMENT],Tableau13[[#This Row],[DOMICILIATION PAIEMENT]])</f>
        <v>2511863652</v>
      </c>
      <c r="Y4"/>
      <c r="AA4"/>
      <c r="AF4"/>
      <c r="AG4"/>
    </row>
    <row r="5" spans="1:33" ht="10.050000000000001" customHeight="1" x14ac:dyDescent="0.2">
      <c r="A5" t="s">
        <v>100</v>
      </c>
      <c r="B5" t="s">
        <v>138</v>
      </c>
      <c r="C5" t="s">
        <v>60</v>
      </c>
      <c r="D5" s="58" t="s">
        <v>84</v>
      </c>
      <c r="E5" s="264">
        <v>8884220</v>
      </c>
      <c r="F5" s="18" t="s">
        <v>155</v>
      </c>
      <c r="G5" s="6" t="s">
        <v>157</v>
      </c>
      <c r="H5" s="100" t="s">
        <v>233</v>
      </c>
      <c r="I5" s="224">
        <v>45667</v>
      </c>
      <c r="J5" t="s">
        <v>17</v>
      </c>
      <c r="K5" s="3">
        <v>45670</v>
      </c>
      <c r="L5" s="18" t="s">
        <v>10</v>
      </c>
      <c r="M5" s="6" t="s">
        <v>661</v>
      </c>
      <c r="N5" s="3" t="str">
        <f>IFERROR(INDEX(Tableau6[],MATCH(Tableau3[[#This Row],[FACTURE]],Tableau6[NUM DE FACTURE],0),4),"")</f>
        <v/>
      </c>
      <c r="O5" t="str">
        <f>IF(Tableau3[[#This Row],[CLIENTS]]="","",CONCATENATE(Tableau3[[#This Row],[MODE ]]," ",Tableau3[[#This Row],[ETS PAYEUR]]," ","F/",Tableau3[[#This Row],[FACTURE]]))</f>
        <v>CHEQUE BGFIBANK F/182 EXO24</v>
      </c>
      <c r="P5" t="s">
        <v>640</v>
      </c>
      <c r="Q5">
        <f>+ROW()-ROW(Tableau3[[#Headers],[N° LIGNE_RF]])</f>
        <v>2</v>
      </c>
      <c r="R5" s="6">
        <f>IF(Tableau3[[#This Row],[REFERENCE ]]="","",MATCH(Tableau3[[#This Row],[REFERENCE ]],Tableau3[[REFERENCE ]],0))</f>
        <v>1</v>
      </c>
      <c r="S5"/>
      <c r="T5" s="70"/>
      <c r="U5" s="70"/>
      <c r="V5" s="70">
        <f>+SUMIFS(Tableau3[MONTANT TTC],Tableau3[ENTITE],Tableau13[[#This Row],[ENTITE]],Tableau3[DOMICILIATION PAIEMENT],Tableau13[[#This Row],[DOMICILIATION PAIEMENT]])</f>
        <v>0</v>
      </c>
      <c r="Y5"/>
      <c r="AA5"/>
      <c r="AF5"/>
      <c r="AG5"/>
    </row>
    <row r="6" spans="1:33" ht="10.050000000000001" customHeight="1" x14ac:dyDescent="0.2">
      <c r="A6" t="s">
        <v>100</v>
      </c>
      <c r="B6" t="s">
        <v>138</v>
      </c>
      <c r="C6" t="s">
        <v>60</v>
      </c>
      <c r="D6" s="58" t="s">
        <v>84</v>
      </c>
      <c r="E6" s="264">
        <v>4885000</v>
      </c>
      <c r="F6" s="18" t="s">
        <v>234</v>
      </c>
      <c r="G6" s="6" t="s">
        <v>157</v>
      </c>
      <c r="H6" s="100" t="s">
        <v>233</v>
      </c>
      <c r="I6" s="224">
        <v>45667</v>
      </c>
      <c r="J6" t="s">
        <v>17</v>
      </c>
      <c r="K6" s="3">
        <v>45670</v>
      </c>
      <c r="L6" s="18" t="s">
        <v>10</v>
      </c>
      <c r="M6" s="6" t="s">
        <v>662</v>
      </c>
      <c r="N6" s="3" t="str">
        <f>IFERROR(INDEX(Tableau6[],MATCH(Tableau3[[#This Row],[FACTURE]],Tableau6[NUM DE FACTURE],0),4),"")</f>
        <v/>
      </c>
      <c r="O6" t="str">
        <f>IF(Tableau3[[#This Row],[CLIENTS]]="","",CONCATENATE(Tableau3[[#This Row],[MODE ]]," ",Tableau3[[#This Row],[ETS PAYEUR]]," ","F/",Tableau3[[#This Row],[FACTURE]]))</f>
        <v>CHEQUE BGFIBANK F/184 EXO24</v>
      </c>
      <c r="P6" t="s">
        <v>641</v>
      </c>
      <c r="Q6">
        <f>+ROW()-ROW(Tableau3[[#Headers],[N° LIGNE_RF]])</f>
        <v>3</v>
      </c>
      <c r="R6" s="6">
        <f>IF(Tableau3[[#This Row],[REFERENCE ]]="","",MATCH(Tableau3[[#This Row],[REFERENCE ]],Tableau3[[REFERENCE ]],0))</f>
        <v>1</v>
      </c>
      <c r="S6"/>
      <c r="T6" s="70"/>
      <c r="U6" s="70"/>
      <c r="V6" s="70">
        <f>+SUMIFS(Tableau3[MONTANT TTC],Tableau3[ENTITE],Tableau13[[#This Row],[ENTITE]],Tableau3[DOMICILIATION PAIEMENT],Tableau13[[#This Row],[DOMICILIATION PAIEMENT]])</f>
        <v>0</v>
      </c>
      <c r="Y6"/>
      <c r="AA6"/>
      <c r="AF6"/>
      <c r="AG6"/>
    </row>
    <row r="7" spans="1:33" ht="10.050000000000001" customHeight="1" x14ac:dyDescent="0.2">
      <c r="A7" t="s">
        <v>100</v>
      </c>
      <c r="B7" t="s">
        <v>138</v>
      </c>
      <c r="C7" t="s">
        <v>60</v>
      </c>
      <c r="D7" s="58" t="s">
        <v>84</v>
      </c>
      <c r="E7" s="264">
        <v>1368800</v>
      </c>
      <c r="F7" s="18" t="s">
        <v>235</v>
      </c>
      <c r="G7" s="6" t="s">
        <v>157</v>
      </c>
      <c r="H7" s="100" t="s">
        <v>233</v>
      </c>
      <c r="I7" s="224">
        <v>45667</v>
      </c>
      <c r="J7" t="s">
        <v>17</v>
      </c>
      <c r="K7" s="3">
        <v>45670</v>
      </c>
      <c r="L7" s="18" t="s">
        <v>10</v>
      </c>
      <c r="M7" s="6" t="s">
        <v>663</v>
      </c>
      <c r="N7" s="3" t="str">
        <f>IFERROR(INDEX(Tableau6[],MATCH(Tableau3[[#This Row],[FACTURE]],Tableau6[NUM DE FACTURE],0),4),"")</f>
        <v/>
      </c>
      <c r="O7" t="str">
        <f>IF(Tableau3[[#This Row],[CLIENTS]]="","",CONCATENATE(Tableau3[[#This Row],[MODE ]]," ",Tableau3[[#This Row],[ETS PAYEUR]]," ","F/",Tableau3[[#This Row],[FACTURE]]))</f>
        <v>CHEQUE BGFIBANK F/185 EXO24</v>
      </c>
      <c r="P7" t="s">
        <v>642</v>
      </c>
      <c r="Q7">
        <f>+ROW()-ROW(Tableau3[[#Headers],[N° LIGNE_RF]])</f>
        <v>4</v>
      </c>
      <c r="R7" s="6">
        <f>IF(Tableau3[[#This Row],[REFERENCE ]]="","",MATCH(Tableau3[[#This Row],[REFERENCE ]],Tableau3[[REFERENCE ]],0))</f>
        <v>1</v>
      </c>
      <c r="S7"/>
      <c r="T7" s="70"/>
      <c r="U7" s="70"/>
      <c r="V7" s="70">
        <f>+SUMIFS(Tableau3[MONTANT TTC],Tableau3[ENTITE],Tableau13[[#This Row],[ENTITE]],Tableau3[DOMICILIATION PAIEMENT],Tableau13[[#This Row],[DOMICILIATION PAIEMENT]])</f>
        <v>0</v>
      </c>
      <c r="Y7"/>
      <c r="AA7"/>
      <c r="AF7"/>
      <c r="AG7"/>
    </row>
    <row r="8" spans="1:33" ht="10.050000000000001" customHeight="1" x14ac:dyDescent="0.2">
      <c r="A8" t="s">
        <v>100</v>
      </c>
      <c r="B8" t="s">
        <v>138</v>
      </c>
      <c r="C8" t="s">
        <v>60</v>
      </c>
      <c r="D8" s="58" t="s">
        <v>84</v>
      </c>
      <c r="E8" s="264">
        <v>11000000</v>
      </c>
      <c r="F8" s="18" t="s">
        <v>234</v>
      </c>
      <c r="G8" s="6" t="s">
        <v>157</v>
      </c>
      <c r="H8" s="100" t="s">
        <v>233</v>
      </c>
      <c r="I8" s="224">
        <v>45667</v>
      </c>
      <c r="J8" t="s">
        <v>17</v>
      </c>
      <c r="K8" s="3">
        <v>45670</v>
      </c>
      <c r="L8" s="18" t="s">
        <v>10</v>
      </c>
      <c r="M8" s="6" t="s">
        <v>664</v>
      </c>
      <c r="N8" s="3" t="str">
        <f>IFERROR(INDEX(Tableau6[],MATCH(Tableau3[[#This Row],[FACTURE]],Tableau6[NUM DE FACTURE],0),4),"")</f>
        <v/>
      </c>
      <c r="O8" t="str">
        <f>IF(Tableau3[[#This Row],[CLIENTS]]="","",CONCATENATE(Tableau3[[#This Row],[MODE ]]," ",Tableau3[[#This Row],[ETS PAYEUR]]," ","F/",Tableau3[[#This Row],[FACTURE]]))</f>
        <v>CHEQUE BGFIBANK F/186 EXO24</v>
      </c>
      <c r="P8" t="s">
        <v>643</v>
      </c>
      <c r="Q8">
        <f>+ROW()-ROW(Tableau3[[#Headers],[N° LIGNE_RF]])</f>
        <v>5</v>
      </c>
      <c r="R8" s="6">
        <f>IF(Tableau3[[#This Row],[REFERENCE ]]="","",MATCH(Tableau3[[#This Row],[REFERENCE ]],Tableau3[[REFERENCE ]],0))</f>
        <v>1</v>
      </c>
      <c r="S8"/>
      <c r="T8" s="70"/>
      <c r="U8" s="70"/>
      <c r="V8" s="70">
        <f>+SUMIFS(Tableau3[MONTANT TTC],Tableau3[ENTITE],Tableau13[[#This Row],[ENTITE]],Tableau3[DOMICILIATION PAIEMENT],Tableau13[[#This Row],[DOMICILIATION PAIEMENT]])</f>
        <v>0</v>
      </c>
      <c r="Y8"/>
      <c r="AA8"/>
      <c r="AF8"/>
      <c r="AG8"/>
    </row>
    <row r="9" spans="1:33" ht="10.050000000000001" customHeight="1" x14ac:dyDescent="0.2">
      <c r="A9" t="s">
        <v>100</v>
      </c>
      <c r="B9" t="s">
        <v>138</v>
      </c>
      <c r="C9" t="s">
        <v>60</v>
      </c>
      <c r="D9" s="58" t="s">
        <v>84</v>
      </c>
      <c r="E9" s="265">
        <v>7021000</v>
      </c>
      <c r="F9" s="18" t="s">
        <v>234</v>
      </c>
      <c r="G9" s="6" t="s">
        <v>157</v>
      </c>
      <c r="H9" s="100" t="s">
        <v>233</v>
      </c>
      <c r="I9" s="224">
        <v>45667</v>
      </c>
      <c r="J9" t="s">
        <v>17</v>
      </c>
      <c r="K9" s="3">
        <v>45670</v>
      </c>
      <c r="L9" s="18" t="s">
        <v>10</v>
      </c>
      <c r="M9" s="6" t="s">
        <v>665</v>
      </c>
      <c r="N9" s="3" t="str">
        <f>IFERROR(INDEX(Tableau6[],MATCH(Tableau3[[#This Row],[FACTURE]],Tableau6[NUM DE FACTURE],0),4),"")</f>
        <v/>
      </c>
      <c r="O9" t="str">
        <f>IF(Tableau3[[#This Row],[CLIENTS]]="","",CONCATENATE(Tableau3[[#This Row],[MODE ]]," ",Tableau3[[#This Row],[ETS PAYEUR]]," ","F/",Tableau3[[#This Row],[FACTURE]]))</f>
        <v>CHEQUE BGFIBANK F/187 EXO24</v>
      </c>
      <c r="P9" t="s">
        <v>644</v>
      </c>
      <c r="Q9">
        <f>+ROW()-ROW(Tableau3[[#Headers],[N° LIGNE_RF]])</f>
        <v>6</v>
      </c>
      <c r="R9" s="6">
        <f>IF(Tableau3[[#This Row],[REFERENCE ]]="","",MATCH(Tableau3[[#This Row],[REFERENCE ]],Tableau3[[REFERENCE ]],0))</f>
        <v>1</v>
      </c>
      <c r="S9"/>
      <c r="T9" s="70"/>
      <c r="U9" s="70"/>
      <c r="V9" s="70">
        <f>+SUMIFS(Tableau3[MONTANT TTC],Tableau3[ENTITE],Tableau13[[#This Row],[ENTITE]],Tableau3[DOMICILIATION PAIEMENT],Tableau13[[#This Row],[DOMICILIATION PAIEMENT]])</f>
        <v>0</v>
      </c>
      <c r="Y9"/>
      <c r="AA9"/>
      <c r="AF9"/>
      <c r="AG9"/>
    </row>
    <row r="10" spans="1:33" ht="10.050000000000001" customHeight="1" x14ac:dyDescent="0.2">
      <c r="A10" t="s">
        <v>100</v>
      </c>
      <c r="B10" t="s">
        <v>138</v>
      </c>
      <c r="C10" t="s">
        <v>60</v>
      </c>
      <c r="D10" s="58" t="s">
        <v>84</v>
      </c>
      <c r="E10" s="265">
        <v>2065000</v>
      </c>
      <c r="F10" s="18" t="s">
        <v>237</v>
      </c>
      <c r="G10" s="6" t="s">
        <v>157</v>
      </c>
      <c r="H10" s="100" t="s">
        <v>236</v>
      </c>
      <c r="I10" s="224">
        <v>45667</v>
      </c>
      <c r="J10" t="s">
        <v>17</v>
      </c>
      <c r="K10" s="3">
        <v>45670</v>
      </c>
      <c r="L10" s="18" t="s">
        <v>10</v>
      </c>
      <c r="M10" s="253" t="s">
        <v>666</v>
      </c>
      <c r="N10" s="3" t="str">
        <f>IFERROR(INDEX(Tableau6[],MATCH(Tableau3[[#This Row],[FACTURE]],Tableau6[NUM DE FACTURE],0),4),"")</f>
        <v/>
      </c>
      <c r="O10" t="str">
        <f>IF(Tableau3[[#This Row],[CLIENTS]]="","",CONCATENATE(Tableau3[[#This Row],[MODE ]]," ",Tableau3[[#This Row],[ETS PAYEUR]]," ","F/",Tableau3[[#This Row],[FACTURE]]))</f>
        <v>CHEQUE BGFIBANK F/151 EXO24</v>
      </c>
      <c r="P10" t="s">
        <v>638</v>
      </c>
      <c r="Q10">
        <f>+ROW()-ROW(Tableau3[[#Headers],[N° LIGNE_RF]])</f>
        <v>7</v>
      </c>
      <c r="R10" s="6">
        <f>IF(Tableau3[[#This Row],[REFERENCE ]]="","",MATCH(Tableau3[[#This Row],[REFERENCE ]],Tableau3[[REFERENCE ]],0))</f>
        <v>7</v>
      </c>
      <c r="S10"/>
      <c r="T10" s="70"/>
      <c r="U10" s="70"/>
      <c r="V10" s="70">
        <f>+SUMIFS(Tableau3[MONTANT TTC],Tableau3[ENTITE],Tableau13[[#This Row],[ENTITE]],Tableau3[DOMICILIATION PAIEMENT],Tableau13[[#This Row],[DOMICILIATION PAIEMENT]])</f>
        <v>0</v>
      </c>
      <c r="Y10"/>
      <c r="AA10"/>
      <c r="AF10"/>
      <c r="AG10"/>
    </row>
    <row r="11" spans="1:33" ht="10.050000000000001" customHeight="1" x14ac:dyDescent="0.2">
      <c r="A11" t="s">
        <v>100</v>
      </c>
      <c r="B11" t="s">
        <v>138</v>
      </c>
      <c r="C11" t="s">
        <v>60</v>
      </c>
      <c r="D11" s="58" t="s">
        <v>84</v>
      </c>
      <c r="E11" s="265">
        <v>22060100</v>
      </c>
      <c r="F11" s="18" t="s">
        <v>156</v>
      </c>
      <c r="G11" s="6" t="s">
        <v>157</v>
      </c>
      <c r="H11" s="100" t="s">
        <v>236</v>
      </c>
      <c r="I11" s="224">
        <v>45667</v>
      </c>
      <c r="J11" t="s">
        <v>17</v>
      </c>
      <c r="K11" s="3">
        <v>45670</v>
      </c>
      <c r="L11" s="18" t="s">
        <v>10</v>
      </c>
      <c r="M11" s="6" t="s">
        <v>667</v>
      </c>
      <c r="N11" s="3" t="str">
        <f>IFERROR(INDEX(Tableau6[],MATCH(Tableau3[[#This Row],[FACTURE]],Tableau6[NUM DE FACTURE],0),4),"")</f>
        <v/>
      </c>
      <c r="O11" t="str">
        <f>IF(Tableau3[[#This Row],[CLIENTS]]="","",CONCATENATE(Tableau3[[#This Row],[MODE ]]," ",Tableau3[[#This Row],[ETS PAYEUR]]," ","F/",Tableau3[[#This Row],[FACTURE]]))</f>
        <v>CHEQUE BGFIBANK F/152 EXO24</v>
      </c>
      <c r="P11" t="s">
        <v>638</v>
      </c>
      <c r="Q11">
        <f>+ROW()-ROW(Tableau3[[#Headers],[N° LIGNE_RF]])</f>
        <v>8</v>
      </c>
      <c r="R11" s="6">
        <f>IF(Tableau3[[#This Row],[REFERENCE ]]="","",MATCH(Tableau3[[#This Row],[REFERENCE ]],Tableau3[[REFERENCE ]],0))</f>
        <v>7</v>
      </c>
      <c r="S11"/>
      <c r="T11" s="70"/>
      <c r="U11" s="70"/>
      <c r="V11" s="70">
        <f>+SUMIFS(Tableau3[MONTANT TTC],Tableau3[ENTITE],Tableau13[[#This Row],[ENTITE]],Tableau3[DOMICILIATION PAIEMENT],Tableau13[[#This Row],[DOMICILIATION PAIEMENT]])</f>
        <v>0</v>
      </c>
      <c r="Y11"/>
      <c r="AA11"/>
      <c r="AF11"/>
      <c r="AG11"/>
    </row>
    <row r="12" spans="1:33" ht="10.050000000000001" customHeight="1" x14ac:dyDescent="0.2">
      <c r="A12" t="s">
        <v>100</v>
      </c>
      <c r="B12" t="s">
        <v>138</v>
      </c>
      <c r="C12" t="s">
        <v>60</v>
      </c>
      <c r="D12" s="58" t="s">
        <v>84</v>
      </c>
      <c r="E12" s="265">
        <v>8920800</v>
      </c>
      <c r="F12" s="18" t="s">
        <v>156</v>
      </c>
      <c r="G12" s="6" t="s">
        <v>157</v>
      </c>
      <c r="H12" s="100" t="s">
        <v>236</v>
      </c>
      <c r="I12" s="224">
        <v>45667</v>
      </c>
      <c r="J12" t="s">
        <v>17</v>
      </c>
      <c r="K12" s="3">
        <v>45670</v>
      </c>
      <c r="L12" s="18" t="s">
        <v>10</v>
      </c>
      <c r="M12" s="6" t="s">
        <v>668</v>
      </c>
      <c r="N12" s="3" t="str">
        <f>IFERROR(INDEX(Tableau6[],MATCH(Tableau3[[#This Row],[FACTURE]],Tableau6[NUM DE FACTURE],0),4),"")</f>
        <v/>
      </c>
      <c r="O12" t="str">
        <f>IF(Tableau3[[#This Row],[CLIENTS]]="","",CONCATENATE(Tableau3[[#This Row],[MODE ]]," ",Tableau3[[#This Row],[ETS PAYEUR]]," ","F/",Tableau3[[#This Row],[FACTURE]]))</f>
        <v>CHEQUE BGFIBANK F/153 EXO24</v>
      </c>
      <c r="P12" t="s">
        <v>638</v>
      </c>
      <c r="Q12">
        <f>+ROW()-ROW(Tableau3[[#Headers],[N° LIGNE_RF]])</f>
        <v>9</v>
      </c>
      <c r="R12" s="6">
        <f>IF(Tableau3[[#This Row],[REFERENCE ]]="","",MATCH(Tableau3[[#This Row],[REFERENCE ]],Tableau3[[REFERENCE ]],0))</f>
        <v>7</v>
      </c>
      <c r="S12"/>
      <c r="T12" s="70"/>
      <c r="U12" s="70"/>
      <c r="V12" s="70">
        <f>+SUMIFS(Tableau3[MONTANT TTC],Tableau3[ENTITE],Tableau13[[#This Row],[ENTITE]],Tableau3[DOMICILIATION PAIEMENT],Tableau13[[#This Row],[DOMICILIATION PAIEMENT]])</f>
        <v>0</v>
      </c>
      <c r="Y12"/>
      <c r="AA12"/>
      <c r="AF12"/>
      <c r="AG12"/>
    </row>
    <row r="13" spans="1:33" ht="10.050000000000001" customHeight="1" x14ac:dyDescent="0.2">
      <c r="A13" t="s">
        <v>100</v>
      </c>
      <c r="B13" t="s">
        <v>138</v>
      </c>
      <c r="C13" t="s">
        <v>60</v>
      </c>
      <c r="D13" s="58" t="s">
        <v>84</v>
      </c>
      <c r="E13" s="264">
        <v>7245200</v>
      </c>
      <c r="F13" s="18" t="s">
        <v>156</v>
      </c>
      <c r="G13" s="6" t="s">
        <v>157</v>
      </c>
      <c r="H13" s="100" t="s">
        <v>236</v>
      </c>
      <c r="I13" s="224">
        <v>45667</v>
      </c>
      <c r="J13" t="s">
        <v>17</v>
      </c>
      <c r="K13" s="3">
        <v>45670</v>
      </c>
      <c r="L13" s="18" t="s">
        <v>10</v>
      </c>
      <c r="M13" s="6" t="s">
        <v>669</v>
      </c>
      <c r="N13" s="3" t="str">
        <f>IFERROR(INDEX(Tableau6[],MATCH(Tableau3[[#This Row],[FACTURE]],Tableau6[NUM DE FACTURE],0),4),"")</f>
        <v/>
      </c>
      <c r="O13" t="str">
        <f>IF(Tableau3[[#This Row],[CLIENTS]]="","",CONCATENATE(Tableau3[[#This Row],[MODE ]]," ",Tableau3[[#This Row],[ETS PAYEUR]]," ","F/",Tableau3[[#This Row],[FACTURE]]))</f>
        <v>CHEQUE BGFIBANK F/154 EXO24</v>
      </c>
      <c r="P13" t="s">
        <v>638</v>
      </c>
      <c r="Q13">
        <f>+ROW()-ROW(Tableau3[[#Headers],[N° LIGNE_RF]])</f>
        <v>10</v>
      </c>
      <c r="R13" s="6">
        <f>IF(Tableau3[[#This Row],[REFERENCE ]]="","",MATCH(Tableau3[[#This Row],[REFERENCE ]],Tableau3[[REFERENCE ]],0))</f>
        <v>7</v>
      </c>
      <c r="S13"/>
      <c r="T13" s="70"/>
      <c r="U13" s="70"/>
      <c r="V13" s="70">
        <f>+SUMIFS(Tableau3[MONTANT TTC],Tableau3[ENTITE],Tableau13[[#This Row],[ENTITE]],Tableau3[DOMICILIATION PAIEMENT],Tableau13[[#This Row],[DOMICILIATION PAIEMENT]])</f>
        <v>0</v>
      </c>
      <c r="Y13"/>
      <c r="AA13"/>
      <c r="AF13"/>
      <c r="AG13"/>
    </row>
    <row r="14" spans="1:33" ht="10.050000000000001" customHeight="1" x14ac:dyDescent="0.2">
      <c r="A14" t="s">
        <v>100</v>
      </c>
      <c r="B14" t="s">
        <v>138</v>
      </c>
      <c r="C14" t="s">
        <v>60</v>
      </c>
      <c r="D14" s="58" t="s">
        <v>84</v>
      </c>
      <c r="E14" s="264">
        <v>5764300</v>
      </c>
      <c r="F14" s="18" t="s">
        <v>234</v>
      </c>
      <c r="G14" s="6" t="s">
        <v>157</v>
      </c>
      <c r="H14" s="100" t="s">
        <v>236</v>
      </c>
      <c r="I14" s="224">
        <v>45667</v>
      </c>
      <c r="J14" t="s">
        <v>17</v>
      </c>
      <c r="K14" s="3">
        <v>45670</v>
      </c>
      <c r="L14" s="18" t="s">
        <v>10</v>
      </c>
      <c r="M14" s="6" t="s">
        <v>670</v>
      </c>
      <c r="N14" s="3" t="str">
        <f>IFERROR(INDEX(Tableau6[],MATCH(Tableau3[[#This Row],[FACTURE]],Tableau6[NUM DE FACTURE],0),4),"")</f>
        <v/>
      </c>
      <c r="O14" t="str">
        <f>IF(Tableau3[[#This Row],[CLIENTS]]="","",CONCATENATE(Tableau3[[#This Row],[MODE ]]," ",Tableau3[[#This Row],[ETS PAYEUR]]," ","F/",Tableau3[[#This Row],[FACTURE]]))</f>
        <v>CHEQUE BGFIBANK F/155 EXO24</v>
      </c>
      <c r="P14" t="s">
        <v>638</v>
      </c>
      <c r="Q14">
        <f>+ROW()-ROW(Tableau3[[#Headers],[N° LIGNE_RF]])</f>
        <v>11</v>
      </c>
      <c r="R14" s="6">
        <f>IF(Tableau3[[#This Row],[REFERENCE ]]="","",MATCH(Tableau3[[#This Row],[REFERENCE ]],Tableau3[[REFERENCE ]],0))</f>
        <v>7</v>
      </c>
      <c r="S14"/>
      <c r="T14" s="70"/>
      <c r="U14" s="70"/>
      <c r="V14" s="70">
        <f>+SUMIFS(Tableau3[MONTANT TTC],Tableau3[ENTITE],Tableau13[[#This Row],[ENTITE]],Tableau3[DOMICILIATION PAIEMENT],Tableau13[[#This Row],[DOMICILIATION PAIEMENT]])</f>
        <v>0</v>
      </c>
      <c r="Y14"/>
      <c r="AA14"/>
      <c r="AF14"/>
      <c r="AG14"/>
    </row>
    <row r="15" spans="1:33" ht="10.050000000000001" customHeight="1" x14ac:dyDescent="0.2">
      <c r="A15" t="s">
        <v>100</v>
      </c>
      <c r="B15" t="s">
        <v>138</v>
      </c>
      <c r="C15" t="s">
        <v>60</v>
      </c>
      <c r="D15" s="58" t="s">
        <v>84</v>
      </c>
      <c r="E15" s="264">
        <v>619500</v>
      </c>
      <c r="F15" s="18" t="s">
        <v>161</v>
      </c>
      <c r="G15" s="6" t="s">
        <v>157</v>
      </c>
      <c r="H15" s="100" t="s">
        <v>236</v>
      </c>
      <c r="I15" s="224">
        <v>45667</v>
      </c>
      <c r="J15" t="s">
        <v>17</v>
      </c>
      <c r="K15" s="3">
        <v>45670</v>
      </c>
      <c r="L15" s="18" t="s">
        <v>10</v>
      </c>
      <c r="M15" s="6" t="s">
        <v>671</v>
      </c>
      <c r="N15" s="3" t="str">
        <f>IFERROR(INDEX(Tableau6[],MATCH(Tableau3[[#This Row],[FACTURE]],Tableau6[NUM DE FACTURE],0),4),"")</f>
        <v/>
      </c>
      <c r="O15" t="str">
        <f>IF(Tableau3[[#This Row],[CLIENTS]]="","",CONCATENATE(Tableau3[[#This Row],[MODE ]]," ",Tableau3[[#This Row],[ETS PAYEUR]]," ","F/",Tableau3[[#This Row],[FACTURE]]))</f>
        <v>CHEQUE BGFIBANK F/156 EXO24</v>
      </c>
      <c r="P15" t="s">
        <v>638</v>
      </c>
      <c r="Q15">
        <f>+ROW()-ROW(Tableau3[[#Headers],[N° LIGNE_RF]])</f>
        <v>12</v>
      </c>
      <c r="R15" s="6">
        <f>IF(Tableau3[[#This Row],[REFERENCE ]]="","",MATCH(Tableau3[[#This Row],[REFERENCE ]],Tableau3[[REFERENCE ]],0))</f>
        <v>7</v>
      </c>
      <c r="S15"/>
      <c r="T15" s="70"/>
      <c r="U15" s="70"/>
      <c r="V15" s="70">
        <f>+SUMIFS(Tableau3[MONTANT TTC],Tableau3[ENTITE],Tableau13[[#This Row],[ENTITE]],Tableau3[DOMICILIATION PAIEMENT],Tableau13[[#This Row],[DOMICILIATION PAIEMENT]])</f>
        <v>0</v>
      </c>
      <c r="Y15"/>
      <c r="AA15"/>
      <c r="AF15"/>
      <c r="AG15"/>
    </row>
    <row r="16" spans="1:33" ht="10.050000000000001" customHeight="1" x14ac:dyDescent="0.2">
      <c r="A16" t="s">
        <v>100</v>
      </c>
      <c r="B16" t="s">
        <v>102</v>
      </c>
      <c r="C16" t="s">
        <v>60</v>
      </c>
      <c r="D16" s="58" t="s">
        <v>84</v>
      </c>
      <c r="E16" s="264">
        <v>3610800</v>
      </c>
      <c r="F16" s="18"/>
      <c r="G16" s="6" t="s">
        <v>157</v>
      </c>
      <c r="H16" s="100" t="s">
        <v>242</v>
      </c>
      <c r="I16" s="224">
        <v>45720</v>
      </c>
      <c r="J16" t="s">
        <v>239</v>
      </c>
      <c r="K16" s="3">
        <v>45720</v>
      </c>
      <c r="L16" s="18" t="s">
        <v>16</v>
      </c>
      <c r="M16" s="6">
        <v>255</v>
      </c>
      <c r="N16" s="3">
        <f>IFERROR(INDEX(Tableau6[],MATCH(Tableau3[[#This Row],[FACTURE]],Tableau6[NUM DE FACTURE],0),4),"")</f>
        <v>255</v>
      </c>
      <c r="O16" t="str">
        <f>IF(Tableau3[[#This Row],[CLIENTS]]="","",CONCATENATE(Tableau3[[#This Row],[MODE ]]," ",Tableau3[[#This Row],[ETS PAYEUR]]," ","F/",Tableau3[[#This Row],[FACTURE]]))</f>
        <v>CHEQUE BMS-CI F/255</v>
      </c>
      <c r="Q16">
        <f>+ROW()-ROW(Tableau3[[#Headers],[N° LIGNE_RF]])</f>
        <v>13</v>
      </c>
      <c r="R16" s="6">
        <f>IF(Tableau3[[#This Row],[REFERENCE ]]="","",MATCH(Tableau3[[#This Row],[REFERENCE ]],Tableau3[[REFERENCE ]],0))</f>
        <v>13</v>
      </c>
      <c r="S16"/>
      <c r="T16" s="70"/>
      <c r="U16" s="70"/>
      <c r="V16" s="70">
        <f>+SUMIFS(Tableau3[MONTANT TTC],Tableau3[ENTITE],Tableau13[[#This Row],[ENTITE]],Tableau3[DOMICILIATION PAIEMENT],Tableau13[[#This Row],[DOMICILIATION PAIEMENT]])</f>
        <v>0</v>
      </c>
      <c r="Y16"/>
      <c r="AA16"/>
      <c r="AF16"/>
      <c r="AG16"/>
    </row>
    <row r="17" spans="1:33" ht="10.050000000000001" customHeight="1" x14ac:dyDescent="0.2">
      <c r="A17" t="s">
        <v>100</v>
      </c>
      <c r="B17" t="s">
        <v>102</v>
      </c>
      <c r="C17" t="s">
        <v>60</v>
      </c>
      <c r="D17" s="58" t="s">
        <v>84</v>
      </c>
      <c r="E17" s="264">
        <v>397115</v>
      </c>
      <c r="F17" s="18"/>
      <c r="G17" s="6" t="s">
        <v>157</v>
      </c>
      <c r="H17" s="100" t="s">
        <v>242</v>
      </c>
      <c r="I17" s="224">
        <v>45720</v>
      </c>
      <c r="J17" t="s">
        <v>239</v>
      </c>
      <c r="K17" s="3">
        <v>45720</v>
      </c>
      <c r="L17" s="18" t="s">
        <v>16</v>
      </c>
      <c r="M17" s="6">
        <v>256</v>
      </c>
      <c r="N17" s="3">
        <f>IFERROR(INDEX(Tableau6[],MATCH(Tableau3[[#This Row],[FACTURE]],Tableau6[NUM DE FACTURE],0),4),"")</f>
        <v>256</v>
      </c>
      <c r="O17" t="str">
        <f>IF(Tableau3[[#This Row],[CLIENTS]]="","",CONCATENATE(Tableau3[[#This Row],[MODE ]]," ",Tableau3[[#This Row],[ETS PAYEUR]]," ","F/",Tableau3[[#This Row],[FACTURE]]))</f>
        <v>CHEQUE BMS-CI F/256</v>
      </c>
      <c r="Q17">
        <f>+ROW()-ROW(Tableau3[[#Headers],[N° LIGNE_RF]])</f>
        <v>14</v>
      </c>
      <c r="R17" s="6">
        <f>IF(Tableau3[[#This Row],[REFERENCE ]]="","",MATCH(Tableau3[[#This Row],[REFERENCE ]],Tableau3[[REFERENCE ]],0))</f>
        <v>13</v>
      </c>
      <c r="S17"/>
      <c r="T17" s="70"/>
      <c r="U17" s="70"/>
      <c r="V17" s="70">
        <f>+SUMIFS(Tableau3[MONTANT TTC],Tableau3[ENTITE],Tableau13[[#This Row],[ENTITE]],Tableau3[DOMICILIATION PAIEMENT],Tableau13[[#This Row],[DOMICILIATION PAIEMENT]])</f>
        <v>0</v>
      </c>
      <c r="Y17"/>
      <c r="AA17"/>
      <c r="AF17"/>
      <c r="AG17"/>
    </row>
    <row r="18" spans="1:33" ht="10.050000000000001" customHeight="1" x14ac:dyDescent="0.2">
      <c r="A18" s="409" t="s">
        <v>100</v>
      </c>
      <c r="B18" s="409" t="s">
        <v>138</v>
      </c>
      <c r="C18" s="409" t="s">
        <v>60</v>
      </c>
      <c r="D18" s="410" t="s">
        <v>84</v>
      </c>
      <c r="E18" s="411">
        <v>3168300</v>
      </c>
      <c r="F18" s="412" t="s">
        <v>156</v>
      </c>
      <c r="G18" s="413" t="s">
        <v>157</v>
      </c>
      <c r="H18" s="414" t="s">
        <v>193</v>
      </c>
      <c r="I18" s="415">
        <v>45727</v>
      </c>
      <c r="J18" s="409" t="s">
        <v>17</v>
      </c>
      <c r="K18" s="416">
        <v>45729</v>
      </c>
      <c r="L18" s="412" t="s">
        <v>10</v>
      </c>
      <c r="M18" s="417" t="s">
        <v>647</v>
      </c>
      <c r="N18" s="416" t="str">
        <f>IFERROR(INDEX(Tableau6[],MATCH(Tableau3[[#This Row],[FACTURE]],Tableau6[NUM DE FACTURE],0),4),"")</f>
        <v/>
      </c>
      <c r="O18" s="409" t="str">
        <f>IF(Tableau3[[#This Row],[CLIENTS]]="","",CONCATENATE(Tableau3[[#This Row],[MODE ]]," ",Tableau3[[#This Row],[ETS PAYEUR]]," ","F/",Tableau3[[#This Row],[FACTURE]]))</f>
        <v>CHEQUE BGFIBANK F/197 EXO24</v>
      </c>
      <c r="P18" s="409" t="s">
        <v>636</v>
      </c>
      <c r="Q18" s="409">
        <f>+ROW()-ROW(Tableau3[[#Headers],[N° LIGNE_RF]])</f>
        <v>15</v>
      </c>
      <c r="R18" s="413">
        <f>IF(Tableau3[[#This Row],[REFERENCE ]]="","",MATCH(Tableau3[[#This Row],[REFERENCE ]],Tableau3[[REFERENCE ]],0))</f>
        <v>15</v>
      </c>
      <c r="S18"/>
      <c r="T18" s="70"/>
      <c r="U18" s="70"/>
      <c r="V18" s="70">
        <f>+SUMIFS(Tableau3[MONTANT TTC],Tableau3[ENTITE],Tableau13[[#This Row],[ENTITE]],Tableau3[DOMICILIATION PAIEMENT],Tableau13[[#This Row],[DOMICILIATION PAIEMENT]])</f>
        <v>0</v>
      </c>
      <c r="Y18"/>
      <c r="AA18"/>
      <c r="AF18"/>
      <c r="AG18"/>
    </row>
    <row r="19" spans="1:33" ht="10.050000000000001" customHeight="1" x14ac:dyDescent="0.2">
      <c r="A19" s="409" t="s">
        <v>100</v>
      </c>
      <c r="B19" s="409" t="s">
        <v>138</v>
      </c>
      <c r="C19" s="409" t="s">
        <v>60</v>
      </c>
      <c r="D19" s="410" t="s">
        <v>84</v>
      </c>
      <c r="E19" s="411">
        <v>3315800</v>
      </c>
      <c r="F19" s="412" t="s">
        <v>156</v>
      </c>
      <c r="G19" s="413" t="s">
        <v>157</v>
      </c>
      <c r="H19" s="414" t="s">
        <v>193</v>
      </c>
      <c r="I19" s="415">
        <v>45727</v>
      </c>
      <c r="J19" s="409" t="s">
        <v>17</v>
      </c>
      <c r="K19" s="416">
        <v>45729</v>
      </c>
      <c r="L19" s="412" t="s">
        <v>10</v>
      </c>
      <c r="M19" s="417" t="s">
        <v>648</v>
      </c>
      <c r="N19" s="416" t="str">
        <f>IFERROR(INDEX(Tableau6[],MATCH(Tableau3[[#This Row],[FACTURE]],Tableau6[NUM DE FACTURE],0),4),"")</f>
        <v/>
      </c>
      <c r="O19" s="409" t="str">
        <f>IF(Tableau3[[#This Row],[CLIENTS]]="","",CONCATENATE(Tableau3[[#This Row],[MODE ]]," ",Tableau3[[#This Row],[ETS PAYEUR]]," ","F/",Tableau3[[#This Row],[FACTURE]]))</f>
        <v>CHEQUE BGFIBANK F/198 EXO24</v>
      </c>
      <c r="P19" s="409" t="s">
        <v>636</v>
      </c>
      <c r="Q19" s="409">
        <f>+ROW()-ROW(Tableau3[[#Headers],[N° LIGNE_RF]])</f>
        <v>16</v>
      </c>
      <c r="R19" s="413">
        <f>IF(Tableau3[[#This Row],[REFERENCE ]]="","",MATCH(Tableau3[[#This Row],[REFERENCE ]],Tableau3[[REFERENCE ]],0))</f>
        <v>15</v>
      </c>
      <c r="S19"/>
      <c r="T19" s="474"/>
      <c r="U19" s="474"/>
      <c r="V19" s="70">
        <f>+SUMIFS(Tableau3[MONTANT TTC],Tableau3[ENTITE],Tableau13[[#This Row],[ENTITE]],Tableau3[DOMICILIATION PAIEMENT],Tableau13[[#This Row],[DOMICILIATION PAIEMENT]])</f>
        <v>0</v>
      </c>
      <c r="Y19"/>
      <c r="AA19"/>
      <c r="AF19"/>
      <c r="AG19"/>
    </row>
    <row r="20" spans="1:33" ht="10.050000000000001" customHeight="1" x14ac:dyDescent="0.2">
      <c r="A20" s="409" t="s">
        <v>100</v>
      </c>
      <c r="B20" s="409" t="s">
        <v>138</v>
      </c>
      <c r="C20" s="409" t="s">
        <v>60</v>
      </c>
      <c r="D20" s="410" t="s">
        <v>84</v>
      </c>
      <c r="E20" s="418">
        <v>3510500</v>
      </c>
      <c r="F20" s="419" t="s">
        <v>156</v>
      </c>
      <c r="G20" s="413" t="s">
        <v>157</v>
      </c>
      <c r="H20" s="414" t="s">
        <v>193</v>
      </c>
      <c r="I20" s="415">
        <v>45727</v>
      </c>
      <c r="J20" s="409" t="s">
        <v>17</v>
      </c>
      <c r="K20" s="416">
        <v>45729</v>
      </c>
      <c r="L20" s="412" t="s">
        <v>10</v>
      </c>
      <c r="M20" s="420" t="s">
        <v>649</v>
      </c>
      <c r="N20" s="421" t="str">
        <f>IFERROR(INDEX(Tableau6[],MATCH(Tableau3[[#This Row],[FACTURE]],Tableau6[NUM DE FACTURE],0),4),"")</f>
        <v/>
      </c>
      <c r="O20" s="422" t="str">
        <f>IF(Tableau3[[#This Row],[CLIENTS]]="","",CONCATENATE(Tableau3[[#This Row],[MODE ]]," ",Tableau3[[#This Row],[ETS PAYEUR]]," ","F/",Tableau3[[#This Row],[FACTURE]]))</f>
        <v>CHEQUE BGFIBANK F/199 EXO24</v>
      </c>
      <c r="P20" s="409" t="s">
        <v>637</v>
      </c>
      <c r="Q20" s="409">
        <f>+ROW()-ROW(Tableau3[[#Headers],[N° LIGNE_RF]])</f>
        <v>17</v>
      </c>
      <c r="R20" s="413">
        <f>IF(Tableau3[[#This Row],[REFERENCE ]]="","",MATCH(Tableau3[[#This Row],[REFERENCE ]],Tableau3[[REFERENCE ]],0))</f>
        <v>15</v>
      </c>
      <c r="S20"/>
      <c r="T20" s="109"/>
      <c r="U20" s="109"/>
      <c r="V20" s="19">
        <f>SUBTOTAL(109,Tableau13[MONTANT RECOUVRE])</f>
        <v>2511863652</v>
      </c>
      <c r="Y20"/>
      <c r="AA20"/>
      <c r="AF20"/>
      <c r="AG20"/>
    </row>
    <row r="21" spans="1:33" ht="10.050000000000001" customHeight="1" x14ac:dyDescent="0.2">
      <c r="A21" s="409" t="s">
        <v>100</v>
      </c>
      <c r="B21" s="409" t="s">
        <v>138</v>
      </c>
      <c r="C21" s="409" t="s">
        <v>60</v>
      </c>
      <c r="D21" s="410" t="s">
        <v>84</v>
      </c>
      <c r="E21" s="411">
        <v>3923500</v>
      </c>
      <c r="F21" s="412" t="s">
        <v>192</v>
      </c>
      <c r="G21" s="413" t="s">
        <v>157</v>
      </c>
      <c r="H21" s="414" t="s">
        <v>193</v>
      </c>
      <c r="I21" s="415">
        <v>45727</v>
      </c>
      <c r="J21" s="409" t="s">
        <v>17</v>
      </c>
      <c r="K21" s="416">
        <v>45729</v>
      </c>
      <c r="L21" s="412" t="s">
        <v>10</v>
      </c>
      <c r="M21" s="417" t="s">
        <v>646</v>
      </c>
      <c r="N21" s="416" t="str">
        <f>IFERROR(INDEX(Tableau6[],MATCH(Tableau3[[#This Row],[FACTURE]],Tableau6[NUM DE FACTURE],0),4),"")</f>
        <v/>
      </c>
      <c r="O21" s="409" t="str">
        <f>IF(Tableau3[[#This Row],[CLIENTS]]="","",CONCATENATE(Tableau3[[#This Row],[MODE ]]," ",Tableau3[[#This Row],[ETS PAYEUR]]," ","F/",Tableau3[[#This Row],[FACTURE]]))</f>
        <v>CHEQUE BGFIBANK F/191 EXO24</v>
      </c>
      <c r="P21" s="409" t="s">
        <v>636</v>
      </c>
      <c r="Q21" s="409">
        <f>+ROW()-ROW(Tableau3[[#Headers],[N° LIGNE_RF]])</f>
        <v>18</v>
      </c>
      <c r="R21" s="413">
        <f>IF(Tableau3[[#This Row],[REFERENCE ]]="","",MATCH(Tableau3[[#This Row],[REFERENCE ]],Tableau3[[REFERENCE ]],0))</f>
        <v>15</v>
      </c>
      <c r="S21"/>
      <c r="T21" s="70"/>
      <c r="U21" s="70"/>
      <c r="Y21"/>
      <c r="AA21"/>
      <c r="AF21"/>
      <c r="AG21"/>
    </row>
    <row r="22" spans="1:33" ht="10.050000000000001" customHeight="1" x14ac:dyDescent="0.2">
      <c r="A22" s="409" t="s">
        <v>100</v>
      </c>
      <c r="B22" s="409" t="s">
        <v>138</v>
      </c>
      <c r="C22" s="409" t="s">
        <v>60</v>
      </c>
      <c r="D22" s="410" t="s">
        <v>84</v>
      </c>
      <c r="E22" s="418">
        <v>5546000</v>
      </c>
      <c r="F22" s="419" t="s">
        <v>192</v>
      </c>
      <c r="G22" s="413" t="s">
        <v>157</v>
      </c>
      <c r="H22" s="414" t="s">
        <v>193</v>
      </c>
      <c r="I22" s="415">
        <v>45727</v>
      </c>
      <c r="J22" s="409" t="s">
        <v>17</v>
      </c>
      <c r="K22" s="416">
        <v>45729</v>
      </c>
      <c r="L22" s="412" t="s">
        <v>10</v>
      </c>
      <c r="M22" s="420" t="s">
        <v>650</v>
      </c>
      <c r="N22" s="421" t="str">
        <f>IFERROR(INDEX(Tableau6[],MATCH(Tableau3[[#This Row],[FACTURE]],Tableau6[NUM DE FACTURE],0),4),"")</f>
        <v/>
      </c>
      <c r="O22" s="422" t="str">
        <f>IF(Tableau3[[#This Row],[CLIENTS]]="","",CONCATENATE(Tableau3[[#This Row],[MODE ]]," ",Tableau3[[#This Row],[ETS PAYEUR]]," ","F/",Tableau3[[#This Row],[FACTURE]]))</f>
        <v>CHEQUE BGFIBANK F/195 EXO24</v>
      </c>
      <c r="P22" s="409" t="s">
        <v>636</v>
      </c>
      <c r="Q22" s="409">
        <f>+ROW()-ROW(Tableau3[[#Headers],[N° LIGNE_RF]])</f>
        <v>19</v>
      </c>
      <c r="R22" s="413">
        <f>IF(Tableau3[[#This Row],[REFERENCE ]]="","",MATCH(Tableau3[[#This Row],[REFERENCE ]],Tableau3[[REFERENCE ]],0))</f>
        <v>15</v>
      </c>
      <c r="S22"/>
      <c r="T22" s="70"/>
      <c r="U22" s="70"/>
      <c r="Y22"/>
      <c r="AA22"/>
      <c r="AF22"/>
      <c r="AG22"/>
    </row>
    <row r="23" spans="1:33" ht="10.050000000000001" customHeight="1" x14ac:dyDescent="0.2">
      <c r="A23" s="409" t="s">
        <v>100</v>
      </c>
      <c r="B23" s="409" t="s">
        <v>138</v>
      </c>
      <c r="C23" s="409" t="s">
        <v>60</v>
      </c>
      <c r="D23" s="410" t="s">
        <v>84</v>
      </c>
      <c r="E23" s="418">
        <v>8136100</v>
      </c>
      <c r="F23" s="419" t="s">
        <v>156</v>
      </c>
      <c r="G23" s="413" t="s">
        <v>157</v>
      </c>
      <c r="H23" s="414" t="s">
        <v>193</v>
      </c>
      <c r="I23" s="415">
        <v>45727</v>
      </c>
      <c r="J23" s="409" t="s">
        <v>17</v>
      </c>
      <c r="K23" s="416">
        <v>45729</v>
      </c>
      <c r="L23" s="412" t="s">
        <v>10</v>
      </c>
      <c r="M23" s="420" t="s">
        <v>651</v>
      </c>
      <c r="N23" s="421" t="str">
        <f>IFERROR(INDEX(Tableau6[],MATCH(Tableau3[[#This Row],[FACTURE]],Tableau6[NUM DE FACTURE],0),4),"")</f>
        <v/>
      </c>
      <c r="O23" s="422" t="str">
        <f>IF(Tableau3[[#This Row],[CLIENTS]]="","",CONCATENATE(Tableau3[[#This Row],[MODE ]]," ",Tableau3[[#This Row],[ETS PAYEUR]]," ","F/",Tableau3[[#This Row],[FACTURE]]))</f>
        <v>CHEQUE BGFIBANK F/194 EXO24</v>
      </c>
      <c r="P23" s="409" t="s">
        <v>636</v>
      </c>
      <c r="Q23" s="409">
        <f>+ROW()-ROW(Tableau3[[#Headers],[N° LIGNE_RF]])</f>
        <v>20</v>
      </c>
      <c r="R23" s="413">
        <f>IF(Tableau3[[#This Row],[REFERENCE ]]="","",MATCH(Tableau3[[#This Row],[REFERENCE ]],Tableau3[[REFERENCE ]],0))</f>
        <v>15</v>
      </c>
      <c r="S23"/>
      <c r="T23" s="70"/>
      <c r="U23" s="70"/>
      <c r="Y23"/>
      <c r="AA23"/>
      <c r="AF23"/>
      <c r="AG23"/>
    </row>
    <row r="24" spans="1:33" ht="10.050000000000001" customHeight="1" x14ac:dyDescent="0.2">
      <c r="A24" s="409" t="s">
        <v>100</v>
      </c>
      <c r="B24" s="409" t="s">
        <v>138</v>
      </c>
      <c r="C24" s="409" t="s">
        <v>60</v>
      </c>
      <c r="D24" s="410" t="s">
        <v>84</v>
      </c>
      <c r="E24" s="411">
        <v>12673200</v>
      </c>
      <c r="F24" s="412" t="s">
        <v>192</v>
      </c>
      <c r="G24" s="413" t="s">
        <v>157</v>
      </c>
      <c r="H24" s="414" t="s">
        <v>193</v>
      </c>
      <c r="I24" s="415">
        <v>45727</v>
      </c>
      <c r="J24" s="409" t="s">
        <v>17</v>
      </c>
      <c r="K24" s="416">
        <v>45729</v>
      </c>
      <c r="L24" s="412" t="s">
        <v>10</v>
      </c>
      <c r="M24" s="417" t="s">
        <v>652</v>
      </c>
      <c r="N24" s="416" t="str">
        <f>IFERROR(INDEX(Tableau6[],MATCH(Tableau3[[#This Row],[FACTURE]],Tableau6[NUM DE FACTURE],0),4),"")</f>
        <v/>
      </c>
      <c r="O24" s="409" t="str">
        <f>IF(Tableau3[[#This Row],[CLIENTS]]="","",CONCATENATE(Tableau3[[#This Row],[MODE ]]," ",Tableau3[[#This Row],[ETS PAYEUR]]," ","F/",Tableau3[[#This Row],[FACTURE]]))</f>
        <v>CHEQUE BGFIBANK F/196 EXO24</v>
      </c>
      <c r="P24" s="409" t="s">
        <v>636</v>
      </c>
      <c r="Q24" s="409">
        <f>+ROW()-ROW(Tableau3[[#Headers],[N° LIGNE_RF]])</f>
        <v>21</v>
      </c>
      <c r="R24" s="413">
        <f>IF(Tableau3[[#This Row],[REFERENCE ]]="","",MATCH(Tableau3[[#This Row],[REFERENCE ]],Tableau3[[REFERENCE ]],0))</f>
        <v>15</v>
      </c>
      <c r="S24"/>
      <c r="T24" s="70"/>
      <c r="U24" s="70"/>
      <c r="Y24"/>
      <c r="AA24"/>
      <c r="AF24"/>
      <c r="AG24"/>
    </row>
    <row r="25" spans="1:33" ht="10.050000000000001" customHeight="1" x14ac:dyDescent="0.2">
      <c r="A25" s="409" t="s">
        <v>100</v>
      </c>
      <c r="B25" s="409" t="s">
        <v>138</v>
      </c>
      <c r="C25" s="409" t="s">
        <v>60</v>
      </c>
      <c r="D25" s="410" t="s">
        <v>84</v>
      </c>
      <c r="E25" s="418">
        <v>31825964</v>
      </c>
      <c r="F25" s="419" t="s">
        <v>161</v>
      </c>
      <c r="G25" s="413" t="s">
        <v>157</v>
      </c>
      <c r="H25" s="414" t="s">
        <v>193</v>
      </c>
      <c r="I25" s="415">
        <v>45727</v>
      </c>
      <c r="J25" s="409" t="s">
        <v>17</v>
      </c>
      <c r="K25" s="416">
        <v>45729</v>
      </c>
      <c r="L25" s="412" t="s">
        <v>10</v>
      </c>
      <c r="M25" s="420" t="s">
        <v>653</v>
      </c>
      <c r="N25" s="421" t="str">
        <f>IFERROR(INDEX(Tableau6[],MATCH(Tableau3[[#This Row],[FACTURE]],Tableau6[NUM DE FACTURE],0),4),"")</f>
        <v/>
      </c>
      <c r="O25" s="422" t="str">
        <f>IF(Tableau3[[#This Row],[CLIENTS]]="","",CONCATENATE(Tableau3[[#This Row],[MODE ]]," ",Tableau3[[#This Row],[ETS PAYEUR]]," ","F/",Tableau3[[#This Row],[FACTURE]]))</f>
        <v>CHEQUE BGFIBANK F/200 EXO24</v>
      </c>
      <c r="P25" s="409" t="s">
        <v>637</v>
      </c>
      <c r="Q25" s="409">
        <f>+ROW()-ROW(Tableau3[[#Headers],[N° LIGNE_RF]])</f>
        <v>22</v>
      </c>
      <c r="R25" s="413">
        <f>IF(Tableau3[[#This Row],[REFERENCE ]]="","",MATCH(Tableau3[[#This Row],[REFERENCE ]],Tableau3[[REFERENCE ]],0))</f>
        <v>15</v>
      </c>
      <c r="S25"/>
      <c r="T25" s="70"/>
      <c r="U25" s="70"/>
      <c r="Y25"/>
      <c r="AA25"/>
      <c r="AF25"/>
      <c r="AG25"/>
    </row>
    <row r="26" spans="1:33" ht="10.050000000000001" customHeight="1" x14ac:dyDescent="0.2">
      <c r="A26" s="409" t="s">
        <v>100</v>
      </c>
      <c r="B26" s="409" t="s">
        <v>138</v>
      </c>
      <c r="C26" s="409" t="s">
        <v>60</v>
      </c>
      <c r="D26" s="410" t="s">
        <v>84</v>
      </c>
      <c r="E26" s="411">
        <v>6242200</v>
      </c>
      <c r="F26" s="412" t="s">
        <v>194</v>
      </c>
      <c r="G26" s="413" t="s">
        <v>157</v>
      </c>
      <c r="H26" s="414" t="s">
        <v>195</v>
      </c>
      <c r="I26" s="415">
        <v>45735</v>
      </c>
      <c r="J26" s="409" t="s">
        <v>17</v>
      </c>
      <c r="K26" s="416">
        <v>45741</v>
      </c>
      <c r="L26" s="412" t="s">
        <v>10</v>
      </c>
      <c r="M26" s="417" t="s">
        <v>654</v>
      </c>
      <c r="N26" s="416" t="str">
        <f>IFERROR(INDEX(Tableau6[],MATCH(Tableau3[[#This Row],[FACTURE]],Tableau6[NUM DE FACTURE],0),4),"")</f>
        <v/>
      </c>
      <c r="O26" s="409" t="str">
        <f>IF(Tableau3[[#This Row],[CLIENTS]]="","",CONCATENATE(Tableau3[[#This Row],[MODE ]]," ",Tableau3[[#This Row],[ETS PAYEUR]]," ","F/",Tableau3[[#This Row],[FACTURE]]))</f>
        <v>CHEQUE BGFIBANK F/190 EXO24</v>
      </c>
      <c r="P26" s="409" t="s">
        <v>635</v>
      </c>
      <c r="Q26" s="409">
        <f>+ROW()-ROW(Tableau3[[#Headers],[N° LIGNE_RF]])</f>
        <v>23</v>
      </c>
      <c r="R26" s="413">
        <f>IF(Tableau3[[#This Row],[REFERENCE ]]="","",MATCH(Tableau3[[#This Row],[REFERENCE ]],Tableau3[[REFERENCE ]],0))</f>
        <v>23</v>
      </c>
      <c r="S26"/>
      <c r="T26" s="70"/>
      <c r="U26" s="70"/>
      <c r="Y26"/>
      <c r="AA26"/>
      <c r="AF26"/>
      <c r="AG26"/>
    </row>
    <row r="27" spans="1:33" ht="10.050000000000001" customHeight="1" x14ac:dyDescent="0.2">
      <c r="A27" s="409" t="s">
        <v>100</v>
      </c>
      <c r="B27" s="409" t="s">
        <v>138</v>
      </c>
      <c r="C27" s="409" t="s">
        <v>60</v>
      </c>
      <c r="D27" s="410" t="s">
        <v>84</v>
      </c>
      <c r="E27" s="411">
        <v>25759400</v>
      </c>
      <c r="F27" s="412" t="s">
        <v>155</v>
      </c>
      <c r="G27" s="413" t="s">
        <v>157</v>
      </c>
      <c r="H27" s="414" t="s">
        <v>195</v>
      </c>
      <c r="I27" s="415">
        <v>45735</v>
      </c>
      <c r="J27" s="409" t="s">
        <v>17</v>
      </c>
      <c r="K27" s="416">
        <v>45741</v>
      </c>
      <c r="L27" s="412" t="s">
        <v>10</v>
      </c>
      <c r="M27" s="417" t="s">
        <v>655</v>
      </c>
      <c r="N27" s="416" t="str">
        <f>IFERROR(INDEX(Tableau6[],MATCH(Tableau3[[#This Row],[FACTURE]],Tableau6[NUM DE FACTURE],0),4),"")</f>
        <v/>
      </c>
      <c r="O27" s="409" t="str">
        <f>IF(Tableau3[[#This Row],[CLIENTS]]="","",CONCATENATE(Tableau3[[#This Row],[MODE ]]," ",Tableau3[[#This Row],[ETS PAYEUR]]," ","F/",Tableau3[[#This Row],[FACTURE]]))</f>
        <v>CHEQUE BGFIBANK F/189 EXO24</v>
      </c>
      <c r="P27" s="409" t="s">
        <v>634</v>
      </c>
      <c r="Q27" s="409">
        <f>+ROW()-ROW(Tableau3[[#Headers],[N° LIGNE_RF]])</f>
        <v>24</v>
      </c>
      <c r="R27" s="413">
        <f>IF(Tableau3[[#This Row],[REFERENCE ]]="","",MATCH(Tableau3[[#This Row],[REFERENCE ]],Tableau3[[REFERENCE ]],0))</f>
        <v>23</v>
      </c>
      <c r="S27"/>
      <c r="T27" s="70"/>
      <c r="U27" s="70"/>
      <c r="Y27"/>
      <c r="AA27"/>
      <c r="AF27"/>
      <c r="AG27"/>
    </row>
    <row r="28" spans="1:33" ht="10.050000000000001" customHeight="1" x14ac:dyDescent="0.2">
      <c r="A28" s="409" t="s">
        <v>100</v>
      </c>
      <c r="B28" s="409" t="s">
        <v>138</v>
      </c>
      <c r="C28" s="409" t="s">
        <v>60</v>
      </c>
      <c r="D28" s="410" t="s">
        <v>84</v>
      </c>
      <c r="E28" s="411">
        <v>35649893</v>
      </c>
      <c r="F28" s="412" t="s">
        <v>161</v>
      </c>
      <c r="G28" s="413" t="s">
        <v>157</v>
      </c>
      <c r="H28" s="414" t="s">
        <v>195</v>
      </c>
      <c r="I28" s="415">
        <v>45735</v>
      </c>
      <c r="J28" s="409" t="s">
        <v>17</v>
      </c>
      <c r="K28" s="416">
        <v>45741</v>
      </c>
      <c r="L28" s="412" t="s">
        <v>10</v>
      </c>
      <c r="M28" s="417" t="s">
        <v>656</v>
      </c>
      <c r="N28" s="416" t="str">
        <f>IFERROR(INDEX(Tableau6[],MATCH(Tableau3[[#This Row],[FACTURE]],Tableau6[NUM DE FACTURE],0),4),"")</f>
        <v/>
      </c>
      <c r="O28" s="409" t="str">
        <f>IF(Tableau3[[#This Row],[CLIENTS]]="","",CONCATENATE(Tableau3[[#This Row],[MODE ]]," ",Tableau3[[#This Row],[ETS PAYEUR]]," ","F/",Tableau3[[#This Row],[FACTURE]]))</f>
        <v>CHEQUE BGFIBANK F/188 EXO24</v>
      </c>
      <c r="P28" s="409" t="s">
        <v>634</v>
      </c>
      <c r="Q28" s="409">
        <f>+ROW()-ROW(Tableau3[[#Headers],[N° LIGNE_RF]])</f>
        <v>25</v>
      </c>
      <c r="R28" s="413">
        <f>IF(Tableau3[[#This Row],[REFERENCE ]]="","",MATCH(Tableau3[[#This Row],[REFERENCE ]],Tableau3[[REFERENCE ]],0))</f>
        <v>23</v>
      </c>
      <c r="S28"/>
      <c r="T28" s="70"/>
      <c r="U28" s="70"/>
      <c r="Y28"/>
      <c r="AA28"/>
      <c r="AF28"/>
      <c r="AG28"/>
    </row>
    <row r="29" spans="1:33" ht="10.050000000000001" customHeight="1" x14ac:dyDescent="0.2">
      <c r="A29" t="s">
        <v>100</v>
      </c>
      <c r="B29" t="s">
        <v>102</v>
      </c>
      <c r="C29" t="s">
        <v>60</v>
      </c>
      <c r="D29" s="58" t="s">
        <v>84</v>
      </c>
      <c r="E29" s="264">
        <v>4212600</v>
      </c>
      <c r="F29" s="18"/>
      <c r="G29" s="6" t="s">
        <v>157</v>
      </c>
      <c r="H29" s="100" t="s">
        <v>238</v>
      </c>
      <c r="I29" s="224">
        <v>45735</v>
      </c>
      <c r="J29" t="s">
        <v>239</v>
      </c>
      <c r="K29" s="3">
        <v>45735</v>
      </c>
      <c r="L29" s="18" t="s">
        <v>10</v>
      </c>
      <c r="M29" s="6">
        <v>327</v>
      </c>
      <c r="N29" s="3">
        <f>IFERROR(INDEX(Tableau6[],MATCH(Tableau3[[#This Row],[FACTURE]],Tableau6[NUM DE FACTURE],0),4),"")</f>
        <v>327</v>
      </c>
      <c r="O29" t="str">
        <f>IF(Tableau3[[#This Row],[CLIENTS]]="","",CONCATENATE(Tableau3[[#This Row],[MODE ]]," ",Tableau3[[#This Row],[ETS PAYEUR]]," ","F/",Tableau3[[#This Row],[FACTURE]]))</f>
        <v>CHEQUE BMS-CI F/327</v>
      </c>
      <c r="Q29">
        <f>+ROW()-ROW(Tableau3[[#Headers],[N° LIGNE_RF]])</f>
        <v>26</v>
      </c>
      <c r="R29" s="6">
        <f>IF(Tableau3[[#This Row],[REFERENCE ]]="","",MATCH(Tableau3[[#This Row],[REFERENCE ]],Tableau3[[REFERENCE ]],0))</f>
        <v>26</v>
      </c>
      <c r="S29"/>
      <c r="U29" s="70"/>
      <c r="Y29"/>
      <c r="AA29"/>
      <c r="AF29"/>
      <c r="AG29"/>
    </row>
    <row r="30" spans="1:33" ht="10.050000000000001" customHeight="1" x14ac:dyDescent="0.2">
      <c r="A30" t="s">
        <v>100</v>
      </c>
      <c r="B30" t="s">
        <v>102</v>
      </c>
      <c r="C30" t="s">
        <v>60</v>
      </c>
      <c r="D30" s="58" t="s">
        <v>84</v>
      </c>
      <c r="E30" s="264">
        <v>3309900</v>
      </c>
      <c r="F30" s="18"/>
      <c r="G30" s="6" t="s">
        <v>157</v>
      </c>
      <c r="H30" s="100" t="s">
        <v>238</v>
      </c>
      <c r="I30" s="224">
        <v>45735</v>
      </c>
      <c r="J30" t="s">
        <v>239</v>
      </c>
      <c r="K30" s="3">
        <v>45735</v>
      </c>
      <c r="L30" s="18" t="s">
        <v>10</v>
      </c>
      <c r="M30" s="6">
        <v>325</v>
      </c>
      <c r="N30" s="3">
        <f>IFERROR(INDEX(Tableau6[],MATCH(Tableau3[[#This Row],[FACTURE]],Tableau6[NUM DE FACTURE],0),4),"")</f>
        <v>325</v>
      </c>
      <c r="O30" t="str">
        <f>IF(Tableau3[[#This Row],[CLIENTS]]="","",CONCATENATE(Tableau3[[#This Row],[MODE ]]," ",Tableau3[[#This Row],[ETS PAYEUR]]," ","F/",Tableau3[[#This Row],[FACTURE]]))</f>
        <v>CHEQUE BMS-CI F/325</v>
      </c>
      <c r="Q30">
        <f>+ROW()-ROW(Tableau3[[#Headers],[N° LIGNE_RF]])</f>
        <v>27</v>
      </c>
      <c r="R30" s="6">
        <f>IF(Tableau3[[#This Row],[REFERENCE ]]="","",MATCH(Tableau3[[#This Row],[REFERENCE ]],Tableau3[[REFERENCE ]],0))</f>
        <v>26</v>
      </c>
      <c r="S30"/>
      <c r="U30" s="70"/>
      <c r="Y30"/>
      <c r="AA30"/>
      <c r="AF30"/>
      <c r="AG30"/>
    </row>
    <row r="31" spans="1:33" ht="10.050000000000001" customHeight="1" x14ac:dyDescent="0.2">
      <c r="A31" t="s">
        <v>100</v>
      </c>
      <c r="B31" t="s">
        <v>102</v>
      </c>
      <c r="C31" t="s">
        <v>60</v>
      </c>
      <c r="D31" s="58" t="s">
        <v>84</v>
      </c>
      <c r="E31" s="264">
        <v>755200</v>
      </c>
      <c r="F31" s="18"/>
      <c r="G31" s="6" t="s">
        <v>157</v>
      </c>
      <c r="H31" s="100" t="s">
        <v>238</v>
      </c>
      <c r="I31" s="224">
        <v>45735</v>
      </c>
      <c r="J31" t="s">
        <v>239</v>
      </c>
      <c r="K31" s="3">
        <v>45735</v>
      </c>
      <c r="L31" s="18" t="s">
        <v>10</v>
      </c>
      <c r="M31" s="6">
        <v>322</v>
      </c>
      <c r="N31" s="3">
        <f>IFERROR(INDEX(Tableau6[],MATCH(Tableau3[[#This Row],[FACTURE]],Tableau6[NUM DE FACTURE],0),4),"")</f>
        <v>322</v>
      </c>
      <c r="O31" t="str">
        <f>IF(Tableau3[[#This Row],[CLIENTS]]="","",CONCATENATE(Tableau3[[#This Row],[MODE ]]," ",Tableau3[[#This Row],[ETS PAYEUR]]," ","F/",Tableau3[[#This Row],[FACTURE]]))</f>
        <v>CHEQUE BMS-CI F/322</v>
      </c>
      <c r="Q31">
        <f>+ROW()-ROW(Tableau3[[#Headers],[N° LIGNE_RF]])</f>
        <v>28</v>
      </c>
      <c r="R31" s="6">
        <f>IF(Tableau3[[#This Row],[REFERENCE ]]="","",MATCH(Tableau3[[#This Row],[REFERENCE ]],Tableau3[[REFERENCE ]],0))</f>
        <v>26</v>
      </c>
      <c r="S31"/>
      <c r="U31" s="70"/>
      <c r="Y31"/>
      <c r="AA31"/>
      <c r="AF31"/>
      <c r="AG31"/>
    </row>
    <row r="32" spans="1:33" ht="10.050000000000001" customHeight="1" x14ac:dyDescent="0.2">
      <c r="A32" t="s">
        <v>100</v>
      </c>
      <c r="B32" t="s">
        <v>102</v>
      </c>
      <c r="C32" t="s">
        <v>60</v>
      </c>
      <c r="D32" s="58" t="s">
        <v>84</v>
      </c>
      <c r="E32" s="264">
        <v>476540</v>
      </c>
      <c r="F32" s="18"/>
      <c r="G32" s="6" t="s">
        <v>157</v>
      </c>
      <c r="H32" s="100" t="s">
        <v>238</v>
      </c>
      <c r="I32" s="224">
        <v>45735</v>
      </c>
      <c r="J32" t="s">
        <v>239</v>
      </c>
      <c r="K32" s="3">
        <v>45735</v>
      </c>
      <c r="L32" s="18" t="s">
        <v>10</v>
      </c>
      <c r="M32" s="6">
        <v>326</v>
      </c>
      <c r="N32" s="3">
        <f>IFERROR(INDEX(Tableau6[],MATCH(Tableau3[[#This Row],[FACTURE]],Tableau6[NUM DE FACTURE],0),4),"")</f>
        <v>326</v>
      </c>
      <c r="O32" t="str">
        <f>IF(Tableau3[[#This Row],[CLIENTS]]="","",CONCATENATE(Tableau3[[#This Row],[MODE ]]," ",Tableau3[[#This Row],[ETS PAYEUR]]," ","F/",Tableau3[[#This Row],[FACTURE]]))</f>
        <v>CHEQUE BMS-CI F/326</v>
      </c>
      <c r="Q32">
        <f>+ROW()-ROW(Tableau3[[#Headers],[N° LIGNE_RF]])</f>
        <v>29</v>
      </c>
      <c r="R32" s="6">
        <f>IF(Tableau3[[#This Row],[REFERENCE ]]="","",MATCH(Tableau3[[#This Row],[REFERENCE ]],Tableau3[[REFERENCE ]],0))</f>
        <v>26</v>
      </c>
      <c r="S32"/>
      <c r="U32" s="70"/>
      <c r="Y32"/>
      <c r="AA32"/>
      <c r="AF32"/>
      <c r="AG32"/>
    </row>
    <row r="33" spans="1:33" ht="10.050000000000001" customHeight="1" x14ac:dyDescent="0.2">
      <c r="A33" t="s">
        <v>100</v>
      </c>
      <c r="B33" t="s">
        <v>102</v>
      </c>
      <c r="C33" t="s">
        <v>60</v>
      </c>
      <c r="D33" s="58" t="s">
        <v>84</v>
      </c>
      <c r="E33" s="264">
        <v>453851</v>
      </c>
      <c r="F33" s="18"/>
      <c r="G33" s="6" t="s">
        <v>157</v>
      </c>
      <c r="H33" s="100" t="s">
        <v>238</v>
      </c>
      <c r="I33" s="224">
        <v>45735</v>
      </c>
      <c r="J33" t="s">
        <v>239</v>
      </c>
      <c r="K33" s="3">
        <v>45735</v>
      </c>
      <c r="L33" s="18" t="s">
        <v>10</v>
      </c>
      <c r="M33" s="6">
        <v>324</v>
      </c>
      <c r="N33" s="3">
        <f>IFERROR(INDEX(Tableau6[],MATCH(Tableau3[[#This Row],[FACTURE]],Tableau6[NUM DE FACTURE],0),4),"")</f>
        <v>324</v>
      </c>
      <c r="O33" t="str">
        <f>IF(Tableau3[[#This Row],[CLIENTS]]="","",CONCATENATE(Tableau3[[#This Row],[MODE ]]," ",Tableau3[[#This Row],[ETS PAYEUR]]," ","F/",Tableau3[[#This Row],[FACTURE]]))</f>
        <v>CHEQUE BMS-CI F/324</v>
      </c>
      <c r="Q33">
        <f>+ROW()-ROW(Tableau3[[#Headers],[N° LIGNE_RF]])</f>
        <v>30</v>
      </c>
      <c r="R33" s="6">
        <f>IF(Tableau3[[#This Row],[REFERENCE ]]="","",MATCH(Tableau3[[#This Row],[REFERENCE ]],Tableau3[[REFERENCE ]],0))</f>
        <v>26</v>
      </c>
      <c r="S33"/>
      <c r="U33" s="70"/>
      <c r="Y33"/>
      <c r="AA33"/>
      <c r="AF33"/>
      <c r="AG33"/>
    </row>
    <row r="34" spans="1:33" ht="10.050000000000001" customHeight="1" x14ac:dyDescent="0.2">
      <c r="A34" t="s">
        <v>100</v>
      </c>
      <c r="B34" t="s">
        <v>102</v>
      </c>
      <c r="C34" t="s">
        <v>60</v>
      </c>
      <c r="D34" s="58" t="s">
        <v>84</v>
      </c>
      <c r="E34" s="264">
        <v>453851</v>
      </c>
      <c r="F34" s="18"/>
      <c r="G34" s="6" t="s">
        <v>157</v>
      </c>
      <c r="H34" s="100" t="s">
        <v>238</v>
      </c>
      <c r="I34" s="224">
        <v>45735</v>
      </c>
      <c r="J34" t="s">
        <v>239</v>
      </c>
      <c r="K34" s="3">
        <v>45735</v>
      </c>
      <c r="L34" s="18" t="s">
        <v>10</v>
      </c>
      <c r="M34" s="6">
        <v>323</v>
      </c>
      <c r="N34" s="3">
        <f>IFERROR(INDEX(Tableau6[],MATCH(Tableau3[[#This Row],[FACTURE]],Tableau6[NUM DE FACTURE],0),4),"")</f>
        <v>323</v>
      </c>
      <c r="O34" t="str">
        <f>IF(Tableau3[[#This Row],[CLIENTS]]="","",CONCATENATE(Tableau3[[#This Row],[MODE ]]," ",Tableau3[[#This Row],[ETS PAYEUR]]," ","F/",Tableau3[[#This Row],[FACTURE]]))</f>
        <v>CHEQUE BMS-CI F/323</v>
      </c>
      <c r="Q34">
        <f>+ROW()-ROW(Tableau3[[#Headers],[N° LIGNE_RF]])</f>
        <v>31</v>
      </c>
      <c r="R34" s="6">
        <f>IF(Tableau3[[#This Row],[REFERENCE ]]="","",MATCH(Tableau3[[#This Row],[REFERENCE ]],Tableau3[[REFERENCE ]],0))</f>
        <v>26</v>
      </c>
      <c r="S34"/>
      <c r="U34" s="70"/>
      <c r="Y34"/>
      <c r="AA34"/>
      <c r="AF34"/>
      <c r="AG34"/>
    </row>
    <row r="35" spans="1:33" ht="10.050000000000001" customHeight="1" x14ac:dyDescent="0.2">
      <c r="A35" t="s">
        <v>100</v>
      </c>
      <c r="B35" t="s">
        <v>103</v>
      </c>
      <c r="C35" t="s">
        <v>60</v>
      </c>
      <c r="D35" s="58" t="s">
        <v>84</v>
      </c>
      <c r="E35" s="285">
        <v>660800</v>
      </c>
      <c r="F35" s="209"/>
      <c r="G35" s="6" t="s">
        <v>261</v>
      </c>
      <c r="H35" s="100" t="s">
        <v>335</v>
      </c>
      <c r="I35" s="224">
        <v>45761</v>
      </c>
      <c r="K35" s="3"/>
      <c r="L35" s="18" t="s">
        <v>10</v>
      </c>
      <c r="M35" s="6">
        <v>271</v>
      </c>
      <c r="N35" s="3">
        <f>IFERROR(INDEX(Tableau6[],MATCH(Tableau3[[#This Row],[FACTURE]],Tableau6[NUM DE FACTURE],0),4),"")</f>
        <v>271</v>
      </c>
      <c r="O35" t="str">
        <f>IF(Tableau3[[#This Row],[CLIENTS]]="","",CONCATENATE(Tableau3[[#This Row],[MODE ]]," ",Tableau3[[#This Row],[ETS PAYEUR]]," ","F/",Tableau3[[#This Row],[FACTURE]]))</f>
        <v>OV  F/271</v>
      </c>
      <c r="Q35">
        <f>+ROW()-ROW(Tableau3[[#Headers],[N° LIGNE_RF]])</f>
        <v>32</v>
      </c>
      <c r="R35" s="6">
        <f>IF(Tableau3[[#This Row],[REFERENCE ]]="","",MATCH(Tableau3[[#This Row],[REFERENCE ]],Tableau3[[REFERENCE ]],0))</f>
        <v>32</v>
      </c>
      <c r="S35"/>
      <c r="U35" s="70"/>
      <c r="Y35"/>
      <c r="AA35"/>
      <c r="AF35"/>
      <c r="AG35"/>
    </row>
    <row r="36" spans="1:33" ht="10.050000000000001" customHeight="1" x14ac:dyDescent="0.2">
      <c r="A36" t="s">
        <v>100</v>
      </c>
      <c r="B36" t="s">
        <v>138</v>
      </c>
      <c r="C36" t="s">
        <v>60</v>
      </c>
      <c r="D36" s="58" t="s">
        <v>84</v>
      </c>
      <c r="E36" s="264">
        <v>849600</v>
      </c>
      <c r="F36" s="18" t="s">
        <v>156</v>
      </c>
      <c r="G36" s="6" t="s">
        <v>157</v>
      </c>
      <c r="H36" s="101" t="s">
        <v>163</v>
      </c>
      <c r="I36" s="224">
        <v>45762</v>
      </c>
      <c r="J36" t="s">
        <v>14</v>
      </c>
      <c r="K36" s="3">
        <v>45763</v>
      </c>
      <c r="L36" s="20" t="s">
        <v>10</v>
      </c>
      <c r="M36" s="253">
        <v>209</v>
      </c>
      <c r="N36" s="35">
        <f>IFERROR(INDEX(Tableau6[],MATCH(Tableau3[[#This Row],[FACTURE]],Tableau6[NUM DE FACTURE],0),4),"")</f>
        <v>209</v>
      </c>
      <c r="O36" s="21" t="str">
        <f>IF(Tableau3[[#This Row],[CLIENTS]]="","",CONCATENATE(Tableau3[[#This Row],[MODE ]]," ",Tableau3[[#This Row],[ETS PAYEUR]]," ","F/",Tableau3[[#This Row],[FACTURE]]))</f>
        <v>CHEQUE NSIA F/209</v>
      </c>
      <c r="Q36">
        <f>+ROW()-ROW(Tableau3[[#Headers],[N° LIGNE_RF]])</f>
        <v>33</v>
      </c>
      <c r="R36" s="6">
        <f>IF(Tableau3[[#This Row],[REFERENCE ]]="","",MATCH(Tableau3[[#This Row],[REFERENCE ]],Tableau3[[REFERENCE ]],0))</f>
        <v>33</v>
      </c>
      <c r="S36"/>
      <c r="U36" s="70"/>
      <c r="Y36"/>
      <c r="AA36"/>
      <c r="AF36"/>
      <c r="AG36"/>
    </row>
    <row r="37" spans="1:33" ht="10.050000000000001" customHeight="1" x14ac:dyDescent="0.2">
      <c r="A37" t="s">
        <v>100</v>
      </c>
      <c r="B37" t="s">
        <v>138</v>
      </c>
      <c r="C37" t="s">
        <v>60</v>
      </c>
      <c r="D37" s="58" t="s">
        <v>84</v>
      </c>
      <c r="E37" s="264">
        <v>1274400</v>
      </c>
      <c r="F37" s="18" t="s">
        <v>162</v>
      </c>
      <c r="G37" s="6" t="s">
        <v>157</v>
      </c>
      <c r="H37" s="101" t="s">
        <v>163</v>
      </c>
      <c r="I37" s="224">
        <v>45762</v>
      </c>
      <c r="J37" t="s">
        <v>14</v>
      </c>
      <c r="K37" s="3">
        <v>45763</v>
      </c>
      <c r="L37" s="20" t="s">
        <v>10</v>
      </c>
      <c r="M37" s="6">
        <v>252</v>
      </c>
      <c r="N37" s="3">
        <f>IFERROR(INDEX(Tableau6[],MATCH(Tableau3[[#This Row],[FACTURE]],Tableau6[NUM DE FACTURE],0),4),"")</f>
        <v>252</v>
      </c>
      <c r="O37" t="str">
        <f>IF(Tableau3[[#This Row],[CLIENTS]]="","",CONCATENATE(Tableau3[[#This Row],[MODE ]]," ",Tableau3[[#This Row],[ETS PAYEUR]]," ","F/",Tableau3[[#This Row],[FACTURE]]))</f>
        <v>CHEQUE NSIA F/252</v>
      </c>
      <c r="Q37">
        <f>+ROW()-ROW(Tableau3[[#Headers],[N° LIGNE_RF]])</f>
        <v>34</v>
      </c>
      <c r="R37" s="6">
        <f>IF(Tableau3[[#This Row],[REFERENCE ]]="","",MATCH(Tableau3[[#This Row],[REFERENCE ]],Tableau3[[REFERENCE ]],0))</f>
        <v>33</v>
      </c>
      <c r="S37"/>
      <c r="U37" s="70"/>
      <c r="Y37"/>
      <c r="AA37"/>
      <c r="AF37"/>
      <c r="AG37"/>
    </row>
    <row r="38" spans="1:33" ht="10.050000000000001" customHeight="1" x14ac:dyDescent="0.2">
      <c r="A38" t="s">
        <v>100</v>
      </c>
      <c r="B38" t="s">
        <v>138</v>
      </c>
      <c r="C38" t="s">
        <v>60</v>
      </c>
      <c r="D38" s="58" t="s">
        <v>84</v>
      </c>
      <c r="E38" s="264">
        <v>4130000</v>
      </c>
      <c r="F38" s="18" t="s">
        <v>156</v>
      </c>
      <c r="G38" s="6" t="s">
        <v>157</v>
      </c>
      <c r="H38" s="101" t="s">
        <v>163</v>
      </c>
      <c r="I38" s="224">
        <v>45762</v>
      </c>
      <c r="J38" t="s">
        <v>14</v>
      </c>
      <c r="K38" s="3">
        <v>45763</v>
      </c>
      <c r="L38" s="20" t="s">
        <v>10</v>
      </c>
      <c r="M38" s="253">
        <v>208</v>
      </c>
      <c r="N38" s="35">
        <f>IFERROR(INDEX(Tableau6[],MATCH(Tableau3[[#This Row],[FACTURE]],Tableau6[NUM DE FACTURE],0),4),"")</f>
        <v>208</v>
      </c>
      <c r="O38" s="21" t="str">
        <f>IF(Tableau3[[#This Row],[CLIENTS]]="","",CONCATENATE(Tableau3[[#This Row],[MODE ]]," ",Tableau3[[#This Row],[ETS PAYEUR]]," ","F/",Tableau3[[#This Row],[FACTURE]]))</f>
        <v>CHEQUE NSIA F/208</v>
      </c>
      <c r="Q38">
        <f>+ROW()-ROW(Tableau3[[#Headers],[N° LIGNE_RF]])</f>
        <v>35</v>
      </c>
      <c r="R38" s="6">
        <f>IF(Tableau3[[#This Row],[REFERENCE ]]="","",MATCH(Tableau3[[#This Row],[REFERENCE ]],Tableau3[[REFERENCE ]],0))</f>
        <v>33</v>
      </c>
      <c r="S38"/>
      <c r="U38" s="70"/>
      <c r="Y38"/>
      <c r="AA38"/>
      <c r="AF38"/>
      <c r="AG38"/>
    </row>
    <row r="39" spans="1:33" ht="10.050000000000001" customHeight="1" x14ac:dyDescent="0.2">
      <c r="A39" t="s">
        <v>100</v>
      </c>
      <c r="B39" t="s">
        <v>138</v>
      </c>
      <c r="C39" t="s">
        <v>60</v>
      </c>
      <c r="D39" s="58" t="s">
        <v>84</v>
      </c>
      <c r="E39" s="264">
        <v>18107100</v>
      </c>
      <c r="F39" s="18" t="s">
        <v>156</v>
      </c>
      <c r="G39" s="6" t="s">
        <v>157</v>
      </c>
      <c r="H39" s="101" t="s">
        <v>163</v>
      </c>
      <c r="I39" s="224">
        <v>45762</v>
      </c>
      <c r="J39" t="s">
        <v>14</v>
      </c>
      <c r="K39" s="3">
        <v>45763</v>
      </c>
      <c r="L39" s="20" t="s">
        <v>10</v>
      </c>
      <c r="M39" s="6">
        <v>251</v>
      </c>
      <c r="N39" s="3">
        <f>IFERROR(INDEX(Tableau6[],MATCH(Tableau3[[#This Row],[FACTURE]],Tableau6[NUM DE FACTURE],0),4),"")</f>
        <v>251</v>
      </c>
      <c r="O39" t="str">
        <f>IF(Tableau3[[#This Row],[CLIENTS]]="","",CONCATENATE(Tableau3[[#This Row],[MODE ]]," ",Tableau3[[#This Row],[ETS PAYEUR]]," ","F/",Tableau3[[#This Row],[FACTURE]]))</f>
        <v>CHEQUE NSIA F/251</v>
      </c>
      <c r="Q39">
        <f>+ROW()-ROW(Tableau3[[#Headers],[N° LIGNE_RF]])</f>
        <v>36</v>
      </c>
      <c r="R39" s="6">
        <f>IF(Tableau3[[#This Row],[REFERENCE ]]="","",MATCH(Tableau3[[#This Row],[REFERENCE ]],Tableau3[[REFERENCE ]],0))</f>
        <v>33</v>
      </c>
      <c r="S39"/>
      <c r="U39" s="70"/>
      <c r="Y39"/>
      <c r="AA39"/>
      <c r="AF39"/>
      <c r="AG39"/>
    </row>
    <row r="40" spans="1:33" ht="10.050000000000001" customHeight="1" x14ac:dyDescent="0.2">
      <c r="A40" t="s">
        <v>100</v>
      </c>
      <c r="B40" t="s">
        <v>138</v>
      </c>
      <c r="C40" t="s">
        <v>60</v>
      </c>
      <c r="D40" s="58" t="s">
        <v>84</v>
      </c>
      <c r="E40" s="459">
        <v>23876867</v>
      </c>
      <c r="F40" s="18" t="s">
        <v>161</v>
      </c>
      <c r="G40" s="6" t="s">
        <v>157</v>
      </c>
      <c r="H40" s="101" t="s">
        <v>163</v>
      </c>
      <c r="I40" s="224">
        <v>45762</v>
      </c>
      <c r="J40" t="s">
        <v>14</v>
      </c>
      <c r="K40" s="3">
        <v>45763</v>
      </c>
      <c r="L40" s="20" t="s">
        <v>10</v>
      </c>
      <c r="M40" s="253">
        <v>205</v>
      </c>
      <c r="N40" s="35">
        <f>IFERROR(INDEX(Tableau6[],MATCH(Tableau3[[#This Row],[FACTURE]],Tableau6[NUM DE FACTURE],0),4),"")</f>
        <v>205</v>
      </c>
      <c r="O40" s="21" t="str">
        <f>IF(Tableau3[[#This Row],[CLIENTS]]="","",CONCATENATE(Tableau3[[#This Row],[MODE ]]," ",Tableau3[[#This Row],[ETS PAYEUR]]," ","F/",Tableau3[[#This Row],[FACTURE]]))</f>
        <v>CHEQUE NSIA F/205</v>
      </c>
      <c r="Q40">
        <f>+ROW()-ROW(Tableau3[[#Headers],[N° LIGNE_RF]])</f>
        <v>37</v>
      </c>
      <c r="R40" s="6">
        <f>IF(Tableau3[[#This Row],[REFERENCE ]]="","",MATCH(Tableau3[[#This Row],[REFERENCE ]],Tableau3[[REFERENCE ]],0))</f>
        <v>33</v>
      </c>
      <c r="S40"/>
      <c r="U40" s="70"/>
      <c r="Y40"/>
      <c r="AA40"/>
      <c r="AF40"/>
      <c r="AG40"/>
    </row>
    <row r="41" spans="1:33" ht="10.050000000000001" customHeight="1" x14ac:dyDescent="0.2">
      <c r="A41" s="409" t="s">
        <v>100</v>
      </c>
      <c r="B41" s="409" t="s">
        <v>138</v>
      </c>
      <c r="C41" s="409" t="s">
        <v>60</v>
      </c>
      <c r="D41" s="410" t="s">
        <v>84</v>
      </c>
      <c r="E41" s="411">
        <v>7434000</v>
      </c>
      <c r="F41" s="412" t="s">
        <v>156</v>
      </c>
      <c r="G41" s="413" t="s">
        <v>157</v>
      </c>
      <c r="H41" s="423" t="s">
        <v>163</v>
      </c>
      <c r="I41" s="415">
        <v>45762</v>
      </c>
      <c r="J41" s="409" t="s">
        <v>14</v>
      </c>
      <c r="K41" s="416">
        <v>45763</v>
      </c>
      <c r="L41" s="412" t="s">
        <v>14</v>
      </c>
      <c r="M41" s="413" t="s">
        <v>657</v>
      </c>
      <c r="N41" s="416" t="str">
        <f>IFERROR(INDEX(Tableau6[],MATCH(Tableau3[[#This Row],[FACTURE]],Tableau6[NUM DE FACTURE],0),4),"")</f>
        <v/>
      </c>
      <c r="O41" s="409" t="str">
        <f>IF(Tableau3[[#This Row],[CLIENTS]]="","",CONCATENATE(Tableau3[[#This Row],[MODE ]]," ",Tableau3[[#This Row],[ETS PAYEUR]]," ","F/",Tableau3[[#This Row],[FACTURE]]))</f>
        <v>CHEQUE NSIA F/204 EXO24</v>
      </c>
      <c r="P41" s="409" t="s">
        <v>632</v>
      </c>
      <c r="Q41" s="409">
        <f>+ROW()-ROW(Tableau3[[#Headers],[N° LIGNE_RF]])</f>
        <v>38</v>
      </c>
      <c r="R41" s="413">
        <f>IF(Tableau3[[#This Row],[REFERENCE ]]="","",MATCH(Tableau3[[#This Row],[REFERENCE ]],Tableau3[[REFERENCE ]],0))</f>
        <v>33</v>
      </c>
      <c r="S41"/>
      <c r="U41" s="70"/>
      <c r="Y41"/>
      <c r="AA41"/>
      <c r="AF41"/>
      <c r="AG41"/>
    </row>
    <row r="42" spans="1:33" ht="10.050000000000001" customHeight="1" x14ac:dyDescent="0.2">
      <c r="A42" s="409" t="s">
        <v>100</v>
      </c>
      <c r="B42" s="409" t="s">
        <v>138</v>
      </c>
      <c r="C42" s="409" t="s">
        <v>60</v>
      </c>
      <c r="D42" s="410" t="s">
        <v>84</v>
      </c>
      <c r="E42" s="411">
        <v>3121100</v>
      </c>
      <c r="F42" s="412"/>
      <c r="G42" s="413" t="s">
        <v>157</v>
      </c>
      <c r="H42" s="423" t="s">
        <v>163</v>
      </c>
      <c r="I42" s="415">
        <v>45762</v>
      </c>
      <c r="J42" s="409" t="s">
        <v>14</v>
      </c>
      <c r="K42" s="416">
        <v>45763</v>
      </c>
      <c r="L42" s="412" t="s">
        <v>14</v>
      </c>
      <c r="M42" s="413" t="s">
        <v>658</v>
      </c>
      <c r="N42" s="416" t="str">
        <f>IFERROR(INDEX(Tableau6[],MATCH(Tableau3[[#This Row],[FACTURE]],Tableau6[NUM DE FACTURE],0),4),"")</f>
        <v/>
      </c>
      <c r="O42" s="409" t="str">
        <f>IF(Tableau3[[#This Row],[CLIENTS]]="","",CONCATENATE(Tableau3[[#This Row],[MODE ]]," ",Tableau3[[#This Row],[ETS PAYEUR]]," ","F/",Tableau3[[#This Row],[FACTURE]]))</f>
        <v>CHEQUE NSIA F/202 EXO24</v>
      </c>
      <c r="P42" s="409" t="s">
        <v>632</v>
      </c>
      <c r="Q42" s="409">
        <f>+ROW()-ROW(Tableau3[[#Headers],[N° LIGNE_RF]])</f>
        <v>39</v>
      </c>
      <c r="R42" s="413">
        <f>IF(Tableau3[[#This Row],[REFERENCE ]]="","",MATCH(Tableau3[[#This Row],[REFERENCE ]],Tableau3[[REFERENCE ]],0))</f>
        <v>33</v>
      </c>
      <c r="S42"/>
      <c r="T42" s="70"/>
      <c r="U42" s="70"/>
      <c r="Y42"/>
      <c r="AA42"/>
      <c r="AF42"/>
      <c r="AG42"/>
    </row>
    <row r="43" spans="1:33" ht="10.050000000000001" customHeight="1" x14ac:dyDescent="0.2">
      <c r="A43" s="409" t="s">
        <v>100</v>
      </c>
      <c r="B43" s="409" t="s">
        <v>138</v>
      </c>
      <c r="C43" s="409" t="s">
        <v>60</v>
      </c>
      <c r="D43" s="410" t="s">
        <v>84</v>
      </c>
      <c r="E43" s="411">
        <v>14490400</v>
      </c>
      <c r="F43" s="412"/>
      <c r="G43" s="413" t="s">
        <v>157</v>
      </c>
      <c r="H43" s="423" t="s">
        <v>163</v>
      </c>
      <c r="I43" s="415">
        <v>45762</v>
      </c>
      <c r="J43" s="409" t="s">
        <v>14</v>
      </c>
      <c r="K43" s="416">
        <v>45763</v>
      </c>
      <c r="L43" s="412" t="s">
        <v>14</v>
      </c>
      <c r="M43" s="413" t="s">
        <v>659</v>
      </c>
      <c r="N43" s="416" t="str">
        <f>IFERROR(INDEX(Tableau6[],MATCH(Tableau3[[#This Row],[FACTURE]],Tableau6[NUM DE FACTURE],0),4),"")</f>
        <v/>
      </c>
      <c r="O43" s="409" t="str">
        <f>IF(Tableau3[[#This Row],[CLIENTS]]="","",CONCATENATE(Tableau3[[#This Row],[MODE ]]," ",Tableau3[[#This Row],[ETS PAYEUR]]," ","F/",Tableau3[[#This Row],[FACTURE]]))</f>
        <v>CHEQUE NSIA F/203 EXO24</v>
      </c>
      <c r="P43" s="409" t="s">
        <v>633</v>
      </c>
      <c r="Q43" s="409">
        <f>+ROW()-ROW(Tableau3[[#Headers],[N° LIGNE_RF]])</f>
        <v>40</v>
      </c>
      <c r="R43" s="413">
        <f>IF(Tableau3[[#This Row],[REFERENCE ]]="","",MATCH(Tableau3[[#This Row],[REFERENCE ]],Tableau3[[REFERENCE ]],0))</f>
        <v>33</v>
      </c>
      <c r="S43"/>
      <c r="T43" s="70"/>
      <c r="U43" s="70"/>
      <c r="Y43"/>
      <c r="AA43"/>
      <c r="AF43"/>
      <c r="AG43"/>
    </row>
    <row r="44" spans="1:33" ht="10.050000000000001" customHeight="1" x14ac:dyDescent="0.2">
      <c r="A44" t="s">
        <v>100</v>
      </c>
      <c r="B44" t="s">
        <v>102</v>
      </c>
      <c r="C44" t="s">
        <v>60</v>
      </c>
      <c r="D44" s="58" t="s">
        <v>84</v>
      </c>
      <c r="E44" s="280">
        <v>24780000</v>
      </c>
      <c r="F44" s="70"/>
      <c r="G44" s="6" t="s">
        <v>157</v>
      </c>
      <c r="H44" s="100" t="s">
        <v>240</v>
      </c>
      <c r="I44" s="224">
        <v>45765</v>
      </c>
      <c r="J44" t="s">
        <v>239</v>
      </c>
      <c r="K44" s="3">
        <v>45765</v>
      </c>
      <c r="L44" s="70" t="s">
        <v>10</v>
      </c>
      <c r="M44" s="6">
        <v>290</v>
      </c>
      <c r="N44" s="3">
        <f>IFERROR(INDEX(Tableau6[],MATCH(Tableau3[[#This Row],[FACTURE]],Tableau6[NUM DE FACTURE],0),4),"")</f>
        <v>290</v>
      </c>
      <c r="O44" t="str">
        <f>IF(Tableau3[[#This Row],[CLIENTS]]="","",CONCATENATE(Tableau3[[#This Row],[MODE ]]," ",Tableau3[[#This Row],[ETS PAYEUR]]," ","F/",Tableau3[[#This Row],[FACTURE]]))</f>
        <v>CHEQUE BMS-CI F/290</v>
      </c>
      <c r="Q44">
        <f>+ROW()-ROW(Tableau3[[#Headers],[N° LIGNE_RF]])</f>
        <v>41</v>
      </c>
      <c r="R44" s="6">
        <f>IF(Tableau3[[#This Row],[REFERENCE ]]="","",MATCH(Tableau3[[#This Row],[REFERENCE ]],Tableau3[[REFERENCE ]],0))</f>
        <v>41</v>
      </c>
      <c r="S44"/>
      <c r="T44" s="70"/>
      <c r="U44" s="70"/>
      <c r="Y44"/>
      <c r="AA44"/>
      <c r="AF44"/>
      <c r="AG44"/>
    </row>
    <row r="45" spans="1:33" ht="10.050000000000001" customHeight="1" x14ac:dyDescent="0.2">
      <c r="A45" t="s">
        <v>100</v>
      </c>
      <c r="B45" t="s">
        <v>102</v>
      </c>
      <c r="C45" t="s">
        <v>60</v>
      </c>
      <c r="D45" s="58" t="s">
        <v>84</v>
      </c>
      <c r="E45" s="269">
        <v>19788600</v>
      </c>
      <c r="F45" s="151"/>
      <c r="G45" s="6" t="s">
        <v>157</v>
      </c>
      <c r="H45" s="100" t="s">
        <v>241</v>
      </c>
      <c r="I45" s="224">
        <v>45769</v>
      </c>
      <c r="J45" t="s">
        <v>239</v>
      </c>
      <c r="K45" s="3">
        <v>45772</v>
      </c>
      <c r="L45" s="18" t="s">
        <v>10</v>
      </c>
      <c r="M45" s="6">
        <v>372</v>
      </c>
      <c r="N45" s="3">
        <f>IFERROR(INDEX(Tableau6[],MATCH(Tableau3[[#This Row],[FACTURE]],Tableau6[NUM DE FACTURE],0),4),"")</f>
        <v>372</v>
      </c>
      <c r="O45" t="str">
        <f>IF(Tableau3[[#This Row],[CLIENTS]]="","",CONCATENATE(Tableau3[[#This Row],[MODE ]]," ",Tableau3[[#This Row],[ETS PAYEUR]]," ","F/",Tableau3[[#This Row],[FACTURE]]))</f>
        <v>CHEQUE BMS-CI F/372</v>
      </c>
      <c r="Q45">
        <f>+ROW()-ROW(Tableau3[[#Headers],[N° LIGNE_RF]])</f>
        <v>42</v>
      </c>
      <c r="R45" s="6">
        <f>IF(Tableau3[[#This Row],[REFERENCE ]]="","",MATCH(Tableau3[[#This Row],[REFERENCE ]],Tableau3[[REFERENCE ]],0))</f>
        <v>42</v>
      </c>
      <c r="S45"/>
      <c r="T45" s="70"/>
      <c r="U45" s="70"/>
      <c r="Y45"/>
      <c r="AA45"/>
      <c r="AF45"/>
      <c r="AG45"/>
    </row>
    <row r="46" spans="1:33" ht="10.050000000000001" customHeight="1" x14ac:dyDescent="0.2">
      <c r="A46" t="s">
        <v>100</v>
      </c>
      <c r="B46" t="s">
        <v>138</v>
      </c>
      <c r="C46" t="s">
        <v>60</v>
      </c>
      <c r="D46" s="58" t="s">
        <v>84</v>
      </c>
      <c r="E46" s="270">
        <v>980000</v>
      </c>
      <c r="F46" s="20" t="s">
        <v>154</v>
      </c>
      <c r="G46" s="6" t="s">
        <v>157</v>
      </c>
      <c r="H46" s="100" t="s">
        <v>158</v>
      </c>
      <c r="I46" s="224">
        <v>45770</v>
      </c>
      <c r="J46" t="s">
        <v>16</v>
      </c>
      <c r="L46" s="20" t="s">
        <v>10</v>
      </c>
      <c r="M46" s="6">
        <v>274</v>
      </c>
      <c r="N46" s="35">
        <f>IFERROR(INDEX(Tableau6[],MATCH(Tableau3[[#This Row],[FACTURE]],Tableau6[NUM DE FACTURE],0),4),"")</f>
        <v>274</v>
      </c>
      <c r="O46" s="21" t="str">
        <f>IF(Tableau3[[#This Row],[CLIENTS]]="","",CONCATENATE(Tableau3[[#This Row],[MODE ]]," ",Tableau3[[#This Row],[ETS PAYEUR]]," ","F/",Tableau3[[#This Row],[FACTURE]]))</f>
        <v>CHEQUE BICICI F/274</v>
      </c>
      <c r="Q46">
        <f>+ROW()-ROW(Tableau3[[#Headers],[N° LIGNE_RF]])</f>
        <v>43</v>
      </c>
      <c r="R46" s="6">
        <f>IF(Tableau3[[#This Row],[REFERENCE ]]="","",MATCH(Tableau3[[#This Row],[REFERENCE ]],Tableau3[[REFERENCE ]],0))</f>
        <v>43</v>
      </c>
      <c r="S46"/>
      <c r="T46" s="70"/>
      <c r="U46" s="70"/>
      <c r="Y46"/>
      <c r="AA46"/>
      <c r="AF46"/>
      <c r="AG46"/>
    </row>
    <row r="47" spans="1:33" ht="10.050000000000001" customHeight="1" x14ac:dyDescent="0.2">
      <c r="A47" t="s">
        <v>100</v>
      </c>
      <c r="B47" t="s">
        <v>138</v>
      </c>
      <c r="C47" t="s">
        <v>60</v>
      </c>
      <c r="D47" s="58" t="s">
        <v>84</v>
      </c>
      <c r="E47" s="270">
        <v>1080000</v>
      </c>
      <c r="F47" s="20" t="s">
        <v>154</v>
      </c>
      <c r="G47" s="6" t="s">
        <v>157</v>
      </c>
      <c r="H47" s="100" t="s">
        <v>158</v>
      </c>
      <c r="I47" s="224">
        <v>45770</v>
      </c>
      <c r="J47" t="s">
        <v>16</v>
      </c>
      <c r="L47" s="20" t="s">
        <v>10</v>
      </c>
      <c r="M47" s="6">
        <v>273</v>
      </c>
      <c r="N47" s="3">
        <f>IFERROR(INDEX(Tableau6[],MATCH(Tableau3[[#This Row],[FACTURE]],Tableau6[NUM DE FACTURE],0),4),"")</f>
        <v>273</v>
      </c>
      <c r="O47" t="str">
        <f>IF(Tableau3[[#This Row],[CLIENTS]]="","",CONCATENATE(Tableau3[[#This Row],[MODE ]]," ",Tableau3[[#This Row],[ETS PAYEUR]]," ","F/",Tableau3[[#This Row],[FACTURE]]))</f>
        <v>CHEQUE BICICI F/273</v>
      </c>
      <c r="Q47">
        <f>+ROW()-ROW(Tableau3[[#Headers],[N° LIGNE_RF]])</f>
        <v>44</v>
      </c>
      <c r="R47" s="6">
        <f>IF(Tableau3[[#This Row],[REFERENCE ]]="","",MATCH(Tableau3[[#This Row],[REFERENCE ]],Tableau3[[REFERENCE ]],0))</f>
        <v>43</v>
      </c>
      <c r="S47"/>
      <c r="T47" s="70"/>
      <c r="U47" s="70"/>
      <c r="Y47"/>
      <c r="AA47"/>
      <c r="AF47"/>
      <c r="AG47"/>
    </row>
    <row r="48" spans="1:33" ht="10.050000000000001" customHeight="1" x14ac:dyDescent="0.2">
      <c r="A48" t="s">
        <v>100</v>
      </c>
      <c r="B48" t="s">
        <v>138</v>
      </c>
      <c r="C48" t="s">
        <v>60</v>
      </c>
      <c r="D48" s="58" t="s">
        <v>84</v>
      </c>
      <c r="E48" s="270">
        <v>1610000</v>
      </c>
      <c r="F48" s="20" t="s">
        <v>154</v>
      </c>
      <c r="G48" s="6" t="s">
        <v>157</v>
      </c>
      <c r="H48" s="100" t="s">
        <v>158</v>
      </c>
      <c r="I48" s="224">
        <v>45770</v>
      </c>
      <c r="J48" t="s">
        <v>16</v>
      </c>
      <c r="L48" s="20" t="s">
        <v>10</v>
      </c>
      <c r="M48" s="253">
        <v>261</v>
      </c>
      <c r="N48" s="35">
        <f>IFERROR(INDEX(Tableau6[],MATCH(Tableau3[[#This Row],[FACTURE]],Tableau6[NUM DE FACTURE],0),4),"")</f>
        <v>261</v>
      </c>
      <c r="O48" s="21" t="str">
        <f>IF(Tableau3[[#This Row],[CLIENTS]]="","",CONCATENATE(Tableau3[[#This Row],[MODE ]]," ",Tableau3[[#This Row],[ETS PAYEUR]]," ","F/",Tableau3[[#This Row],[FACTURE]]))</f>
        <v>CHEQUE BICICI F/261</v>
      </c>
      <c r="Q48">
        <f>+ROW()-ROW(Tableau3[[#Headers],[N° LIGNE_RF]])</f>
        <v>45</v>
      </c>
      <c r="R48" s="6">
        <f>IF(Tableau3[[#This Row],[REFERENCE ]]="","",MATCH(Tableau3[[#This Row],[REFERENCE ]],Tableau3[[REFERENCE ]],0))</f>
        <v>43</v>
      </c>
      <c r="S48"/>
      <c r="T48" s="70"/>
      <c r="U48" s="70"/>
      <c r="Y48"/>
      <c r="AA48"/>
      <c r="AF48"/>
      <c r="AG48"/>
    </row>
    <row r="49" spans="1:33" ht="10.050000000000001" customHeight="1" x14ac:dyDescent="0.2">
      <c r="A49" t="s">
        <v>100</v>
      </c>
      <c r="B49" t="s">
        <v>138</v>
      </c>
      <c r="C49" t="s">
        <v>60</v>
      </c>
      <c r="D49" s="58" t="s">
        <v>84</v>
      </c>
      <c r="E49" s="270">
        <v>2478000</v>
      </c>
      <c r="F49" s="20" t="s">
        <v>155</v>
      </c>
      <c r="G49" s="6" t="s">
        <v>157</v>
      </c>
      <c r="H49" s="100" t="s">
        <v>158</v>
      </c>
      <c r="I49" s="224">
        <v>45770</v>
      </c>
      <c r="J49" t="s">
        <v>16</v>
      </c>
      <c r="L49" s="20" t="s">
        <v>10</v>
      </c>
      <c r="M49" s="253">
        <v>272</v>
      </c>
      <c r="N49" s="35">
        <f>IFERROR(INDEX(Tableau6[],MATCH(Tableau3[[#This Row],[FACTURE]],Tableau6[NUM DE FACTURE],0),4),"")</f>
        <v>272</v>
      </c>
      <c r="O49" s="21" t="str">
        <f>IF(Tableau3[[#This Row],[CLIENTS]]="","",CONCATENATE(Tableau3[[#This Row],[MODE ]]," ",Tableau3[[#This Row],[ETS PAYEUR]]," ","F/",Tableau3[[#This Row],[FACTURE]]))</f>
        <v>CHEQUE BICICI F/272</v>
      </c>
      <c r="Q49">
        <f>+ROW()-ROW(Tableau3[[#Headers],[N° LIGNE_RF]])</f>
        <v>46</v>
      </c>
      <c r="R49" s="6">
        <f>IF(Tableau3[[#This Row],[REFERENCE ]]="","",MATCH(Tableau3[[#This Row],[REFERENCE ]],Tableau3[[REFERENCE ]],0))</f>
        <v>43</v>
      </c>
      <c r="S49"/>
      <c r="T49" s="70"/>
      <c r="U49" s="70"/>
      <c r="Y49"/>
      <c r="AA49"/>
      <c r="AF49"/>
      <c r="AG49"/>
    </row>
    <row r="50" spans="1:33" ht="10.050000000000001" customHeight="1" x14ac:dyDescent="0.2">
      <c r="A50" t="s">
        <v>100</v>
      </c>
      <c r="B50" t="s">
        <v>138</v>
      </c>
      <c r="C50" t="s">
        <v>60</v>
      </c>
      <c r="D50" s="58" t="s">
        <v>84</v>
      </c>
      <c r="E50" s="264">
        <v>3386600</v>
      </c>
      <c r="F50" s="20" t="s">
        <v>156</v>
      </c>
      <c r="G50" s="6" t="s">
        <v>157</v>
      </c>
      <c r="H50" s="100" t="s">
        <v>158</v>
      </c>
      <c r="I50" s="224">
        <v>45770</v>
      </c>
      <c r="J50" t="s">
        <v>16</v>
      </c>
      <c r="L50" s="20" t="s">
        <v>10</v>
      </c>
      <c r="M50" s="6">
        <v>278</v>
      </c>
      <c r="N50" s="35">
        <f>IFERROR(INDEX(Tableau6[],MATCH(Tableau3[[#This Row],[FACTURE]],Tableau6[NUM DE FACTURE],0),4),"")</f>
        <v>278</v>
      </c>
      <c r="O50" t="str">
        <f>IF(Tableau3[[#This Row],[CLIENTS]]="","",CONCATENATE(Tableau3[[#This Row],[MODE ]]," ",Tableau3[[#This Row],[ETS PAYEUR]]," ","F/",Tableau3[[#This Row],[FACTURE]]))</f>
        <v>CHEQUE BICICI F/278</v>
      </c>
      <c r="Q50">
        <f>+ROW()-ROW(Tableau3[[#Headers],[N° LIGNE_RF]])</f>
        <v>47</v>
      </c>
      <c r="R50" s="6">
        <f>IF(Tableau3[[#This Row],[REFERENCE ]]="","",MATCH(Tableau3[[#This Row],[REFERENCE ]],Tableau3[[REFERENCE ]],0))</f>
        <v>43</v>
      </c>
      <c r="S50"/>
      <c r="T50" s="70"/>
      <c r="U50" s="70"/>
      <c r="Y50"/>
      <c r="AA50"/>
      <c r="AF50"/>
      <c r="AG50"/>
    </row>
    <row r="51" spans="1:33" ht="10.050000000000001" customHeight="1" x14ac:dyDescent="0.2">
      <c r="A51" t="s">
        <v>100</v>
      </c>
      <c r="B51" t="s">
        <v>138</v>
      </c>
      <c r="C51" t="s">
        <v>60</v>
      </c>
      <c r="D51" s="58" t="s">
        <v>84</v>
      </c>
      <c r="E51" s="270">
        <v>6690600</v>
      </c>
      <c r="F51" s="20" t="s">
        <v>156</v>
      </c>
      <c r="G51" s="6" t="s">
        <v>157</v>
      </c>
      <c r="H51" s="100" t="s">
        <v>158</v>
      </c>
      <c r="I51" s="224">
        <v>45770</v>
      </c>
      <c r="J51" t="s">
        <v>16</v>
      </c>
      <c r="L51" s="20" t="s">
        <v>10</v>
      </c>
      <c r="M51" s="253">
        <v>277</v>
      </c>
      <c r="N51" s="35">
        <f>IFERROR(INDEX(Tableau6[],MATCH(Tableau3[[#This Row],[FACTURE]],Tableau6[NUM DE FACTURE],0),4),"")</f>
        <v>277</v>
      </c>
      <c r="O51" s="21" t="str">
        <f>IF(Tableau3[[#This Row],[CLIENTS]]="","",CONCATENATE(Tableau3[[#This Row],[MODE ]]," ",Tableau3[[#This Row],[ETS PAYEUR]]," ","F/",Tableau3[[#This Row],[FACTURE]]))</f>
        <v>CHEQUE BICICI F/277</v>
      </c>
      <c r="Q51">
        <f>+ROW()-ROW(Tableau3[[#Headers],[N° LIGNE_RF]])</f>
        <v>48</v>
      </c>
      <c r="R51" s="6">
        <f>IF(Tableau3[[#This Row],[REFERENCE ]]="","",MATCH(Tableau3[[#This Row],[REFERENCE ]],Tableau3[[REFERENCE ]],0))</f>
        <v>43</v>
      </c>
      <c r="S51"/>
      <c r="T51" s="70"/>
      <c r="U51" s="70"/>
      <c r="Y51"/>
      <c r="AA51"/>
      <c r="AF51"/>
      <c r="AG51"/>
    </row>
    <row r="52" spans="1:33" ht="10.050000000000001" customHeight="1" x14ac:dyDescent="0.2">
      <c r="A52" t="s">
        <v>100</v>
      </c>
      <c r="B52" t="s">
        <v>138</v>
      </c>
      <c r="C52" t="s">
        <v>60</v>
      </c>
      <c r="D52" s="58" t="s">
        <v>84</v>
      </c>
      <c r="E52" s="270">
        <v>10030000</v>
      </c>
      <c r="F52" s="20" t="s">
        <v>156</v>
      </c>
      <c r="G52" s="6" t="s">
        <v>157</v>
      </c>
      <c r="H52" s="100" t="s">
        <v>158</v>
      </c>
      <c r="I52" s="224">
        <v>45770</v>
      </c>
      <c r="J52" t="s">
        <v>16</v>
      </c>
      <c r="L52" s="20" t="s">
        <v>10</v>
      </c>
      <c r="M52" s="253">
        <v>279</v>
      </c>
      <c r="N52" s="3">
        <f>IFERROR(INDEX(Tableau6[],MATCH(Tableau3[[#This Row],[FACTURE]],Tableau6[NUM DE FACTURE],0),4),"")</f>
        <v>279</v>
      </c>
      <c r="O52" t="str">
        <f>IF(Tableau3[[#This Row],[CLIENTS]]="","",CONCATENATE(Tableau3[[#This Row],[MODE ]]," ",Tableau3[[#This Row],[ETS PAYEUR]]," ","F/",Tableau3[[#This Row],[FACTURE]]))</f>
        <v>CHEQUE BICICI F/279</v>
      </c>
      <c r="Q52">
        <f>+ROW()-ROW(Tableau3[[#Headers],[N° LIGNE_RF]])</f>
        <v>49</v>
      </c>
      <c r="R52" s="6">
        <f>IF(Tableau3[[#This Row],[REFERENCE ]]="","",MATCH(Tableau3[[#This Row],[REFERENCE ]],Tableau3[[REFERENCE ]],0))</f>
        <v>43</v>
      </c>
      <c r="S52"/>
      <c r="T52" s="70"/>
      <c r="U52" s="70"/>
      <c r="Y52"/>
      <c r="AA52"/>
      <c r="AF52"/>
      <c r="AG52"/>
    </row>
    <row r="53" spans="1:33" ht="10.050000000000001" customHeight="1" x14ac:dyDescent="0.2">
      <c r="A53" t="s">
        <v>100</v>
      </c>
      <c r="B53" t="s">
        <v>104</v>
      </c>
      <c r="C53" t="s">
        <v>60</v>
      </c>
      <c r="D53" s="58" t="s">
        <v>84</v>
      </c>
      <c r="E53" s="280">
        <v>255510.72000000003</v>
      </c>
      <c r="F53" s="70"/>
      <c r="G53" s="6" t="s">
        <v>157</v>
      </c>
      <c r="H53" s="100" t="s">
        <v>245</v>
      </c>
      <c r="I53" s="224">
        <v>45786</v>
      </c>
      <c r="J53" t="s">
        <v>246</v>
      </c>
      <c r="K53" s="3">
        <v>45793</v>
      </c>
      <c r="L53" s="70" t="s">
        <v>14</v>
      </c>
      <c r="M53" s="6">
        <v>285</v>
      </c>
      <c r="N53" s="3">
        <f>IFERROR(INDEX(Tableau6[],MATCH(Tableau3[[#This Row],[FACTURE]],Tableau6[NUM DE FACTURE],0),4),"")</f>
        <v>285</v>
      </c>
      <c r="O53" t="str">
        <f>IF(Tableau3[[#This Row],[CLIENTS]]="","",CONCATENATE(Tableau3[[#This Row],[MODE ]]," ",Tableau3[[#This Row],[ETS PAYEUR]]," ","F/",Tableau3[[#This Row],[FACTURE]]))</f>
        <v>CHEQUE ORANGE BANK F/285</v>
      </c>
      <c r="Q53">
        <f>+ROW()-ROW(Tableau3[[#Headers],[N° LIGNE_RF]])</f>
        <v>50</v>
      </c>
      <c r="R53" s="6">
        <f>IF(Tableau3[[#This Row],[REFERENCE ]]="","",MATCH(Tableau3[[#This Row],[REFERENCE ]],Tableau3[[REFERENCE ]],0))</f>
        <v>50</v>
      </c>
      <c r="S53"/>
      <c r="T53" s="70"/>
      <c r="U53" s="70"/>
      <c r="Y53"/>
      <c r="AA53"/>
      <c r="AF53"/>
      <c r="AG53"/>
    </row>
    <row r="54" spans="1:33" ht="10.050000000000001" customHeight="1" x14ac:dyDescent="0.2">
      <c r="A54" t="s">
        <v>100</v>
      </c>
      <c r="B54" t="s">
        <v>104</v>
      </c>
      <c r="C54" t="s">
        <v>60</v>
      </c>
      <c r="D54" s="58" t="s">
        <v>84</v>
      </c>
      <c r="E54" s="280">
        <v>68664.240000000005</v>
      </c>
      <c r="F54" s="70"/>
      <c r="G54" s="6" t="s">
        <v>157</v>
      </c>
      <c r="H54" s="100" t="s">
        <v>245</v>
      </c>
      <c r="I54" s="224">
        <v>45786</v>
      </c>
      <c r="J54" t="s">
        <v>246</v>
      </c>
      <c r="K54" s="3">
        <v>45793</v>
      </c>
      <c r="L54" s="70" t="s">
        <v>14</v>
      </c>
      <c r="M54" s="6">
        <v>286</v>
      </c>
      <c r="N54" s="3">
        <f>IFERROR(INDEX(Tableau6[],MATCH(Tableau3[[#This Row],[FACTURE]],Tableau6[NUM DE FACTURE],0),4),"")</f>
        <v>286</v>
      </c>
      <c r="O54" t="str">
        <f>IF(Tableau3[[#This Row],[CLIENTS]]="","",CONCATENATE(Tableau3[[#This Row],[MODE ]]," ",Tableau3[[#This Row],[ETS PAYEUR]]," ","F/",Tableau3[[#This Row],[FACTURE]]))</f>
        <v>CHEQUE ORANGE BANK F/286</v>
      </c>
      <c r="Q54">
        <f>+ROW()-ROW(Tableau3[[#Headers],[N° LIGNE_RF]])</f>
        <v>51</v>
      </c>
      <c r="R54" s="6">
        <f>IF(Tableau3[[#This Row],[REFERENCE ]]="","",MATCH(Tableau3[[#This Row],[REFERENCE ]],Tableau3[[REFERENCE ]],0))</f>
        <v>50</v>
      </c>
      <c r="S54"/>
      <c r="T54" s="70"/>
      <c r="U54" s="70"/>
      <c r="Y54"/>
      <c r="AA54"/>
      <c r="AF54"/>
      <c r="AG54"/>
    </row>
    <row r="55" spans="1:33" ht="10.050000000000001" customHeight="1" x14ac:dyDescent="0.2">
      <c r="A55" t="s">
        <v>100</v>
      </c>
      <c r="B55" t="s">
        <v>104</v>
      </c>
      <c r="C55" t="s">
        <v>60</v>
      </c>
      <c r="D55" s="58" t="s">
        <v>84</v>
      </c>
      <c r="E55" s="280">
        <f>1514708.64-183925</f>
        <v>1330783.6399999999</v>
      </c>
      <c r="F55" s="70"/>
      <c r="G55" s="6" t="s">
        <v>157</v>
      </c>
      <c r="H55" s="100" t="s">
        <v>245</v>
      </c>
      <c r="I55" s="224">
        <v>45786</v>
      </c>
      <c r="J55" t="s">
        <v>246</v>
      </c>
      <c r="K55" s="3">
        <v>45793</v>
      </c>
      <c r="L55" s="70" t="s">
        <v>14</v>
      </c>
      <c r="M55" s="6">
        <v>287</v>
      </c>
      <c r="N55" s="3">
        <f>IFERROR(INDEX(Tableau6[],MATCH(Tableau3[[#This Row],[FACTURE]],Tableau6[NUM DE FACTURE],0),4),"")</f>
        <v>287</v>
      </c>
      <c r="O55" t="str">
        <f>IF(Tableau3[[#This Row],[CLIENTS]]="","",CONCATENATE(Tableau3[[#This Row],[MODE ]]," ",Tableau3[[#This Row],[ETS PAYEUR]]," ","F/",Tableau3[[#This Row],[FACTURE]]))</f>
        <v>CHEQUE ORANGE BANK F/287</v>
      </c>
      <c r="Q55">
        <f>+ROW()-ROW(Tableau3[[#Headers],[N° LIGNE_RF]])</f>
        <v>52</v>
      </c>
      <c r="R55" s="6">
        <f>IF(Tableau3[[#This Row],[REFERENCE ]]="","",MATCH(Tableau3[[#This Row],[REFERENCE ]],Tableau3[[REFERENCE ]],0))</f>
        <v>50</v>
      </c>
      <c r="S55"/>
      <c r="T55" s="70"/>
      <c r="U55" s="70"/>
      <c r="Y55"/>
      <c r="AA55"/>
      <c r="AF55"/>
      <c r="AG55"/>
    </row>
    <row r="56" spans="1:33" ht="10.050000000000001" customHeight="1" x14ac:dyDescent="0.2">
      <c r="A56" t="s">
        <v>100</v>
      </c>
      <c r="B56" t="s">
        <v>104</v>
      </c>
      <c r="C56" t="s">
        <v>60</v>
      </c>
      <c r="D56" s="58" t="s">
        <v>84</v>
      </c>
      <c r="E56" s="280">
        <v>183925</v>
      </c>
      <c r="F56" s="70"/>
      <c r="G56" s="6" t="s">
        <v>157</v>
      </c>
      <c r="H56" s="100" t="s">
        <v>244</v>
      </c>
      <c r="I56" s="224">
        <v>45791</v>
      </c>
      <c r="J56" t="s">
        <v>9</v>
      </c>
      <c r="K56" s="3">
        <v>45793</v>
      </c>
      <c r="L56" s="70" t="s">
        <v>14</v>
      </c>
      <c r="M56" s="6">
        <v>287</v>
      </c>
      <c r="N56" s="3">
        <f>IFERROR(INDEX(Tableau6[],MATCH(Tableau3[[#This Row],[FACTURE]],Tableau6[NUM DE FACTURE],0),4),"")</f>
        <v>287</v>
      </c>
      <c r="O56" t="str">
        <f>IF(Tableau3[[#This Row],[CLIENTS]]="","",CONCATENATE(Tableau3[[#This Row],[MODE ]]," ",Tableau3[[#This Row],[ETS PAYEUR]]," ","F/",Tableau3[[#This Row],[FACTURE]]))</f>
        <v>CHEQUE SGCI F/287</v>
      </c>
      <c r="Q56">
        <f>+ROW()-ROW(Tableau3[[#Headers],[N° LIGNE_RF]])</f>
        <v>53</v>
      </c>
      <c r="R56" s="6">
        <f>IF(Tableau3[[#This Row],[REFERENCE ]]="","",MATCH(Tableau3[[#This Row],[REFERENCE ]],Tableau3[[REFERENCE ]],0))</f>
        <v>53</v>
      </c>
      <c r="S56"/>
      <c r="T56" s="70"/>
      <c r="U56" s="70"/>
      <c r="Y56"/>
      <c r="AA56"/>
      <c r="AF56"/>
      <c r="AG56"/>
    </row>
    <row r="57" spans="1:33" ht="10.050000000000001" customHeight="1" x14ac:dyDescent="0.2">
      <c r="A57" t="s">
        <v>100</v>
      </c>
      <c r="B57" t="s">
        <v>104</v>
      </c>
      <c r="C57" t="s">
        <v>60</v>
      </c>
      <c r="D57" s="58" t="s">
        <v>84</v>
      </c>
      <c r="E57" s="280">
        <v>444191</v>
      </c>
      <c r="F57" s="70"/>
      <c r="G57" s="6" t="s">
        <v>157</v>
      </c>
      <c r="H57" s="100" t="s">
        <v>244</v>
      </c>
      <c r="I57" s="224">
        <v>45791</v>
      </c>
      <c r="J57" t="s">
        <v>9</v>
      </c>
      <c r="K57" s="3">
        <v>45793</v>
      </c>
      <c r="L57" s="70" t="s">
        <v>14</v>
      </c>
      <c r="M57" s="6">
        <v>288</v>
      </c>
      <c r="N57" s="3">
        <f>IFERROR(INDEX(Tableau6[],MATCH(Tableau3[[#This Row],[FACTURE]],Tableau6[NUM DE FACTURE],0),4),"")</f>
        <v>288</v>
      </c>
      <c r="O57" t="str">
        <f>IF(Tableau3[[#This Row],[CLIENTS]]="","",CONCATENATE(Tableau3[[#This Row],[MODE ]]," ",Tableau3[[#This Row],[ETS PAYEUR]]," ","F/",Tableau3[[#This Row],[FACTURE]]))</f>
        <v>CHEQUE SGCI F/288</v>
      </c>
      <c r="Q57">
        <f>+ROW()-ROW(Tableau3[[#Headers],[N° LIGNE_RF]])</f>
        <v>54</v>
      </c>
      <c r="R57" s="6">
        <f>IF(Tableau3[[#This Row],[REFERENCE ]]="","",MATCH(Tableau3[[#This Row],[REFERENCE ]],Tableau3[[REFERENCE ]],0))</f>
        <v>53</v>
      </c>
      <c r="S57"/>
      <c r="T57" s="70"/>
      <c r="U57" s="70"/>
      <c r="Y57"/>
      <c r="AA57"/>
      <c r="AF57"/>
      <c r="AG57"/>
    </row>
    <row r="58" spans="1:33" ht="10.050000000000001" customHeight="1" x14ac:dyDescent="0.2">
      <c r="A58" t="s">
        <v>100</v>
      </c>
      <c r="B58" t="s">
        <v>105</v>
      </c>
      <c r="C58" t="s">
        <v>61</v>
      </c>
      <c r="D58" s="58" t="s">
        <v>84</v>
      </c>
      <c r="E58" s="285">
        <v>1566766.8000000003</v>
      </c>
      <c r="F58" s="209"/>
      <c r="G58" s="6" t="s">
        <v>63</v>
      </c>
      <c r="H58" s="100" t="s">
        <v>351</v>
      </c>
      <c r="I58" s="224">
        <v>45793</v>
      </c>
      <c r="J58" t="s">
        <v>105</v>
      </c>
      <c r="K58" s="3">
        <v>45793</v>
      </c>
      <c r="L58" s="18" t="s">
        <v>69</v>
      </c>
      <c r="M58" s="6">
        <v>8</v>
      </c>
      <c r="N58" s="3">
        <f>IFERROR(INDEX(Tableau6[],MATCH(Tableau3[[#This Row],[FACTURE]],Tableau6[NUM DE FACTURE],0),4),"")</f>
        <v>8</v>
      </c>
      <c r="O58" t="str">
        <f>IF(Tableau3[[#This Row],[CLIENTS]]="","",CONCATENATE(Tableau3[[#This Row],[MODE ]]," ",Tableau3[[#This Row],[ETS PAYEUR]]," ","F/",Tableau3[[#This Row],[FACTURE]]))</f>
        <v>ESPECES M IBRAHIM SALHAB F/8</v>
      </c>
      <c r="P58" t="s">
        <v>352</v>
      </c>
      <c r="Q58">
        <f>+ROW()-ROW(Tableau3[[#Headers],[N° LIGNE_RF]])</f>
        <v>55</v>
      </c>
      <c r="R58" s="6">
        <f>IF(Tableau3[[#This Row],[REFERENCE ]]="","",MATCH(Tableau3[[#This Row],[REFERENCE ]],Tableau3[[REFERENCE ]],0))</f>
        <v>55</v>
      </c>
      <c r="S58"/>
      <c r="T58" s="70"/>
      <c r="U58" s="70"/>
      <c r="Y58"/>
      <c r="AA58"/>
      <c r="AF58"/>
      <c r="AG58"/>
    </row>
    <row r="59" spans="1:33" ht="10.050000000000001" customHeight="1" x14ac:dyDescent="0.2">
      <c r="A59" t="s">
        <v>100</v>
      </c>
      <c r="B59" t="s">
        <v>102</v>
      </c>
      <c r="C59" t="s">
        <v>60</v>
      </c>
      <c r="D59" s="58" t="s">
        <v>84</v>
      </c>
      <c r="E59" s="264">
        <v>18531900</v>
      </c>
      <c r="F59" s="18"/>
      <c r="G59" s="6" t="s">
        <v>157</v>
      </c>
      <c r="H59" s="100" t="s">
        <v>243</v>
      </c>
      <c r="I59" s="224">
        <v>45804</v>
      </c>
      <c r="J59" t="s">
        <v>14</v>
      </c>
      <c r="K59" s="3">
        <v>45805</v>
      </c>
      <c r="L59" s="18" t="s">
        <v>14</v>
      </c>
      <c r="M59" s="6">
        <v>397</v>
      </c>
      <c r="N59" s="3">
        <f>IFERROR(INDEX(Tableau6[],MATCH(Tableau3[[#This Row],[FACTURE]],Tableau6[NUM DE FACTURE],0),4),"")</f>
        <v>397</v>
      </c>
      <c r="O59" t="str">
        <f>IF(Tableau3[[#This Row],[CLIENTS]]="","",CONCATENATE(Tableau3[[#This Row],[MODE ]]," ",Tableau3[[#This Row],[ETS PAYEUR]]," ","F/",Tableau3[[#This Row],[FACTURE]]))</f>
        <v>CHEQUE NSIA F/397</v>
      </c>
      <c r="Q59">
        <f>+ROW()-ROW(Tableau3[[#Headers],[N° LIGNE_RF]])</f>
        <v>56</v>
      </c>
      <c r="R59" s="6">
        <f>IF(Tableau3[[#This Row],[REFERENCE ]]="","",MATCH(Tableau3[[#This Row],[REFERENCE ]],Tableau3[[REFERENCE ]],0))</f>
        <v>56</v>
      </c>
      <c r="S59"/>
      <c r="T59" s="70"/>
      <c r="U59" s="70"/>
      <c r="Y59"/>
      <c r="AA59"/>
      <c r="AF59"/>
      <c r="AG59"/>
    </row>
    <row r="60" spans="1:33" ht="10.050000000000001" customHeight="1" x14ac:dyDescent="0.2">
      <c r="A60" s="401" t="s">
        <v>100</v>
      </c>
      <c r="B60" s="401" t="s">
        <v>138</v>
      </c>
      <c r="C60" s="401" t="s">
        <v>60</v>
      </c>
      <c r="D60" s="402" t="s">
        <v>84</v>
      </c>
      <c r="E60" s="403">
        <v>-778800</v>
      </c>
      <c r="F60" s="404" t="s">
        <v>203</v>
      </c>
      <c r="G60" s="405" t="s">
        <v>157</v>
      </c>
      <c r="H60" s="406" t="s">
        <v>196</v>
      </c>
      <c r="I60" s="407">
        <v>45807</v>
      </c>
      <c r="J60" s="401" t="s">
        <v>14</v>
      </c>
      <c r="K60" s="401"/>
      <c r="L60" s="408" t="s">
        <v>10</v>
      </c>
      <c r="M60" s="405" t="s">
        <v>645</v>
      </c>
      <c r="N60" s="150" t="str">
        <f>IFERROR(INDEX(Tableau6[],MATCH(Tableau3[[#This Row],[FACTURE]],Tableau6[NUM DE FACTURE],0),4),"")</f>
        <v/>
      </c>
      <c r="O60" s="401" t="str">
        <f>IF(Tableau3[[#This Row],[CLIENTS]]="","",CONCATENATE(Tableau3[[#This Row],[MODE ]]," ",Tableau3[[#This Row],[ETS PAYEUR]]," ","F/",Tableau3[[#This Row],[FACTURE]]))</f>
        <v>CHEQUE NSIA F/51 EXT</v>
      </c>
      <c r="P60" s="401"/>
      <c r="Q60" s="401">
        <f>+ROW()-ROW(Tableau3[[#Headers],[N° LIGNE_RF]])</f>
        <v>57</v>
      </c>
      <c r="R60" s="405">
        <f>IF(Tableau3[[#This Row],[REFERENCE ]]="","",MATCH(Tableau3[[#This Row],[REFERENCE ]],Tableau3[[REFERENCE ]],0))</f>
        <v>57</v>
      </c>
      <c r="S60"/>
      <c r="T60" s="70"/>
      <c r="U60" s="70"/>
      <c r="Y60"/>
      <c r="AA60"/>
      <c r="AF60"/>
      <c r="AG60"/>
    </row>
    <row r="61" spans="1:33" ht="10.050000000000001" customHeight="1" x14ac:dyDescent="0.2">
      <c r="A61" t="s">
        <v>100</v>
      </c>
      <c r="B61" t="s">
        <v>138</v>
      </c>
      <c r="C61" t="s">
        <v>60</v>
      </c>
      <c r="D61" s="58" t="s">
        <v>84</v>
      </c>
      <c r="E61" s="271">
        <v>212400</v>
      </c>
      <c r="F61" s="18" t="s">
        <v>199</v>
      </c>
      <c r="G61" s="6" t="s">
        <v>157</v>
      </c>
      <c r="H61" s="100" t="s">
        <v>196</v>
      </c>
      <c r="I61" s="224">
        <v>45807</v>
      </c>
      <c r="J61" t="s">
        <v>14</v>
      </c>
      <c r="L61" s="20" t="s">
        <v>10</v>
      </c>
      <c r="M61" s="6">
        <v>304</v>
      </c>
      <c r="N61" s="3">
        <f>IFERROR(INDEX(Tableau6[],MATCH(Tableau3[[#This Row],[FACTURE]],Tableau6[NUM DE FACTURE],0),4),"")</f>
        <v>304</v>
      </c>
      <c r="O61" t="str">
        <f>IF(Tableau3[[#This Row],[CLIENTS]]="","",CONCATENATE(Tableau3[[#This Row],[MODE ]]," ",Tableau3[[#This Row],[ETS PAYEUR]]," ","F/",Tableau3[[#This Row],[FACTURE]]))</f>
        <v>CHEQUE NSIA F/304</v>
      </c>
      <c r="Q61">
        <f>+ROW()-ROW(Tableau3[[#Headers],[N° LIGNE_RF]])</f>
        <v>58</v>
      </c>
      <c r="R61" s="6">
        <f>IF(Tableau3[[#This Row],[REFERENCE ]]="","",MATCH(Tableau3[[#This Row],[REFERENCE ]],Tableau3[[REFERENCE ]],0))</f>
        <v>57</v>
      </c>
      <c r="S61" s="70"/>
      <c r="T61" s="70"/>
      <c r="U61" s="70"/>
      <c r="Y61"/>
      <c r="AA61"/>
      <c r="AF61"/>
      <c r="AG61"/>
    </row>
    <row r="62" spans="1:33" ht="10.050000000000001" customHeight="1" x14ac:dyDescent="0.2">
      <c r="A62" t="s">
        <v>100</v>
      </c>
      <c r="B62" t="s">
        <v>138</v>
      </c>
      <c r="C62" t="s">
        <v>60</v>
      </c>
      <c r="D62" s="58" t="s">
        <v>84</v>
      </c>
      <c r="E62" s="267">
        <v>212400</v>
      </c>
      <c r="F62" s="139" t="s">
        <v>171</v>
      </c>
      <c r="G62" s="6" t="s">
        <v>157</v>
      </c>
      <c r="H62" s="100" t="s">
        <v>196</v>
      </c>
      <c r="I62" s="252">
        <v>45807</v>
      </c>
      <c r="J62" t="s">
        <v>14</v>
      </c>
      <c r="L62" s="20" t="s">
        <v>10</v>
      </c>
      <c r="M62" s="256">
        <v>309</v>
      </c>
      <c r="N62" s="138">
        <f>IFERROR(INDEX(Tableau6[],MATCH(Tableau3[[#This Row],[FACTURE]],Tableau6[NUM DE FACTURE],0),4),"")</f>
        <v>309</v>
      </c>
      <c r="O62" s="137" t="str">
        <f>IF(Tableau3[[#This Row],[CLIENTS]]="","",CONCATENATE(Tableau3[[#This Row],[MODE ]]," ",Tableau3[[#This Row],[ETS PAYEUR]]," ","F/",Tableau3[[#This Row],[FACTURE]]))</f>
        <v>CHEQUE NSIA F/309</v>
      </c>
      <c r="P62" s="137"/>
      <c r="Q62">
        <f>+ROW()-ROW(Tableau3[[#Headers],[N° LIGNE_RF]])</f>
        <v>59</v>
      </c>
      <c r="R62" s="6">
        <f>IF(Tableau3[[#This Row],[REFERENCE ]]="","",MATCH(Tableau3[[#This Row],[REFERENCE ]],Tableau3[[REFERENCE ]],0))</f>
        <v>57</v>
      </c>
      <c r="S62" s="70"/>
      <c r="T62" s="70"/>
      <c r="Y62"/>
      <c r="AA62"/>
      <c r="AF62"/>
      <c r="AG62"/>
    </row>
    <row r="63" spans="1:33" ht="10.050000000000001" customHeight="1" x14ac:dyDescent="0.2">
      <c r="A63" t="s">
        <v>100</v>
      </c>
      <c r="B63" t="s">
        <v>138</v>
      </c>
      <c r="C63" t="s">
        <v>60</v>
      </c>
      <c r="D63" s="58" t="s">
        <v>84</v>
      </c>
      <c r="E63" s="272">
        <v>236000</v>
      </c>
      <c r="F63" s="70" t="s">
        <v>169</v>
      </c>
      <c r="G63" s="6" t="s">
        <v>157</v>
      </c>
      <c r="H63" s="101" t="s">
        <v>196</v>
      </c>
      <c r="I63" s="224">
        <v>45807</v>
      </c>
      <c r="J63" t="s">
        <v>14</v>
      </c>
      <c r="L63" s="20" t="s">
        <v>10</v>
      </c>
      <c r="M63" s="6" t="s">
        <v>674</v>
      </c>
      <c r="N63" s="3" t="str">
        <f>IFERROR(INDEX(Tableau6[],MATCH(Tableau3[[#This Row],[FACTURE]],Tableau6[NUM DE FACTURE],0),4),"")</f>
        <v/>
      </c>
      <c r="O63" t="str">
        <f>IF(Tableau3[[#This Row],[CLIENTS]]="","",CONCATENATE(Tableau3[[#This Row],[MODE ]]," ",Tableau3[[#This Row],[ETS PAYEUR]]," ","F/",Tableau3[[#This Row],[FACTURE]]))</f>
        <v>CHEQUE NSIA F/178 EXO24</v>
      </c>
      <c r="Q63">
        <f>+ROW()-ROW(Tableau3[[#Headers],[N° LIGNE_RF]])</f>
        <v>60</v>
      </c>
      <c r="R63" s="6">
        <f>IF(Tableau3[[#This Row],[REFERENCE ]]="","",MATCH(Tableau3[[#This Row],[REFERENCE ]],Tableau3[[REFERENCE ]],0))</f>
        <v>57</v>
      </c>
      <c r="S63" s="70"/>
      <c r="T63" s="70"/>
      <c r="Y63"/>
      <c r="AA63"/>
      <c r="AF63"/>
      <c r="AG63"/>
    </row>
    <row r="64" spans="1:33" ht="10.050000000000001" customHeight="1" x14ac:dyDescent="0.2">
      <c r="A64" t="s">
        <v>100</v>
      </c>
      <c r="B64" t="s">
        <v>138</v>
      </c>
      <c r="C64" t="s">
        <v>60</v>
      </c>
      <c r="D64" s="58" t="s">
        <v>84</v>
      </c>
      <c r="E64" s="264">
        <v>236000</v>
      </c>
      <c r="F64" s="18" t="s">
        <v>165</v>
      </c>
      <c r="G64" s="6" t="s">
        <v>157</v>
      </c>
      <c r="H64" s="100" t="s">
        <v>196</v>
      </c>
      <c r="I64" s="224">
        <v>45807</v>
      </c>
      <c r="J64" t="s">
        <v>14</v>
      </c>
      <c r="L64" s="20" t="s">
        <v>10</v>
      </c>
      <c r="M64" s="6">
        <v>236</v>
      </c>
      <c r="N64" s="3">
        <f>IFERROR(INDEX(Tableau6[],MATCH(Tableau3[[#This Row],[FACTURE]],Tableau6[NUM DE FACTURE],0),4),"")</f>
        <v>236</v>
      </c>
      <c r="O64" t="str">
        <f>IF(Tableau3[[#This Row],[CLIENTS]]="","",CONCATENATE(Tableau3[[#This Row],[MODE ]]," ",Tableau3[[#This Row],[ETS PAYEUR]]," ","F/",Tableau3[[#This Row],[FACTURE]]))</f>
        <v>CHEQUE NSIA F/236</v>
      </c>
      <c r="Q64">
        <f>+ROW()-ROW(Tableau3[[#Headers],[N° LIGNE_RF]])</f>
        <v>61</v>
      </c>
      <c r="R64" s="6">
        <f>IF(Tableau3[[#This Row],[REFERENCE ]]="","",MATCH(Tableau3[[#This Row],[REFERENCE ]],Tableau3[[REFERENCE ]],0))</f>
        <v>57</v>
      </c>
      <c r="S64" s="70"/>
      <c r="T64" s="70"/>
      <c r="Y64"/>
      <c r="AA64"/>
      <c r="AF64"/>
      <c r="AG64"/>
    </row>
    <row r="65" spans="1:33" ht="10.050000000000001" customHeight="1" x14ac:dyDescent="0.2">
      <c r="A65" t="s">
        <v>100</v>
      </c>
      <c r="B65" t="s">
        <v>138</v>
      </c>
      <c r="C65" t="s">
        <v>60</v>
      </c>
      <c r="D65" s="58" t="s">
        <v>84</v>
      </c>
      <c r="E65" s="264">
        <v>236000</v>
      </c>
      <c r="F65" s="18" t="s">
        <v>165</v>
      </c>
      <c r="G65" s="6" t="s">
        <v>157</v>
      </c>
      <c r="H65" s="100" t="s">
        <v>196</v>
      </c>
      <c r="I65" s="224">
        <v>45807</v>
      </c>
      <c r="J65" t="s">
        <v>14</v>
      </c>
      <c r="L65" s="20" t="s">
        <v>10</v>
      </c>
      <c r="M65" s="6">
        <v>235</v>
      </c>
      <c r="N65" s="3">
        <f>IFERROR(INDEX(Tableau6[],MATCH(Tableau3[[#This Row],[FACTURE]],Tableau6[NUM DE FACTURE],0),4),"")</f>
        <v>235</v>
      </c>
      <c r="O65" t="str">
        <f>IF(Tableau3[[#This Row],[CLIENTS]]="","",CONCATENATE(Tableau3[[#This Row],[MODE ]]," ",Tableau3[[#This Row],[ETS PAYEUR]]," ","F/",Tableau3[[#This Row],[FACTURE]]))</f>
        <v>CHEQUE NSIA F/235</v>
      </c>
      <c r="Q65">
        <f>+ROW()-ROW(Tableau3[[#Headers],[N° LIGNE_RF]])</f>
        <v>62</v>
      </c>
      <c r="R65" s="6">
        <f>IF(Tableau3[[#This Row],[REFERENCE ]]="","",MATCH(Tableau3[[#This Row],[REFERENCE ]],Tableau3[[REFERENCE ]],0))</f>
        <v>57</v>
      </c>
      <c r="S65" s="70"/>
      <c r="T65" s="70"/>
      <c r="Y65"/>
      <c r="AA65"/>
      <c r="AF65"/>
      <c r="AG65"/>
    </row>
    <row r="66" spans="1:33" ht="10.050000000000001" customHeight="1" x14ac:dyDescent="0.2">
      <c r="A66" t="s">
        <v>100</v>
      </c>
      <c r="B66" t="s">
        <v>138</v>
      </c>
      <c r="C66" t="s">
        <v>60</v>
      </c>
      <c r="D66" s="58" t="s">
        <v>84</v>
      </c>
      <c r="E66" s="264">
        <v>389400</v>
      </c>
      <c r="F66" s="18" t="s">
        <v>171</v>
      </c>
      <c r="G66" s="6" t="s">
        <v>157</v>
      </c>
      <c r="H66" s="100" t="s">
        <v>196</v>
      </c>
      <c r="I66" s="224">
        <v>45807</v>
      </c>
      <c r="J66" t="s">
        <v>14</v>
      </c>
      <c r="L66" s="20" t="s">
        <v>10</v>
      </c>
      <c r="M66" s="6">
        <v>228</v>
      </c>
      <c r="N66" s="3">
        <f>IFERROR(INDEX(Tableau6[],MATCH(Tableau3[[#This Row],[FACTURE]],Tableau6[NUM DE FACTURE],0),4),"")</f>
        <v>228</v>
      </c>
      <c r="O66" t="str">
        <f>IF(Tableau3[[#This Row],[CLIENTS]]="","",CONCATENATE(Tableau3[[#This Row],[MODE ]]," ",Tableau3[[#This Row],[ETS PAYEUR]]," ","F/",Tableau3[[#This Row],[FACTURE]]))</f>
        <v>CHEQUE NSIA F/228</v>
      </c>
      <c r="Q66">
        <f>+ROW()-ROW(Tableau3[[#Headers],[N° LIGNE_RF]])</f>
        <v>63</v>
      </c>
      <c r="R66" s="6">
        <f>IF(Tableau3[[#This Row],[REFERENCE ]]="","",MATCH(Tableau3[[#This Row],[REFERENCE ]],Tableau3[[REFERENCE ]],0))</f>
        <v>57</v>
      </c>
      <c r="S66" s="70"/>
      <c r="T66" s="70"/>
      <c r="Y66"/>
      <c r="AA66"/>
      <c r="AF66"/>
      <c r="AG66"/>
    </row>
    <row r="67" spans="1:33" ht="10.050000000000001" customHeight="1" x14ac:dyDescent="0.2">
      <c r="A67" t="s">
        <v>100</v>
      </c>
      <c r="B67" t="s">
        <v>138</v>
      </c>
      <c r="C67" t="s">
        <v>60</v>
      </c>
      <c r="D67" s="58" t="s">
        <v>84</v>
      </c>
      <c r="E67" s="273">
        <v>389400</v>
      </c>
      <c r="F67" s="18" t="s">
        <v>199</v>
      </c>
      <c r="G67" s="6" t="s">
        <v>157</v>
      </c>
      <c r="H67" s="100" t="s">
        <v>196</v>
      </c>
      <c r="I67" s="224">
        <v>45807</v>
      </c>
      <c r="J67" t="s">
        <v>14</v>
      </c>
      <c r="L67" s="20" t="s">
        <v>10</v>
      </c>
      <c r="M67" s="6">
        <v>248</v>
      </c>
      <c r="N67" s="3">
        <f>IFERROR(INDEX(Tableau6[],MATCH(Tableau3[[#This Row],[FACTURE]],Tableau6[NUM DE FACTURE],0),4),"")</f>
        <v>248</v>
      </c>
      <c r="O67" t="str">
        <f>IF(Tableau3[[#This Row],[CLIENTS]]="","",CONCATENATE(Tableau3[[#This Row],[MODE ]]," ",Tableau3[[#This Row],[ETS PAYEUR]]," ","F/",Tableau3[[#This Row],[FACTURE]]))</f>
        <v>CHEQUE NSIA F/248</v>
      </c>
      <c r="Q67">
        <f>+ROW()-ROW(Tableau3[[#Headers],[N° LIGNE_RF]])</f>
        <v>64</v>
      </c>
      <c r="R67" s="6">
        <f>IF(Tableau3[[#This Row],[REFERENCE ]]="","",MATCH(Tableau3[[#This Row],[REFERENCE ]],Tableau3[[REFERENCE ]],0))</f>
        <v>57</v>
      </c>
      <c r="S67" s="70"/>
      <c r="T67" s="70"/>
      <c r="Y67"/>
      <c r="AA67"/>
      <c r="AF67"/>
      <c r="AG67"/>
    </row>
    <row r="68" spans="1:33" ht="10.050000000000001" customHeight="1" x14ac:dyDescent="0.2">
      <c r="A68" t="s">
        <v>100</v>
      </c>
      <c r="B68" t="s">
        <v>138</v>
      </c>
      <c r="C68" t="s">
        <v>60</v>
      </c>
      <c r="D68" s="58" t="s">
        <v>84</v>
      </c>
      <c r="E68" s="274">
        <v>401200</v>
      </c>
      <c r="F68" s="18" t="s">
        <v>210</v>
      </c>
      <c r="G68" s="6" t="s">
        <v>157</v>
      </c>
      <c r="H68" s="100" t="s">
        <v>196</v>
      </c>
      <c r="I68" s="224">
        <v>45807</v>
      </c>
      <c r="J68" t="s">
        <v>14</v>
      </c>
      <c r="L68" s="20" t="s">
        <v>10</v>
      </c>
      <c r="M68" s="6">
        <v>291</v>
      </c>
      <c r="N68" s="3">
        <f>IFERROR(INDEX(Tableau6[],MATCH(Tableau3[[#This Row],[FACTURE]],Tableau6[NUM DE FACTURE],0),4),"")</f>
        <v>291</v>
      </c>
      <c r="O68" t="str">
        <f>IF(Tableau3[[#This Row],[CLIENTS]]="","",CONCATENATE(Tableau3[[#This Row],[MODE ]]," ",Tableau3[[#This Row],[ETS PAYEUR]]," ","F/",Tableau3[[#This Row],[FACTURE]]))</f>
        <v>CHEQUE NSIA F/291</v>
      </c>
      <c r="Q68">
        <f>+ROW()-ROW(Tableau3[[#Headers],[N° LIGNE_RF]])</f>
        <v>65</v>
      </c>
      <c r="R68" s="6">
        <f>IF(Tableau3[[#This Row],[REFERENCE ]]="","",MATCH(Tableau3[[#This Row],[REFERENCE ]],Tableau3[[REFERENCE ]],0))</f>
        <v>57</v>
      </c>
      <c r="S68" s="70"/>
      <c r="T68" s="70"/>
      <c r="Y68"/>
      <c r="AA68"/>
      <c r="AF68"/>
      <c r="AG68"/>
    </row>
    <row r="69" spans="1:33" s="137" customFormat="1" ht="10.050000000000001" customHeight="1" x14ac:dyDescent="0.2">
      <c r="A69" t="s">
        <v>100</v>
      </c>
      <c r="B69" t="s">
        <v>138</v>
      </c>
      <c r="C69" t="s">
        <v>60</v>
      </c>
      <c r="D69" s="58" t="s">
        <v>84</v>
      </c>
      <c r="E69" s="264">
        <v>424800</v>
      </c>
      <c r="F69" s="18" t="s">
        <v>165</v>
      </c>
      <c r="G69" s="6" t="s">
        <v>157</v>
      </c>
      <c r="H69" s="100" t="s">
        <v>196</v>
      </c>
      <c r="I69" s="224">
        <v>45807</v>
      </c>
      <c r="J69" t="s">
        <v>14</v>
      </c>
      <c r="K69"/>
      <c r="L69" s="20" t="s">
        <v>10</v>
      </c>
      <c r="M69" s="6">
        <v>234</v>
      </c>
      <c r="N69" s="3">
        <f>IFERROR(INDEX(Tableau6[],MATCH(Tableau3[[#This Row],[FACTURE]],Tableau6[NUM DE FACTURE],0),4),"")</f>
        <v>234</v>
      </c>
      <c r="O69" t="str">
        <f>IF(Tableau3[[#This Row],[CLIENTS]]="","",CONCATENATE(Tableau3[[#This Row],[MODE ]]," ",Tableau3[[#This Row],[ETS PAYEUR]]," ","F/",Tableau3[[#This Row],[FACTURE]]))</f>
        <v>CHEQUE NSIA F/234</v>
      </c>
      <c r="P69"/>
      <c r="Q69">
        <f>+ROW()-ROW(Tableau3[[#Headers],[N° LIGNE_RF]])</f>
        <v>66</v>
      </c>
      <c r="R69" s="6">
        <f>IF(Tableau3[[#This Row],[REFERENCE ]]="","",MATCH(Tableau3[[#This Row],[REFERENCE ]],Tableau3[[REFERENCE ]],0))</f>
        <v>57</v>
      </c>
      <c r="S69" s="475"/>
      <c r="T69" s="475"/>
    </row>
    <row r="70" spans="1:33" ht="10.050000000000001" customHeight="1" x14ac:dyDescent="0.2">
      <c r="A70" t="s">
        <v>100</v>
      </c>
      <c r="B70" t="s">
        <v>138</v>
      </c>
      <c r="C70" t="s">
        <v>60</v>
      </c>
      <c r="D70" s="58" t="s">
        <v>84</v>
      </c>
      <c r="E70" s="275">
        <v>472000</v>
      </c>
      <c r="F70" s="18" t="s">
        <v>170</v>
      </c>
      <c r="G70" s="6" t="s">
        <v>157</v>
      </c>
      <c r="H70" s="100" t="s">
        <v>196</v>
      </c>
      <c r="I70" s="224">
        <v>45807</v>
      </c>
      <c r="J70" t="s">
        <v>14</v>
      </c>
      <c r="L70" s="20" t="s">
        <v>10</v>
      </c>
      <c r="M70" s="6">
        <v>220</v>
      </c>
      <c r="N70" s="3">
        <f>IFERROR(INDEX(Tableau6[],MATCH(Tableau3[[#This Row],[FACTURE]],Tableau6[NUM DE FACTURE],0),4),"")</f>
        <v>220</v>
      </c>
      <c r="O70" t="str">
        <f>IF(Tableau3[[#This Row],[CLIENTS]]="","",CONCATENATE(Tableau3[[#This Row],[MODE ]]," ",Tableau3[[#This Row],[ETS PAYEUR]]," ","F/",Tableau3[[#This Row],[FACTURE]]))</f>
        <v>CHEQUE NSIA F/220</v>
      </c>
      <c r="Q70">
        <f>+ROW()-ROW(Tableau3[[#Headers],[N° LIGNE_RF]])</f>
        <v>67</v>
      </c>
      <c r="R70" s="6">
        <f>IF(Tableau3[[#This Row],[REFERENCE ]]="","",MATCH(Tableau3[[#This Row],[REFERENCE ]],Tableau3[[REFERENCE ]],0))</f>
        <v>57</v>
      </c>
      <c r="S70" s="70"/>
      <c r="T70" s="70"/>
      <c r="Y70"/>
      <c r="AA70"/>
      <c r="AF70"/>
      <c r="AG70"/>
    </row>
    <row r="71" spans="1:33" ht="10.050000000000001" customHeight="1" x14ac:dyDescent="0.2">
      <c r="A71" t="s">
        <v>100</v>
      </c>
      <c r="B71" t="s">
        <v>138</v>
      </c>
      <c r="C71" t="s">
        <v>60</v>
      </c>
      <c r="D71" s="58" t="s">
        <v>84</v>
      </c>
      <c r="E71" s="264">
        <v>637200</v>
      </c>
      <c r="F71" s="18" t="s">
        <v>165</v>
      </c>
      <c r="G71" s="6" t="s">
        <v>157</v>
      </c>
      <c r="H71" s="100" t="s">
        <v>196</v>
      </c>
      <c r="I71" s="224">
        <v>45807</v>
      </c>
      <c r="J71" t="s">
        <v>14</v>
      </c>
      <c r="L71" s="20" t="s">
        <v>10</v>
      </c>
      <c r="M71" s="6">
        <v>212</v>
      </c>
      <c r="N71" s="3">
        <f>IFERROR(INDEX(Tableau6[],MATCH(Tableau3[[#This Row],[FACTURE]],Tableau6[NUM DE FACTURE],0),4),"")</f>
        <v>212</v>
      </c>
      <c r="O71" t="str">
        <f>IF(Tableau3[[#This Row],[CLIENTS]]="","",CONCATENATE(Tableau3[[#This Row],[MODE ]]," ",Tableau3[[#This Row],[ETS PAYEUR]]," ","F/",Tableau3[[#This Row],[FACTURE]]))</f>
        <v>CHEQUE NSIA F/212</v>
      </c>
      <c r="Q71">
        <f>+ROW()-ROW(Tableau3[[#Headers],[N° LIGNE_RF]])</f>
        <v>68</v>
      </c>
      <c r="R71" s="6">
        <f>IF(Tableau3[[#This Row],[REFERENCE ]]="","",MATCH(Tableau3[[#This Row],[REFERENCE ]],Tableau3[[REFERENCE ]],0))</f>
        <v>57</v>
      </c>
      <c r="S71" s="70"/>
      <c r="T71" s="70"/>
      <c r="Y71"/>
      <c r="AA71"/>
      <c r="AF71"/>
      <c r="AG71"/>
    </row>
    <row r="72" spans="1:33" s="137" customFormat="1" ht="10.050000000000001" customHeight="1" x14ac:dyDescent="0.2">
      <c r="A72" t="s">
        <v>100</v>
      </c>
      <c r="B72" t="s">
        <v>138</v>
      </c>
      <c r="C72" t="s">
        <v>60</v>
      </c>
      <c r="D72" s="58" t="s">
        <v>84</v>
      </c>
      <c r="E72" s="276">
        <v>637200</v>
      </c>
      <c r="F72" s="18" t="s">
        <v>171</v>
      </c>
      <c r="G72" s="6" t="s">
        <v>157</v>
      </c>
      <c r="H72" s="100" t="s">
        <v>196</v>
      </c>
      <c r="I72" s="224">
        <v>45807</v>
      </c>
      <c r="J72" t="s">
        <v>14</v>
      </c>
      <c r="K72"/>
      <c r="L72" s="20" t="s">
        <v>10</v>
      </c>
      <c r="M72" s="6">
        <v>218</v>
      </c>
      <c r="N72" s="3">
        <f>IFERROR(INDEX(Tableau6[],MATCH(Tableau3[[#This Row],[FACTURE]],Tableau6[NUM DE FACTURE],0),4),"")</f>
        <v>218</v>
      </c>
      <c r="O72" t="str">
        <f>IF(Tableau3[[#This Row],[CLIENTS]]="","",CONCATENATE(Tableau3[[#This Row],[MODE ]]," ",Tableau3[[#This Row],[ETS PAYEUR]]," ","F/",Tableau3[[#This Row],[FACTURE]]))</f>
        <v>CHEQUE NSIA F/218</v>
      </c>
      <c r="P72"/>
      <c r="Q72">
        <f>+ROW()-ROW(Tableau3[[#Headers],[N° LIGNE_RF]])</f>
        <v>69</v>
      </c>
      <c r="R72" s="6">
        <f>IF(Tableau3[[#This Row],[REFERENCE ]]="","",MATCH(Tableau3[[#This Row],[REFERENCE ]],Tableau3[[REFERENCE ]],0))</f>
        <v>57</v>
      </c>
      <c r="S72" s="475"/>
      <c r="T72" s="475"/>
    </row>
    <row r="73" spans="1:33" ht="10.050000000000001" customHeight="1" x14ac:dyDescent="0.2">
      <c r="A73" t="s">
        <v>100</v>
      </c>
      <c r="B73" t="s">
        <v>138</v>
      </c>
      <c r="C73" t="s">
        <v>60</v>
      </c>
      <c r="D73" s="58" t="s">
        <v>84</v>
      </c>
      <c r="E73" s="277">
        <v>637200</v>
      </c>
      <c r="F73" s="18" t="s">
        <v>176</v>
      </c>
      <c r="G73" s="6" t="s">
        <v>157</v>
      </c>
      <c r="H73" s="100" t="s">
        <v>196</v>
      </c>
      <c r="I73" s="224">
        <v>45807</v>
      </c>
      <c r="J73" t="s">
        <v>14</v>
      </c>
      <c r="L73" s="20" t="s">
        <v>10</v>
      </c>
      <c r="M73" s="6">
        <v>297</v>
      </c>
      <c r="N73" s="3">
        <f>IFERROR(INDEX(Tableau6[],MATCH(Tableau3[[#This Row],[FACTURE]],Tableau6[NUM DE FACTURE],0),4),"")</f>
        <v>297</v>
      </c>
      <c r="O73" t="str">
        <f>IF(Tableau3[[#This Row],[CLIENTS]]="","",CONCATENATE(Tableau3[[#This Row],[MODE ]]," ",Tableau3[[#This Row],[ETS PAYEUR]]," ","F/",Tableau3[[#This Row],[FACTURE]]))</f>
        <v>CHEQUE NSIA F/297</v>
      </c>
      <c r="Q73">
        <f>+ROW()-ROW(Tableau3[[#Headers],[N° LIGNE_RF]])</f>
        <v>70</v>
      </c>
      <c r="R73" s="6">
        <f>IF(Tableau3[[#This Row],[REFERENCE ]]="","",MATCH(Tableau3[[#This Row],[REFERENCE ]],Tableau3[[REFERENCE ]],0))</f>
        <v>57</v>
      </c>
      <c r="S73" s="70"/>
      <c r="T73" s="70"/>
      <c r="Y73"/>
      <c r="AA73"/>
      <c r="AF73"/>
      <c r="AG73"/>
    </row>
    <row r="74" spans="1:33" ht="10.050000000000001" customHeight="1" x14ac:dyDescent="0.2">
      <c r="A74" t="s">
        <v>100</v>
      </c>
      <c r="B74" t="s">
        <v>138</v>
      </c>
      <c r="C74" t="s">
        <v>60</v>
      </c>
      <c r="D74" s="58" t="s">
        <v>84</v>
      </c>
      <c r="E74" s="277">
        <v>637200</v>
      </c>
      <c r="F74" s="18" t="s">
        <v>204</v>
      </c>
      <c r="G74" s="6" t="s">
        <v>157</v>
      </c>
      <c r="H74" s="100" t="s">
        <v>196</v>
      </c>
      <c r="I74" s="224">
        <v>45807</v>
      </c>
      <c r="J74" t="s">
        <v>14</v>
      </c>
      <c r="L74" s="20" t="s">
        <v>10</v>
      </c>
      <c r="M74" s="6">
        <v>308</v>
      </c>
      <c r="N74" s="3">
        <f>IFERROR(INDEX(Tableau6[],MATCH(Tableau3[[#This Row],[FACTURE]],Tableau6[NUM DE FACTURE],0),4),"")</f>
        <v>308</v>
      </c>
      <c r="O74" t="str">
        <f>IF(Tableau3[[#This Row],[CLIENTS]]="","",CONCATENATE(Tableau3[[#This Row],[MODE ]]," ",Tableau3[[#This Row],[ETS PAYEUR]]," ","F/",Tableau3[[#This Row],[FACTURE]]))</f>
        <v>CHEQUE NSIA F/308</v>
      </c>
      <c r="Q74">
        <f>+ROW()-ROW(Tableau3[[#Headers],[N° LIGNE_RF]])</f>
        <v>71</v>
      </c>
      <c r="R74" s="6">
        <f>IF(Tableau3[[#This Row],[REFERENCE ]]="","",MATCH(Tableau3[[#This Row],[REFERENCE ]],Tableau3[[REFERENCE ]],0))</f>
        <v>57</v>
      </c>
      <c r="S74" s="70"/>
      <c r="T74" s="70"/>
      <c r="Y74"/>
      <c r="AA74"/>
      <c r="AF74"/>
      <c r="AG74"/>
    </row>
    <row r="75" spans="1:33" ht="10.050000000000001" customHeight="1" x14ac:dyDescent="0.2">
      <c r="A75" t="s">
        <v>100</v>
      </c>
      <c r="B75" t="s">
        <v>138</v>
      </c>
      <c r="C75" t="s">
        <v>60</v>
      </c>
      <c r="D75" s="58" t="s">
        <v>84</v>
      </c>
      <c r="E75" s="266">
        <v>708000</v>
      </c>
      <c r="F75" s="18" t="s">
        <v>166</v>
      </c>
      <c r="G75" s="6" t="s">
        <v>157</v>
      </c>
      <c r="H75" s="100" t="s">
        <v>196</v>
      </c>
      <c r="I75" s="224">
        <v>45807</v>
      </c>
      <c r="J75" t="s">
        <v>14</v>
      </c>
      <c r="L75" s="20" t="s">
        <v>10</v>
      </c>
      <c r="M75" s="253" t="s">
        <v>677</v>
      </c>
      <c r="N75" s="3" t="str">
        <f>IFERROR(INDEX(Tableau6[],MATCH(Tableau3[[#This Row],[FACTURE]],Tableau6[NUM DE FACTURE],0),4),"")</f>
        <v/>
      </c>
      <c r="O75" t="str">
        <f>IF(Tableau3[[#This Row],[CLIENTS]]="","",CONCATENATE(Tableau3[[#This Row],[MODE ]]," ",Tableau3[[#This Row],[ETS PAYEUR]]," ","F/",Tableau3[[#This Row],[FACTURE]]))</f>
        <v>CHEQUE NSIA F/162 EXO24</v>
      </c>
      <c r="Q75">
        <f>+ROW()-ROW(Tableau3[[#Headers],[N° LIGNE_RF]])</f>
        <v>72</v>
      </c>
      <c r="R75" s="6">
        <f>IF(Tableau3[[#This Row],[REFERENCE ]]="","",MATCH(Tableau3[[#This Row],[REFERENCE ]],Tableau3[[REFERENCE ]],0))</f>
        <v>57</v>
      </c>
      <c r="S75" s="70"/>
      <c r="T75" s="70"/>
      <c r="Y75"/>
      <c r="AA75"/>
      <c r="AF75"/>
      <c r="AG75"/>
    </row>
    <row r="76" spans="1:33" ht="10.050000000000001" customHeight="1" x14ac:dyDescent="0.2">
      <c r="A76" t="s">
        <v>100</v>
      </c>
      <c r="B76" t="s">
        <v>138</v>
      </c>
      <c r="C76" t="s">
        <v>60</v>
      </c>
      <c r="D76" s="58" t="s">
        <v>84</v>
      </c>
      <c r="E76" s="277">
        <v>708000</v>
      </c>
      <c r="F76" s="18" t="s">
        <v>200</v>
      </c>
      <c r="G76" s="6" t="s">
        <v>157</v>
      </c>
      <c r="H76" s="100" t="s">
        <v>196</v>
      </c>
      <c r="I76" s="224">
        <v>45807</v>
      </c>
      <c r="J76" t="s">
        <v>14</v>
      </c>
      <c r="L76" s="20" t="s">
        <v>10</v>
      </c>
      <c r="M76" s="6">
        <v>302</v>
      </c>
      <c r="N76" s="3">
        <f>IFERROR(INDEX(Tableau6[],MATCH(Tableau3[[#This Row],[FACTURE]],Tableau6[NUM DE FACTURE],0),4),"")</f>
        <v>302</v>
      </c>
      <c r="O76" t="str">
        <f>IF(Tableau3[[#This Row],[CLIENTS]]="","",CONCATENATE(Tableau3[[#This Row],[MODE ]]," ",Tableau3[[#This Row],[ETS PAYEUR]]," ","F/",Tableau3[[#This Row],[FACTURE]]))</f>
        <v>CHEQUE NSIA F/302</v>
      </c>
      <c r="Q76">
        <f>+ROW()-ROW(Tableau3[[#Headers],[N° LIGNE_RF]])</f>
        <v>73</v>
      </c>
      <c r="R76" s="6">
        <f>IF(Tableau3[[#This Row],[REFERENCE ]]="","",MATCH(Tableau3[[#This Row],[REFERENCE ]],Tableau3[[REFERENCE ]],0))</f>
        <v>57</v>
      </c>
      <c r="S76" s="70"/>
      <c r="T76" s="70"/>
      <c r="Y76"/>
      <c r="AA76"/>
      <c r="AF76"/>
      <c r="AG76"/>
    </row>
    <row r="77" spans="1:33" x14ac:dyDescent="0.2">
      <c r="A77" t="s">
        <v>100</v>
      </c>
      <c r="B77" t="s">
        <v>138</v>
      </c>
      <c r="C77" t="s">
        <v>60</v>
      </c>
      <c r="D77" s="58" t="s">
        <v>84</v>
      </c>
      <c r="E77" s="267">
        <v>708000</v>
      </c>
      <c r="F77" s="139" t="s">
        <v>200</v>
      </c>
      <c r="G77" s="6" t="s">
        <v>157</v>
      </c>
      <c r="H77" s="100" t="s">
        <v>196</v>
      </c>
      <c r="I77" s="252">
        <v>45807</v>
      </c>
      <c r="J77" t="s">
        <v>14</v>
      </c>
      <c r="L77" s="20" t="s">
        <v>10</v>
      </c>
      <c r="M77" s="256">
        <v>303</v>
      </c>
      <c r="N77" s="138">
        <f>IFERROR(INDEX(Tableau6[],MATCH(Tableau3[[#This Row],[FACTURE]],Tableau6[NUM DE FACTURE],0),4),"")</f>
        <v>303</v>
      </c>
      <c r="O77" s="137" t="str">
        <f>IF(Tableau3[[#This Row],[CLIENTS]]="","",CONCATENATE(Tableau3[[#This Row],[MODE ]]," ",Tableau3[[#This Row],[ETS PAYEUR]]," ","F/",Tableau3[[#This Row],[FACTURE]]))</f>
        <v>CHEQUE NSIA F/303</v>
      </c>
      <c r="P77" s="137"/>
      <c r="Q77">
        <f>+ROW()-ROW(Tableau3[[#Headers],[N° LIGNE_RF]])</f>
        <v>74</v>
      </c>
      <c r="R77" s="6">
        <f>IF(Tableau3[[#This Row],[REFERENCE ]]="","",MATCH(Tableau3[[#This Row],[REFERENCE ]],Tableau3[[REFERENCE ]],0))</f>
        <v>57</v>
      </c>
      <c r="S77" s="70"/>
      <c r="T77" s="70"/>
      <c r="Y77"/>
      <c r="AA77"/>
      <c r="AF77"/>
      <c r="AG77"/>
    </row>
    <row r="78" spans="1:33" ht="10.050000000000001" customHeight="1" x14ac:dyDescent="0.2">
      <c r="A78" t="s">
        <v>100</v>
      </c>
      <c r="B78" t="s">
        <v>138</v>
      </c>
      <c r="C78" t="s">
        <v>60</v>
      </c>
      <c r="D78" s="58" t="s">
        <v>84</v>
      </c>
      <c r="E78" s="264">
        <v>755200</v>
      </c>
      <c r="F78" s="18" t="s">
        <v>198</v>
      </c>
      <c r="G78" s="6" t="s">
        <v>157</v>
      </c>
      <c r="H78" s="100" t="s">
        <v>196</v>
      </c>
      <c r="I78" s="224">
        <v>45807</v>
      </c>
      <c r="J78" t="s">
        <v>14</v>
      </c>
      <c r="L78" s="20" t="s">
        <v>10</v>
      </c>
      <c r="M78" s="6" t="s">
        <v>689</v>
      </c>
      <c r="N78" s="3" t="str">
        <f>IFERROR(INDEX(Tableau6[],MATCH(Tableau3[[#This Row],[FACTURE]],Tableau6[NUM DE FACTURE],0),4),"")</f>
        <v/>
      </c>
      <c r="O78" t="str">
        <f>IF(Tableau3[[#This Row],[CLIENTS]]="","",CONCATENATE(Tableau3[[#This Row],[MODE ]]," ",Tableau3[[#This Row],[ETS PAYEUR]]," ","F/",Tableau3[[#This Row],[FACTURE]]))</f>
        <v>CHEQUE NSIA F/193 EXO24</v>
      </c>
      <c r="Q78">
        <f>+ROW()-ROW(Tableau3[[#Headers],[N° LIGNE_RF]])</f>
        <v>75</v>
      </c>
      <c r="R78" s="6">
        <f>IF(Tableau3[[#This Row],[REFERENCE ]]="","",MATCH(Tableau3[[#This Row],[REFERENCE ]],Tableau3[[REFERENCE ]],0))</f>
        <v>57</v>
      </c>
      <c r="S78" s="70"/>
      <c r="T78" s="70"/>
      <c r="Y78"/>
      <c r="AA78"/>
      <c r="AF78"/>
      <c r="AG78"/>
    </row>
    <row r="79" spans="1:33" ht="10.050000000000001" customHeight="1" x14ac:dyDescent="0.2">
      <c r="A79" t="s">
        <v>100</v>
      </c>
      <c r="B79" t="s">
        <v>138</v>
      </c>
      <c r="C79" t="s">
        <v>60</v>
      </c>
      <c r="D79" s="58" t="s">
        <v>84</v>
      </c>
      <c r="E79" s="266">
        <v>767000</v>
      </c>
      <c r="F79" s="18" t="s">
        <v>165</v>
      </c>
      <c r="G79" s="6" t="s">
        <v>157</v>
      </c>
      <c r="H79" s="101" t="s">
        <v>196</v>
      </c>
      <c r="I79" s="224">
        <v>45807</v>
      </c>
      <c r="J79" t="s">
        <v>14</v>
      </c>
      <c r="L79" s="20" t="s">
        <v>10</v>
      </c>
      <c r="M79" s="253" t="s">
        <v>688</v>
      </c>
      <c r="N79" s="3" t="str">
        <f>IFERROR(INDEX(Tableau6[],MATCH(Tableau3[[#This Row],[FACTURE]],Tableau6[NUM DE FACTURE],0),4),"")</f>
        <v/>
      </c>
      <c r="O79" t="str">
        <f>IF(Tableau3[[#This Row],[CLIENTS]]="","",CONCATENATE(Tableau3[[#This Row],[MODE ]]," ",Tableau3[[#This Row],[ETS PAYEUR]]," ","F/",Tableau3[[#This Row],[FACTURE]]))</f>
        <v>CHEQUE NSIA F/181 EXO24</v>
      </c>
      <c r="Q79">
        <f>+ROW()-ROW(Tableau3[[#Headers],[N° LIGNE_RF]])</f>
        <v>76</v>
      </c>
      <c r="R79" s="6">
        <f>IF(Tableau3[[#This Row],[REFERENCE ]]="","",MATCH(Tableau3[[#This Row],[REFERENCE ]],Tableau3[[REFERENCE ]],0))</f>
        <v>57</v>
      </c>
      <c r="S79" s="70"/>
      <c r="T79" s="70"/>
      <c r="Y79"/>
      <c r="AA79"/>
      <c r="AF79"/>
      <c r="AG79"/>
    </row>
    <row r="80" spans="1:33" ht="10.050000000000001" customHeight="1" x14ac:dyDescent="0.2">
      <c r="A80" t="s">
        <v>100</v>
      </c>
      <c r="B80" t="s">
        <v>138</v>
      </c>
      <c r="C80" t="s">
        <v>60</v>
      </c>
      <c r="D80" s="58" t="s">
        <v>84</v>
      </c>
      <c r="E80" s="264">
        <v>767000</v>
      </c>
      <c r="F80" s="18" t="s">
        <v>200</v>
      </c>
      <c r="G80" s="6" t="s">
        <v>157</v>
      </c>
      <c r="H80" s="100" t="s">
        <v>196</v>
      </c>
      <c r="I80" s="224">
        <v>45807</v>
      </c>
      <c r="J80" t="s">
        <v>14</v>
      </c>
      <c r="L80" s="20" t="s">
        <v>10</v>
      </c>
      <c r="M80" s="6">
        <v>226</v>
      </c>
      <c r="N80" s="3">
        <f>IFERROR(INDEX(Tableau6[],MATCH(Tableau3[[#This Row],[FACTURE]],Tableau6[NUM DE FACTURE],0),4),"")</f>
        <v>226</v>
      </c>
      <c r="O80" t="str">
        <f>IF(Tableau3[[#This Row],[CLIENTS]]="","",CONCATENATE(Tableau3[[#This Row],[MODE ]]," ",Tableau3[[#This Row],[ETS PAYEUR]]," ","F/",Tableau3[[#This Row],[FACTURE]]))</f>
        <v>CHEQUE NSIA F/226</v>
      </c>
      <c r="Q80">
        <f>+ROW()-ROW(Tableau3[[#Headers],[N° LIGNE_RF]])</f>
        <v>77</v>
      </c>
      <c r="R80" s="6">
        <f>IF(Tableau3[[#This Row],[REFERENCE ]]="","",MATCH(Tableau3[[#This Row],[REFERENCE ]],Tableau3[[REFERENCE ]],0))</f>
        <v>57</v>
      </c>
      <c r="S80" s="70"/>
      <c r="T80" s="70"/>
      <c r="Y80"/>
      <c r="AA80"/>
      <c r="AF80"/>
      <c r="AG80"/>
    </row>
    <row r="81" spans="1:33" ht="10.050000000000001" customHeight="1" x14ac:dyDescent="0.2">
      <c r="A81" s="401" t="s">
        <v>100</v>
      </c>
      <c r="B81" s="401" t="s">
        <v>138</v>
      </c>
      <c r="C81" s="401" t="s">
        <v>60</v>
      </c>
      <c r="D81" s="402" t="s">
        <v>84</v>
      </c>
      <c r="E81" s="403">
        <v>778800</v>
      </c>
      <c r="F81" s="404" t="s">
        <v>203</v>
      </c>
      <c r="G81" s="405" t="s">
        <v>157</v>
      </c>
      <c r="H81" s="406" t="s">
        <v>196</v>
      </c>
      <c r="I81" s="407">
        <v>45807</v>
      </c>
      <c r="J81" s="401" t="s">
        <v>14</v>
      </c>
      <c r="K81" s="401"/>
      <c r="L81" s="408" t="s">
        <v>10</v>
      </c>
      <c r="M81" s="405" t="s">
        <v>645</v>
      </c>
      <c r="N81" s="150" t="str">
        <f>IFERROR(INDEX(Tableau6[],MATCH(Tableau3[[#This Row],[FACTURE]],Tableau6[NUM DE FACTURE],0),4),"")</f>
        <v/>
      </c>
      <c r="O81" s="401" t="str">
        <f>IF(Tableau3[[#This Row],[CLIENTS]]="","",CONCATENATE(Tableau3[[#This Row],[MODE ]]," ",Tableau3[[#This Row],[ETS PAYEUR]]," ","F/",Tableau3[[#This Row],[FACTURE]]))</f>
        <v>CHEQUE NSIA F/51 EXT</v>
      </c>
      <c r="P81" s="401"/>
      <c r="Q81" s="401">
        <f>+ROW()-ROW(Tableau3[[#Headers],[N° LIGNE_RF]])</f>
        <v>78</v>
      </c>
      <c r="R81" s="405">
        <f>IF(Tableau3[[#This Row],[REFERENCE ]]="","",MATCH(Tableau3[[#This Row],[REFERENCE ]],Tableau3[[REFERENCE ]],0))</f>
        <v>57</v>
      </c>
      <c r="S81" s="70"/>
      <c r="T81" s="70"/>
      <c r="Y81"/>
      <c r="AA81"/>
      <c r="AF81"/>
      <c r="AG81"/>
    </row>
    <row r="82" spans="1:33" ht="10.050000000000001" customHeight="1" x14ac:dyDescent="0.2">
      <c r="A82" t="s">
        <v>100</v>
      </c>
      <c r="B82" t="s">
        <v>138</v>
      </c>
      <c r="C82" t="s">
        <v>60</v>
      </c>
      <c r="D82" s="58" t="s">
        <v>84</v>
      </c>
      <c r="E82" s="273">
        <v>849600</v>
      </c>
      <c r="F82" s="18" t="s">
        <v>171</v>
      </c>
      <c r="G82" s="6" t="s">
        <v>157</v>
      </c>
      <c r="H82" s="100" t="s">
        <v>196</v>
      </c>
      <c r="I82" s="224">
        <v>45807</v>
      </c>
      <c r="J82" t="s">
        <v>14</v>
      </c>
      <c r="L82" s="20" t="s">
        <v>10</v>
      </c>
      <c r="M82" s="6">
        <v>250</v>
      </c>
      <c r="N82" s="3">
        <f>IFERROR(INDEX(Tableau6[],MATCH(Tableau3[[#This Row],[FACTURE]],Tableau6[NUM DE FACTURE],0),4),"")</f>
        <v>250</v>
      </c>
      <c r="O82" t="str">
        <f>IF(Tableau3[[#This Row],[CLIENTS]]="","",CONCATENATE(Tableau3[[#This Row],[MODE ]]," ",Tableau3[[#This Row],[ETS PAYEUR]]," ","F/",Tableau3[[#This Row],[FACTURE]]))</f>
        <v>CHEQUE NSIA F/250</v>
      </c>
      <c r="Q82">
        <f>+ROW()-ROW(Tableau3[[#Headers],[N° LIGNE_RF]])</f>
        <v>79</v>
      </c>
      <c r="R82" s="6">
        <f>IF(Tableau3[[#This Row],[REFERENCE ]]="","",MATCH(Tableau3[[#This Row],[REFERENCE ]],Tableau3[[REFERENCE ]],0))</f>
        <v>57</v>
      </c>
      <c r="S82" s="70"/>
      <c r="T82" s="70"/>
      <c r="Y82"/>
      <c r="AA82"/>
      <c r="AF82"/>
      <c r="AG82"/>
    </row>
    <row r="83" spans="1:33" ht="10.050000000000001" customHeight="1" x14ac:dyDescent="0.2">
      <c r="A83" t="s">
        <v>100</v>
      </c>
      <c r="B83" t="s">
        <v>138</v>
      </c>
      <c r="C83" t="s">
        <v>60</v>
      </c>
      <c r="D83" s="58" t="s">
        <v>84</v>
      </c>
      <c r="E83" s="276">
        <v>944000</v>
      </c>
      <c r="F83" s="18" t="s">
        <v>174</v>
      </c>
      <c r="G83" s="6" t="s">
        <v>157</v>
      </c>
      <c r="H83" s="100" t="s">
        <v>196</v>
      </c>
      <c r="I83" s="224">
        <v>45807</v>
      </c>
      <c r="J83" t="s">
        <v>14</v>
      </c>
      <c r="L83" s="20" t="s">
        <v>10</v>
      </c>
      <c r="M83" s="6">
        <v>244</v>
      </c>
      <c r="N83" s="3">
        <f>IFERROR(INDEX(Tableau6[],MATCH(Tableau3[[#This Row],[FACTURE]],Tableau6[NUM DE FACTURE],0),4),"")</f>
        <v>244</v>
      </c>
      <c r="O83" t="str">
        <f>IF(Tableau3[[#This Row],[CLIENTS]]="","",CONCATENATE(Tableau3[[#This Row],[MODE ]]," ",Tableau3[[#This Row],[ETS PAYEUR]]," ","F/",Tableau3[[#This Row],[FACTURE]]))</f>
        <v>CHEQUE NSIA F/244</v>
      </c>
      <c r="Q83">
        <f>+ROW()-ROW(Tableau3[[#Headers],[N° LIGNE_RF]])</f>
        <v>80</v>
      </c>
      <c r="R83" s="6">
        <f>IF(Tableau3[[#This Row],[REFERENCE ]]="","",MATCH(Tableau3[[#This Row],[REFERENCE ]],Tableau3[[REFERENCE ]],0))</f>
        <v>57</v>
      </c>
      <c r="S83" s="70"/>
      <c r="T83" s="70"/>
      <c r="Y83"/>
      <c r="AA83"/>
      <c r="AF83"/>
      <c r="AG83"/>
    </row>
    <row r="84" spans="1:33" ht="10.050000000000001" customHeight="1" x14ac:dyDescent="0.2">
      <c r="A84" t="s">
        <v>100</v>
      </c>
      <c r="B84" t="s">
        <v>138</v>
      </c>
      <c r="C84" t="s">
        <v>60</v>
      </c>
      <c r="D84" s="58" t="s">
        <v>84</v>
      </c>
      <c r="E84" s="273">
        <v>1180000</v>
      </c>
      <c r="F84" s="18" t="s">
        <v>171</v>
      </c>
      <c r="G84" s="6" t="s">
        <v>157</v>
      </c>
      <c r="H84" s="100" t="s">
        <v>196</v>
      </c>
      <c r="I84" s="224">
        <v>45807</v>
      </c>
      <c r="J84" t="s">
        <v>14</v>
      </c>
      <c r="L84" s="20" t="s">
        <v>10</v>
      </c>
      <c r="M84" s="6">
        <v>231</v>
      </c>
      <c r="N84" s="3">
        <f>IFERROR(INDEX(Tableau6[],MATCH(Tableau3[[#This Row],[FACTURE]],Tableau6[NUM DE FACTURE],0),4),"")</f>
        <v>231</v>
      </c>
      <c r="O84" t="str">
        <f>IF(Tableau3[[#This Row],[CLIENTS]]="","",CONCATENATE(Tableau3[[#This Row],[MODE ]]," ",Tableau3[[#This Row],[ETS PAYEUR]]," ","F/",Tableau3[[#This Row],[FACTURE]]))</f>
        <v>CHEQUE NSIA F/231</v>
      </c>
      <c r="Q84">
        <f>+ROW()-ROW(Tableau3[[#Headers],[N° LIGNE_RF]])</f>
        <v>81</v>
      </c>
      <c r="R84" s="6">
        <f>IF(Tableau3[[#This Row],[REFERENCE ]]="","",MATCH(Tableau3[[#This Row],[REFERENCE ]],Tableau3[[REFERENCE ]],0))</f>
        <v>57</v>
      </c>
      <c r="S84" s="70"/>
      <c r="T84" s="70"/>
      <c r="Y84"/>
      <c r="AA84"/>
      <c r="AF84"/>
      <c r="AG84"/>
    </row>
    <row r="85" spans="1:33" s="137" customFormat="1" ht="10.050000000000001" customHeight="1" x14ac:dyDescent="0.2">
      <c r="A85" t="s">
        <v>100</v>
      </c>
      <c r="B85" t="s">
        <v>138</v>
      </c>
      <c r="C85" t="s">
        <v>60</v>
      </c>
      <c r="D85" s="58" t="s">
        <v>84</v>
      </c>
      <c r="E85" s="278">
        <v>1180000</v>
      </c>
      <c r="F85" s="18" t="s">
        <v>200</v>
      </c>
      <c r="G85" s="6" t="s">
        <v>157</v>
      </c>
      <c r="H85" s="101" t="s">
        <v>196</v>
      </c>
      <c r="I85" s="224">
        <v>45807</v>
      </c>
      <c r="J85" t="s">
        <v>14</v>
      </c>
      <c r="K85"/>
      <c r="L85" s="20" t="s">
        <v>10</v>
      </c>
      <c r="M85" s="253">
        <v>242</v>
      </c>
      <c r="N85" s="3">
        <f>IFERROR(INDEX(Tableau6[],MATCH(Tableau3[[#This Row],[FACTURE]],Tableau6[NUM DE FACTURE],0),4),"")</f>
        <v>242</v>
      </c>
      <c r="O85" t="str">
        <f>IF(Tableau3[[#This Row],[CLIENTS]]="","",CONCATENATE(Tableau3[[#This Row],[MODE ]]," ",Tableau3[[#This Row],[ETS PAYEUR]]," ","F/",Tableau3[[#This Row],[FACTURE]]))</f>
        <v>CHEQUE NSIA F/242</v>
      </c>
      <c r="P85"/>
      <c r="Q85">
        <f>+ROW()-ROW(Tableau3[[#Headers],[N° LIGNE_RF]])</f>
        <v>82</v>
      </c>
      <c r="R85" s="6">
        <f>IF(Tableau3[[#This Row],[REFERENCE ]]="","",MATCH(Tableau3[[#This Row],[REFERENCE ]],Tableau3[[REFERENCE ]],0))</f>
        <v>57</v>
      </c>
      <c r="S85" s="475"/>
      <c r="T85" s="475"/>
    </row>
    <row r="86" spans="1:33" s="137" customFormat="1" ht="10.050000000000001" customHeight="1" x14ac:dyDescent="0.2">
      <c r="A86" s="1" t="s">
        <v>100</v>
      </c>
      <c r="B86" s="1" t="s">
        <v>138</v>
      </c>
      <c r="C86" s="1" t="s">
        <v>60</v>
      </c>
      <c r="D86" s="397" t="s">
        <v>84</v>
      </c>
      <c r="E86" s="308">
        <v>1275557</v>
      </c>
      <c r="F86" s="309" t="s">
        <v>200</v>
      </c>
      <c r="G86" s="6" t="s">
        <v>157</v>
      </c>
      <c r="H86" s="100" t="s">
        <v>196</v>
      </c>
      <c r="I86" s="252">
        <v>45807</v>
      </c>
      <c r="J86" t="s">
        <v>14</v>
      </c>
      <c r="K86"/>
      <c r="L86" s="310" t="s">
        <v>10</v>
      </c>
      <c r="M86" s="311">
        <v>299</v>
      </c>
      <c r="N86" s="312">
        <f>IFERROR(INDEX(Tableau6[],MATCH(Tableau3[[#This Row],[FACTURE]],Tableau6[NUM DE FACTURE],0),4),"")</f>
        <v>299</v>
      </c>
      <c r="O86" s="313" t="str">
        <f>IF(Tableau3[[#This Row],[CLIENTS]]="","",CONCATENATE(Tableau3[[#This Row],[MODE ]]," ",Tableau3[[#This Row],[ETS PAYEUR]]," ","F/",Tableau3[[#This Row],[FACTURE]]))</f>
        <v>CHEQUE NSIA F/299</v>
      </c>
      <c r="P86" s="313"/>
      <c r="Q86">
        <f>+ROW()-ROW(Tableau3[[#Headers],[N° LIGNE_RF]])</f>
        <v>83</v>
      </c>
      <c r="R86" s="6">
        <f>IF(Tableau3[[#This Row],[REFERENCE ]]="","",MATCH(Tableau3[[#This Row],[REFERENCE ]],Tableau3[[REFERENCE ]],0))</f>
        <v>57</v>
      </c>
      <c r="S86" s="475"/>
      <c r="T86" s="475"/>
    </row>
    <row r="87" spans="1:33" ht="10.050000000000001" customHeight="1" x14ac:dyDescent="0.2">
      <c r="A87" t="s">
        <v>100</v>
      </c>
      <c r="B87" t="s">
        <v>138</v>
      </c>
      <c r="C87" t="s">
        <v>60</v>
      </c>
      <c r="D87" s="58" t="s">
        <v>84</v>
      </c>
      <c r="E87" s="266">
        <v>1593000</v>
      </c>
      <c r="F87" s="18" t="s">
        <v>164</v>
      </c>
      <c r="G87" s="6" t="s">
        <v>157</v>
      </c>
      <c r="H87" s="101" t="s">
        <v>196</v>
      </c>
      <c r="I87" s="224">
        <v>45807</v>
      </c>
      <c r="J87" t="s">
        <v>14</v>
      </c>
      <c r="L87" s="20" t="s">
        <v>10</v>
      </c>
      <c r="M87" s="253" t="s">
        <v>678</v>
      </c>
      <c r="N87" s="3" t="str">
        <f>IFERROR(INDEX(Tableau6[],MATCH(Tableau3[[#This Row],[FACTURE]],Tableau6[NUM DE FACTURE],0),4),"")</f>
        <v/>
      </c>
      <c r="O87" t="str">
        <f>IF(Tableau3[[#This Row],[CLIENTS]]="","",CONCATENATE(Tableau3[[#This Row],[MODE ]]," ",Tableau3[[#This Row],[ETS PAYEUR]]," ","F/",Tableau3[[#This Row],[FACTURE]]))</f>
        <v>CHEQUE NSIA F/157 EXO24</v>
      </c>
      <c r="Q87">
        <f>+ROW()-ROW(Tableau3[[#Headers],[N° LIGNE_RF]])</f>
        <v>84</v>
      </c>
      <c r="R87" s="6">
        <f>IF(Tableau3[[#This Row],[REFERENCE ]]="","",MATCH(Tableau3[[#This Row],[REFERENCE ]],Tableau3[[REFERENCE ]],0))</f>
        <v>57</v>
      </c>
      <c r="S87" s="70"/>
      <c r="T87" s="70"/>
      <c r="Y87"/>
      <c r="AA87"/>
      <c r="AF87"/>
      <c r="AG87"/>
    </row>
    <row r="88" spans="1:33" ht="10.050000000000001" customHeight="1" x14ac:dyDescent="0.2">
      <c r="A88" t="s">
        <v>100</v>
      </c>
      <c r="B88" t="s">
        <v>138</v>
      </c>
      <c r="C88" t="s">
        <v>60</v>
      </c>
      <c r="D88" s="58" t="s">
        <v>84</v>
      </c>
      <c r="E88" s="266">
        <v>1593000</v>
      </c>
      <c r="F88" s="18" t="s">
        <v>164</v>
      </c>
      <c r="G88" s="6" t="s">
        <v>157</v>
      </c>
      <c r="H88" s="101" t="s">
        <v>196</v>
      </c>
      <c r="I88" s="224">
        <v>45807</v>
      </c>
      <c r="J88" t="s">
        <v>14</v>
      </c>
      <c r="L88" s="20" t="s">
        <v>10</v>
      </c>
      <c r="M88" s="253" t="s">
        <v>679</v>
      </c>
      <c r="N88" s="3" t="str">
        <f>IFERROR(INDEX(Tableau6[],MATCH(Tableau3[[#This Row],[FACTURE]],Tableau6[NUM DE FACTURE],0),4),"")</f>
        <v/>
      </c>
      <c r="O88" t="str">
        <f>IF(Tableau3[[#This Row],[CLIENTS]]="","",CONCATENATE(Tableau3[[#This Row],[MODE ]]," ",Tableau3[[#This Row],[ETS PAYEUR]]," ","F/",Tableau3[[#This Row],[FACTURE]]))</f>
        <v>CHEQUE NSIA F/158 EXO24</v>
      </c>
      <c r="Q88">
        <f>+ROW()-ROW(Tableau3[[#Headers],[N° LIGNE_RF]])</f>
        <v>85</v>
      </c>
      <c r="R88" s="6">
        <f>IF(Tableau3[[#This Row],[REFERENCE ]]="","",MATCH(Tableau3[[#This Row],[REFERENCE ]],Tableau3[[REFERENCE ]],0))</f>
        <v>57</v>
      </c>
      <c r="S88" s="70"/>
      <c r="T88" s="70"/>
      <c r="Y88"/>
      <c r="AA88"/>
      <c r="AF88"/>
      <c r="AG88"/>
    </row>
    <row r="89" spans="1:33" ht="10.050000000000001" customHeight="1" x14ac:dyDescent="0.2">
      <c r="A89" t="s">
        <v>100</v>
      </c>
      <c r="B89" t="s">
        <v>138</v>
      </c>
      <c r="C89" t="s">
        <v>60</v>
      </c>
      <c r="D89" s="58" t="s">
        <v>84</v>
      </c>
      <c r="E89" s="266">
        <v>1593000</v>
      </c>
      <c r="F89" s="18" t="s">
        <v>167</v>
      </c>
      <c r="G89" s="6" t="s">
        <v>157</v>
      </c>
      <c r="H89" s="101" t="s">
        <v>196</v>
      </c>
      <c r="I89" s="224">
        <v>45807</v>
      </c>
      <c r="J89" t="s">
        <v>14</v>
      </c>
      <c r="L89" s="20" t="s">
        <v>10</v>
      </c>
      <c r="M89" s="6" t="s">
        <v>680</v>
      </c>
      <c r="N89" s="3" t="str">
        <f>IFERROR(INDEX(Tableau6[],MATCH(Tableau3[[#This Row],[FACTURE]],Tableau6[NUM DE FACTURE],0),4),"")</f>
        <v/>
      </c>
      <c r="O89" t="str">
        <f>IF(Tableau3[[#This Row],[CLIENTS]]="","",CONCATENATE(Tableau3[[#This Row],[MODE ]]," ",Tableau3[[#This Row],[ETS PAYEUR]]," ","F/",Tableau3[[#This Row],[FACTURE]]))</f>
        <v>CHEQUE NSIA F/177 EXO24</v>
      </c>
      <c r="Q89">
        <f>+ROW()-ROW(Tableau3[[#Headers],[N° LIGNE_RF]])</f>
        <v>86</v>
      </c>
      <c r="R89" s="6">
        <f>IF(Tableau3[[#This Row],[REFERENCE ]]="","",MATCH(Tableau3[[#This Row],[REFERENCE ]],Tableau3[[REFERENCE ]],0))</f>
        <v>57</v>
      </c>
      <c r="S89" s="70"/>
      <c r="T89" s="70"/>
      <c r="Y89"/>
      <c r="AA89"/>
      <c r="AF89"/>
      <c r="AG89"/>
    </row>
    <row r="90" spans="1:33" s="137" customFormat="1" ht="10.050000000000001" customHeight="1" x14ac:dyDescent="0.2">
      <c r="A90" t="s">
        <v>100</v>
      </c>
      <c r="B90" t="s">
        <v>138</v>
      </c>
      <c r="C90" t="s">
        <v>60</v>
      </c>
      <c r="D90" s="58" t="s">
        <v>84</v>
      </c>
      <c r="E90" s="264">
        <v>1593000</v>
      </c>
      <c r="F90" s="18" t="s">
        <v>172</v>
      </c>
      <c r="G90" s="6" t="s">
        <v>157</v>
      </c>
      <c r="H90" s="100" t="s">
        <v>196</v>
      </c>
      <c r="I90" s="224">
        <v>45807</v>
      </c>
      <c r="J90" t="s">
        <v>14</v>
      </c>
      <c r="K90"/>
      <c r="L90" s="20" t="s">
        <v>10</v>
      </c>
      <c r="M90" s="6" t="s">
        <v>681</v>
      </c>
      <c r="N90" s="3" t="str">
        <f>IFERROR(INDEX(Tableau6[],MATCH(Tableau3[[#This Row],[FACTURE]],Tableau6[NUM DE FACTURE],0),4),"")</f>
        <v/>
      </c>
      <c r="O90" t="str">
        <f>IF(Tableau3[[#This Row],[CLIENTS]]="","",CONCATENATE(Tableau3[[#This Row],[MODE ]]," ",Tableau3[[#This Row],[ETS PAYEUR]]," ","F/",Tableau3[[#This Row],[FACTURE]]))</f>
        <v>CHEQUE NSIA F/166 EXO24</v>
      </c>
      <c r="P90"/>
      <c r="Q90">
        <f>+ROW()-ROW(Tableau3[[#Headers],[N° LIGNE_RF]])</f>
        <v>87</v>
      </c>
      <c r="R90" s="6">
        <f>IF(Tableau3[[#This Row],[REFERENCE ]]="","",MATCH(Tableau3[[#This Row],[REFERENCE ]],Tableau3[[REFERENCE ]],0))</f>
        <v>57</v>
      </c>
      <c r="S90" s="475"/>
      <c r="T90" s="475"/>
    </row>
    <row r="91" spans="1:33" s="137" customFormat="1" ht="10.050000000000001" customHeight="1" x14ac:dyDescent="0.2">
      <c r="A91" t="s">
        <v>100</v>
      </c>
      <c r="B91" t="s">
        <v>138</v>
      </c>
      <c r="C91" t="s">
        <v>60</v>
      </c>
      <c r="D91" s="58" t="s">
        <v>84</v>
      </c>
      <c r="E91" s="264">
        <v>1593000</v>
      </c>
      <c r="F91" s="18" t="s">
        <v>172</v>
      </c>
      <c r="G91" s="6" t="s">
        <v>157</v>
      </c>
      <c r="H91" s="100" t="s">
        <v>196</v>
      </c>
      <c r="I91" s="224">
        <v>45807</v>
      </c>
      <c r="J91" t="s">
        <v>14</v>
      </c>
      <c r="K91"/>
      <c r="L91" s="20" t="s">
        <v>10</v>
      </c>
      <c r="M91" s="6" t="s">
        <v>682</v>
      </c>
      <c r="N91" s="3" t="str">
        <f>IFERROR(INDEX(Tableau6[],MATCH(Tableau3[[#This Row],[FACTURE]],Tableau6[NUM DE FACTURE],0),4),"")</f>
        <v/>
      </c>
      <c r="O91" t="str">
        <f>IF(Tableau3[[#This Row],[CLIENTS]]="","",CONCATENATE(Tableau3[[#This Row],[MODE ]]," ",Tableau3[[#This Row],[ETS PAYEUR]]," ","F/",Tableau3[[#This Row],[FACTURE]]))</f>
        <v>CHEQUE NSIA F/167 EXO24</v>
      </c>
      <c r="P91"/>
      <c r="Q91">
        <f>+ROW()-ROW(Tableau3[[#Headers],[N° LIGNE_RF]])</f>
        <v>88</v>
      </c>
      <c r="R91" s="6">
        <f>IF(Tableau3[[#This Row],[REFERENCE ]]="","",MATCH(Tableau3[[#This Row],[REFERENCE ]],Tableau3[[REFERENCE ]],0))</f>
        <v>57</v>
      </c>
      <c r="S91" s="475"/>
      <c r="T91" s="475"/>
    </row>
    <row r="92" spans="1:33" ht="10.050000000000001" customHeight="1" x14ac:dyDescent="0.2">
      <c r="A92" t="s">
        <v>100</v>
      </c>
      <c r="B92" t="s">
        <v>138</v>
      </c>
      <c r="C92" t="s">
        <v>60</v>
      </c>
      <c r="D92" s="58" t="s">
        <v>84</v>
      </c>
      <c r="E92" s="264">
        <v>1593000</v>
      </c>
      <c r="F92" s="18" t="s">
        <v>198</v>
      </c>
      <c r="G92" s="6" t="s">
        <v>157</v>
      </c>
      <c r="H92" s="100" t="s">
        <v>196</v>
      </c>
      <c r="I92" s="224">
        <v>45807</v>
      </c>
      <c r="J92" t="s">
        <v>14</v>
      </c>
      <c r="L92" s="20" t="s">
        <v>10</v>
      </c>
      <c r="M92" s="6">
        <v>216</v>
      </c>
      <c r="N92" s="3">
        <f>IFERROR(INDEX(Tableau6[],MATCH(Tableau3[[#This Row],[FACTURE]],Tableau6[NUM DE FACTURE],0),4),"")</f>
        <v>216</v>
      </c>
      <c r="O92" t="str">
        <f>IF(Tableau3[[#This Row],[CLIENTS]]="","",CONCATENATE(Tableau3[[#This Row],[MODE ]]," ",Tableau3[[#This Row],[ETS PAYEUR]]," ","F/",Tableau3[[#This Row],[FACTURE]]))</f>
        <v>CHEQUE NSIA F/216</v>
      </c>
      <c r="Q92">
        <f>+ROW()-ROW(Tableau3[[#Headers],[N° LIGNE_RF]])</f>
        <v>89</v>
      </c>
      <c r="R92" s="6">
        <f>IF(Tableau3[[#This Row],[REFERENCE ]]="","",MATCH(Tableau3[[#This Row],[REFERENCE ]],Tableau3[[REFERENCE ]],0))</f>
        <v>57</v>
      </c>
      <c r="S92" s="70"/>
      <c r="T92" s="70"/>
      <c r="Y92"/>
      <c r="AA92"/>
      <c r="AF92"/>
      <c r="AG92"/>
    </row>
    <row r="93" spans="1:33" ht="10.050000000000001" customHeight="1" x14ac:dyDescent="0.2">
      <c r="A93" t="s">
        <v>100</v>
      </c>
      <c r="B93" t="s">
        <v>138</v>
      </c>
      <c r="C93" t="s">
        <v>60</v>
      </c>
      <c r="D93" s="58" t="s">
        <v>84</v>
      </c>
      <c r="E93" s="264">
        <v>1593000</v>
      </c>
      <c r="F93" s="18" t="s">
        <v>205</v>
      </c>
      <c r="G93" s="6" t="s">
        <v>157</v>
      </c>
      <c r="H93" s="100" t="s">
        <v>196</v>
      </c>
      <c r="I93" s="224">
        <v>45807</v>
      </c>
      <c r="J93" t="s">
        <v>14</v>
      </c>
      <c r="L93" s="20" t="s">
        <v>10</v>
      </c>
      <c r="M93" s="6">
        <v>237</v>
      </c>
      <c r="N93" s="3">
        <f>IFERROR(INDEX(Tableau6[],MATCH(Tableau3[[#This Row],[FACTURE]],Tableau6[NUM DE FACTURE],0),4),"")</f>
        <v>237</v>
      </c>
      <c r="O93" t="str">
        <f>IF(Tableau3[[#This Row],[CLIENTS]]="","",CONCATENATE(Tableau3[[#This Row],[MODE ]]," ",Tableau3[[#This Row],[ETS PAYEUR]]," ","F/",Tableau3[[#This Row],[FACTURE]]))</f>
        <v>CHEQUE NSIA F/237</v>
      </c>
      <c r="Q93">
        <f>+ROW()-ROW(Tableau3[[#Headers],[N° LIGNE_RF]])</f>
        <v>90</v>
      </c>
      <c r="R93" s="6">
        <f>IF(Tableau3[[#This Row],[REFERENCE ]]="","",MATCH(Tableau3[[#This Row],[REFERENCE ]],Tableau3[[REFERENCE ]],0))</f>
        <v>57</v>
      </c>
      <c r="S93" s="70"/>
      <c r="T93" s="70"/>
      <c r="Y93"/>
      <c r="AA93"/>
      <c r="AF93"/>
      <c r="AG93"/>
    </row>
    <row r="94" spans="1:33" ht="10.050000000000001" customHeight="1" x14ac:dyDescent="0.2">
      <c r="A94" t="s">
        <v>100</v>
      </c>
      <c r="B94" t="s">
        <v>138</v>
      </c>
      <c r="C94" t="s">
        <v>60</v>
      </c>
      <c r="D94" s="58" t="s">
        <v>84</v>
      </c>
      <c r="E94" s="264">
        <v>1652000</v>
      </c>
      <c r="F94" s="18" t="s">
        <v>165</v>
      </c>
      <c r="G94" s="6" t="s">
        <v>157</v>
      </c>
      <c r="H94" s="100" t="s">
        <v>196</v>
      </c>
      <c r="I94" s="224">
        <v>45807</v>
      </c>
      <c r="J94" t="s">
        <v>14</v>
      </c>
      <c r="L94" s="20" t="s">
        <v>10</v>
      </c>
      <c r="M94" s="6">
        <v>215</v>
      </c>
      <c r="N94" s="3">
        <f>IFERROR(INDEX(Tableau6[],MATCH(Tableau3[[#This Row],[FACTURE]],Tableau6[NUM DE FACTURE],0),4),"")</f>
        <v>215</v>
      </c>
      <c r="O94" t="str">
        <f>IF(Tableau3[[#This Row],[CLIENTS]]="","",CONCATENATE(Tableau3[[#This Row],[MODE ]]," ",Tableau3[[#This Row],[ETS PAYEUR]]," ","F/",Tableau3[[#This Row],[FACTURE]]))</f>
        <v>CHEQUE NSIA F/215</v>
      </c>
      <c r="Q94">
        <f>+ROW()-ROW(Tableau3[[#Headers],[N° LIGNE_RF]])</f>
        <v>91</v>
      </c>
      <c r="R94" s="6">
        <f>IF(Tableau3[[#This Row],[REFERENCE ]]="","",MATCH(Tableau3[[#This Row],[REFERENCE ]],Tableau3[[REFERENCE ]],0))</f>
        <v>57</v>
      </c>
      <c r="S94" s="70"/>
      <c r="T94" s="70"/>
      <c r="Y94"/>
      <c r="AA94"/>
      <c r="AF94"/>
      <c r="AG94"/>
    </row>
    <row r="95" spans="1:33" s="137" customFormat="1" ht="10.050000000000001" customHeight="1" x14ac:dyDescent="0.2">
      <c r="A95" t="s">
        <v>100</v>
      </c>
      <c r="B95" t="s">
        <v>138</v>
      </c>
      <c r="C95" t="s">
        <v>60</v>
      </c>
      <c r="D95" s="58" t="s">
        <v>84</v>
      </c>
      <c r="E95" s="267">
        <v>1652000</v>
      </c>
      <c r="F95" s="139" t="s">
        <v>171</v>
      </c>
      <c r="G95" s="6" t="s">
        <v>157</v>
      </c>
      <c r="H95" s="100" t="s">
        <v>196</v>
      </c>
      <c r="I95" s="252">
        <v>45807</v>
      </c>
      <c r="J95" t="s">
        <v>14</v>
      </c>
      <c r="K95"/>
      <c r="L95" s="20" t="s">
        <v>10</v>
      </c>
      <c r="M95" s="256">
        <v>221</v>
      </c>
      <c r="N95" s="138">
        <f>IFERROR(INDEX(Tableau6[],MATCH(Tableau3[[#This Row],[FACTURE]],Tableau6[NUM DE FACTURE],0),4),"")</f>
        <v>221</v>
      </c>
      <c r="O95" s="137" t="str">
        <f>IF(Tableau3[[#This Row],[CLIENTS]]="","",CONCATENATE(Tableau3[[#This Row],[MODE ]]," ",Tableau3[[#This Row],[ETS PAYEUR]]," ","F/",Tableau3[[#This Row],[FACTURE]]))</f>
        <v>CHEQUE NSIA F/221</v>
      </c>
      <c r="Q95">
        <f>+ROW()-ROW(Tableau3[[#Headers],[N° LIGNE_RF]])</f>
        <v>92</v>
      </c>
      <c r="R95" s="6">
        <f>IF(Tableau3[[#This Row],[REFERENCE ]]="","",MATCH(Tableau3[[#This Row],[REFERENCE ]],Tableau3[[REFERENCE ]],0))</f>
        <v>57</v>
      </c>
      <c r="S95" s="475"/>
      <c r="T95" s="475"/>
    </row>
    <row r="96" spans="1:33" s="137" customFormat="1" ht="10.050000000000001" customHeight="1" x14ac:dyDescent="0.2">
      <c r="A96" t="s">
        <v>100</v>
      </c>
      <c r="B96" t="s">
        <v>138</v>
      </c>
      <c r="C96" t="s">
        <v>60</v>
      </c>
      <c r="D96" s="58" t="s">
        <v>84</v>
      </c>
      <c r="E96" s="267">
        <v>1652000</v>
      </c>
      <c r="F96" s="139" t="s">
        <v>200</v>
      </c>
      <c r="G96" s="6" t="s">
        <v>157</v>
      </c>
      <c r="H96" s="100" t="s">
        <v>196</v>
      </c>
      <c r="I96" s="252">
        <v>45807</v>
      </c>
      <c r="J96" t="s">
        <v>14</v>
      </c>
      <c r="K96"/>
      <c r="L96" s="20" t="s">
        <v>10</v>
      </c>
      <c r="M96" s="256">
        <v>300</v>
      </c>
      <c r="N96" s="138">
        <f>IFERROR(INDEX(Tableau6[],MATCH(Tableau3[[#This Row],[FACTURE]],Tableau6[NUM DE FACTURE],0),4),"")</f>
        <v>300</v>
      </c>
      <c r="O96" s="137" t="str">
        <f>IF(Tableau3[[#This Row],[CLIENTS]]="","",CONCATENATE(Tableau3[[#This Row],[MODE ]]," ",Tableau3[[#This Row],[ETS PAYEUR]]," ","F/",Tableau3[[#This Row],[FACTURE]]))</f>
        <v>CHEQUE NSIA F/300</v>
      </c>
      <c r="Q96">
        <f>+ROW()-ROW(Tableau3[[#Headers],[N° LIGNE_RF]])</f>
        <v>93</v>
      </c>
      <c r="R96" s="6">
        <f>IF(Tableau3[[#This Row],[REFERENCE ]]="","",MATCH(Tableau3[[#This Row],[REFERENCE ]],Tableau3[[REFERENCE ]],0))</f>
        <v>57</v>
      </c>
      <c r="S96" s="475"/>
      <c r="T96" s="475"/>
    </row>
    <row r="97" spans="1:33" ht="10.050000000000001" customHeight="1" x14ac:dyDescent="0.2">
      <c r="A97" t="s">
        <v>100</v>
      </c>
      <c r="B97" t="s">
        <v>138</v>
      </c>
      <c r="C97" t="s">
        <v>60</v>
      </c>
      <c r="D97" s="58" t="s">
        <v>84</v>
      </c>
      <c r="E97" s="266">
        <v>1770000</v>
      </c>
      <c r="F97" s="18" t="s">
        <v>168</v>
      </c>
      <c r="G97" s="6" t="s">
        <v>157</v>
      </c>
      <c r="H97" s="101" t="s">
        <v>196</v>
      </c>
      <c r="I97" s="224">
        <v>45807</v>
      </c>
      <c r="J97" t="s">
        <v>14</v>
      </c>
      <c r="L97" s="20" t="s">
        <v>10</v>
      </c>
      <c r="M97" s="436" t="s">
        <v>683</v>
      </c>
      <c r="N97" s="3" t="str">
        <f>IFERROR(INDEX(Tableau6[],MATCH(Tableau3[[#This Row],[FACTURE]],Tableau6[NUM DE FACTURE],0),4),"")</f>
        <v/>
      </c>
      <c r="O97" t="str">
        <f>IF(Tableau3[[#This Row],[CLIENTS]]="","",CONCATENATE(Tableau3[[#This Row],[MODE ]]," ",Tableau3[[#This Row],[ETS PAYEUR]]," ","F/",Tableau3[[#This Row],[FACTURE]]))</f>
        <v>CHEQUE NSIA F/164 EXO24</v>
      </c>
      <c r="Q97">
        <f>+ROW()-ROW(Tableau3[[#Headers],[N° LIGNE_RF]])</f>
        <v>94</v>
      </c>
      <c r="R97" s="6">
        <f>IF(Tableau3[[#This Row],[REFERENCE ]]="","",MATCH(Tableau3[[#This Row],[REFERENCE ]],Tableau3[[REFERENCE ]],0))</f>
        <v>57</v>
      </c>
      <c r="S97" s="70"/>
      <c r="T97" s="70"/>
      <c r="Y97"/>
      <c r="AA97"/>
      <c r="AF97"/>
      <c r="AG97"/>
    </row>
    <row r="98" spans="1:33" ht="10.050000000000001" customHeight="1" x14ac:dyDescent="0.2">
      <c r="A98" t="s">
        <v>100</v>
      </c>
      <c r="B98" t="s">
        <v>138</v>
      </c>
      <c r="C98" t="s">
        <v>60</v>
      </c>
      <c r="D98" s="58" t="s">
        <v>84</v>
      </c>
      <c r="E98" s="267">
        <v>1810120</v>
      </c>
      <c r="F98" s="139" t="s">
        <v>209</v>
      </c>
      <c r="G98" s="6" t="s">
        <v>157</v>
      </c>
      <c r="H98" s="100" t="s">
        <v>196</v>
      </c>
      <c r="I98" s="252">
        <v>45807</v>
      </c>
      <c r="J98" t="s">
        <v>14</v>
      </c>
      <c r="L98" s="20" t="s">
        <v>10</v>
      </c>
      <c r="M98" s="256">
        <v>259</v>
      </c>
      <c r="N98" s="138">
        <f>IFERROR(INDEX(Tableau6[],MATCH(Tableau3[[#This Row],[FACTURE]],Tableau6[NUM DE FACTURE],0),4),"")</f>
        <v>259</v>
      </c>
      <c r="O98" s="137" t="str">
        <f>IF(Tableau3[[#This Row],[CLIENTS]]="","",CONCATENATE(Tableau3[[#This Row],[MODE ]]," ",Tableau3[[#This Row],[ETS PAYEUR]]," ","F/",Tableau3[[#This Row],[FACTURE]]))</f>
        <v>CHEQUE NSIA F/259</v>
      </c>
      <c r="P98" s="137"/>
      <c r="Q98">
        <f>+ROW()-ROW(Tableau3[[#Headers],[N° LIGNE_RF]])</f>
        <v>95</v>
      </c>
      <c r="R98" s="6">
        <f>IF(Tableau3[[#This Row],[REFERENCE ]]="","",MATCH(Tableau3[[#This Row],[REFERENCE ]],Tableau3[[REFERENCE ]],0))</f>
        <v>57</v>
      </c>
      <c r="S98" s="70"/>
      <c r="T98" s="70"/>
      <c r="Y98"/>
      <c r="AA98"/>
      <c r="AF98"/>
      <c r="AG98"/>
    </row>
    <row r="99" spans="1:33" ht="10.050000000000001" customHeight="1" x14ac:dyDescent="0.2">
      <c r="A99" t="s">
        <v>100</v>
      </c>
      <c r="B99" t="s">
        <v>138</v>
      </c>
      <c r="C99" t="s">
        <v>60</v>
      </c>
      <c r="D99" s="58" t="s">
        <v>84</v>
      </c>
      <c r="E99" s="264">
        <v>1864400</v>
      </c>
      <c r="F99" s="18" t="s">
        <v>197</v>
      </c>
      <c r="G99" s="6" t="s">
        <v>157</v>
      </c>
      <c r="H99" s="100" t="s">
        <v>196</v>
      </c>
      <c r="I99" s="224">
        <v>45807</v>
      </c>
      <c r="J99" t="s">
        <v>14</v>
      </c>
      <c r="L99" s="20" t="s">
        <v>10</v>
      </c>
      <c r="M99" s="6" t="s">
        <v>684</v>
      </c>
      <c r="N99" s="3" t="str">
        <f>IFERROR(INDEX(Tableau6[],MATCH(Tableau3[[#This Row],[FACTURE]],Tableau6[NUM DE FACTURE],0),4),"")</f>
        <v/>
      </c>
      <c r="O99" t="str">
        <f>IF(Tableau3[[#This Row],[CLIENTS]]="","",CONCATENATE(Tableau3[[#This Row],[MODE ]]," ",Tableau3[[#This Row],[ETS PAYEUR]]," ","F/",Tableau3[[#This Row],[FACTURE]]))</f>
        <v>CHEQUE NSIA F/183 EXO24</v>
      </c>
      <c r="Q99">
        <f>+ROW()-ROW(Tableau3[[#Headers],[N° LIGNE_RF]])</f>
        <v>96</v>
      </c>
      <c r="R99" s="6">
        <f>IF(Tableau3[[#This Row],[REFERENCE ]]="","",MATCH(Tableau3[[#This Row],[REFERENCE ]],Tableau3[[REFERENCE ]],0))</f>
        <v>57</v>
      </c>
      <c r="S99" s="70"/>
      <c r="T99" s="70"/>
      <c r="Y99"/>
      <c r="AA99"/>
      <c r="AF99"/>
      <c r="AG99"/>
    </row>
    <row r="100" spans="1:33" ht="10.050000000000001" customHeight="1" x14ac:dyDescent="0.2">
      <c r="A100" t="s">
        <v>100</v>
      </c>
      <c r="B100" t="s">
        <v>138</v>
      </c>
      <c r="C100" t="s">
        <v>60</v>
      </c>
      <c r="D100" s="58" t="s">
        <v>84</v>
      </c>
      <c r="E100" s="278">
        <v>1911600</v>
      </c>
      <c r="F100" s="18" t="s">
        <v>170</v>
      </c>
      <c r="G100" s="6" t="s">
        <v>157</v>
      </c>
      <c r="H100" s="100" t="s">
        <v>196</v>
      </c>
      <c r="I100" s="224">
        <v>45807</v>
      </c>
      <c r="J100" t="s">
        <v>14</v>
      </c>
      <c r="L100" s="20" t="s">
        <v>10</v>
      </c>
      <c r="M100" s="6">
        <v>239</v>
      </c>
      <c r="N100" s="3">
        <f>IFERROR(INDEX(Tableau6[],MATCH(Tableau3[[#This Row],[FACTURE]],Tableau6[NUM DE FACTURE],0),4),"")</f>
        <v>239</v>
      </c>
      <c r="O100" t="str">
        <f>IF(Tableau3[[#This Row],[CLIENTS]]="","",CONCATENATE(Tableau3[[#This Row],[MODE ]]," ",Tableau3[[#This Row],[ETS PAYEUR]]," ","F/",Tableau3[[#This Row],[FACTURE]]))</f>
        <v>CHEQUE NSIA F/239</v>
      </c>
      <c r="Q100">
        <f>+ROW()-ROW(Tableau3[[#Headers],[N° LIGNE_RF]])</f>
        <v>97</v>
      </c>
      <c r="R100" s="6">
        <f>IF(Tableau3[[#This Row],[REFERENCE ]]="","",MATCH(Tableau3[[#This Row],[REFERENCE ]],Tableau3[[REFERENCE ]],0))</f>
        <v>57</v>
      </c>
      <c r="S100" s="70"/>
      <c r="T100" s="70"/>
      <c r="Y100"/>
      <c r="AA100"/>
      <c r="AF100"/>
      <c r="AG100"/>
    </row>
    <row r="101" spans="1:33" ht="10.050000000000001" customHeight="1" x14ac:dyDescent="0.2">
      <c r="A101" t="s">
        <v>100</v>
      </c>
      <c r="B101" t="s">
        <v>138</v>
      </c>
      <c r="C101" t="s">
        <v>60</v>
      </c>
      <c r="D101" s="58" t="s">
        <v>84</v>
      </c>
      <c r="E101" s="267">
        <v>2006000</v>
      </c>
      <c r="F101" s="139" t="s">
        <v>207</v>
      </c>
      <c r="G101" s="6" t="s">
        <v>157</v>
      </c>
      <c r="H101" s="100" t="s">
        <v>196</v>
      </c>
      <c r="I101" s="252">
        <v>45807</v>
      </c>
      <c r="J101" t="s">
        <v>14</v>
      </c>
      <c r="L101" s="20" t="s">
        <v>10</v>
      </c>
      <c r="M101" s="256">
        <v>249</v>
      </c>
      <c r="N101" s="138">
        <f>IFERROR(INDEX(Tableau6[],MATCH(Tableau3[[#This Row],[FACTURE]],Tableau6[NUM DE FACTURE],0),4),"")</f>
        <v>249</v>
      </c>
      <c r="O101" s="137" t="str">
        <f>IF(Tableau3[[#This Row],[CLIENTS]]="","",CONCATENATE(Tableau3[[#This Row],[MODE ]]," ",Tableau3[[#This Row],[ETS PAYEUR]]," ","F/",Tableau3[[#This Row],[FACTURE]]))</f>
        <v>CHEQUE NSIA F/249</v>
      </c>
      <c r="P101" s="137"/>
      <c r="Q101">
        <f>+ROW()-ROW(Tableau3[[#Headers],[N° LIGNE_RF]])</f>
        <v>98</v>
      </c>
      <c r="R101" s="6">
        <f>IF(Tableau3[[#This Row],[REFERENCE ]]="","",MATCH(Tableau3[[#This Row],[REFERENCE ]],Tableau3[[REFERENCE ]],0))</f>
        <v>57</v>
      </c>
      <c r="S101" s="70"/>
      <c r="T101" s="70"/>
      <c r="Y101"/>
      <c r="AA101"/>
      <c r="AF101"/>
      <c r="AG101"/>
    </row>
    <row r="102" spans="1:33" ht="10.050000000000001" customHeight="1" x14ac:dyDescent="0.2">
      <c r="A102" t="s">
        <v>100</v>
      </c>
      <c r="B102" t="s">
        <v>138</v>
      </c>
      <c r="C102" t="s">
        <v>60</v>
      </c>
      <c r="D102" s="58" t="s">
        <v>84</v>
      </c>
      <c r="E102" s="273">
        <v>2212500</v>
      </c>
      <c r="F102" s="18" t="s">
        <v>167</v>
      </c>
      <c r="G102" s="6" t="s">
        <v>157</v>
      </c>
      <c r="H102" s="100" t="s">
        <v>196</v>
      </c>
      <c r="I102" s="224">
        <v>45807</v>
      </c>
      <c r="J102" t="s">
        <v>14</v>
      </c>
      <c r="L102" s="20" t="s">
        <v>10</v>
      </c>
      <c r="M102" s="6">
        <v>232</v>
      </c>
      <c r="N102" s="3">
        <f>IFERROR(INDEX(Tableau6[],MATCH(Tableau3[[#This Row],[FACTURE]],Tableau6[NUM DE FACTURE],0),4),"")</f>
        <v>232</v>
      </c>
      <c r="O102" t="str">
        <f>IF(Tableau3[[#This Row],[CLIENTS]]="","",CONCATENATE(Tableau3[[#This Row],[MODE ]]," ",Tableau3[[#This Row],[ETS PAYEUR]]," ","F/",Tableau3[[#This Row],[FACTURE]]))</f>
        <v>CHEQUE NSIA F/232</v>
      </c>
      <c r="Q102">
        <f>+ROW()-ROW(Tableau3[[#Headers],[N° LIGNE_RF]])</f>
        <v>99</v>
      </c>
      <c r="R102" s="6">
        <f>IF(Tableau3[[#This Row],[REFERENCE ]]="","",MATCH(Tableau3[[#This Row],[REFERENCE ]],Tableau3[[REFERENCE ]],0))</f>
        <v>57</v>
      </c>
      <c r="S102" s="70"/>
      <c r="T102" s="70"/>
      <c r="Y102"/>
      <c r="AA102"/>
      <c r="AF102"/>
      <c r="AG102"/>
    </row>
    <row r="103" spans="1:33" ht="10.050000000000001" customHeight="1" x14ac:dyDescent="0.2">
      <c r="A103" t="s">
        <v>100</v>
      </c>
      <c r="B103" t="s">
        <v>138</v>
      </c>
      <c r="C103" t="s">
        <v>60</v>
      </c>
      <c r="D103" s="58" t="s">
        <v>84</v>
      </c>
      <c r="E103" s="264">
        <v>2336400</v>
      </c>
      <c r="F103" s="18" t="s">
        <v>171</v>
      </c>
      <c r="G103" s="6" t="s">
        <v>157</v>
      </c>
      <c r="H103" s="100" t="s">
        <v>196</v>
      </c>
      <c r="I103" s="224">
        <v>45807</v>
      </c>
      <c r="J103" t="s">
        <v>14</v>
      </c>
      <c r="L103" s="20" t="s">
        <v>10</v>
      </c>
      <c r="M103" s="6">
        <v>213</v>
      </c>
      <c r="N103" s="3">
        <f>IFERROR(INDEX(Tableau6[],MATCH(Tableau3[[#This Row],[FACTURE]],Tableau6[NUM DE FACTURE],0),4),"")</f>
        <v>213</v>
      </c>
      <c r="O103" t="str">
        <f>IF(Tableau3[[#This Row],[CLIENTS]]="","",CONCATENATE(Tableau3[[#This Row],[MODE ]]," ",Tableau3[[#This Row],[ETS PAYEUR]]," ","F/",Tableau3[[#This Row],[FACTURE]]))</f>
        <v>CHEQUE NSIA F/213</v>
      </c>
      <c r="Q103">
        <f>+ROW()-ROW(Tableau3[[#Headers],[N° LIGNE_RF]])</f>
        <v>100</v>
      </c>
      <c r="R103" s="6">
        <f>IF(Tableau3[[#This Row],[REFERENCE ]]="","",MATCH(Tableau3[[#This Row],[REFERENCE ]],Tableau3[[REFERENCE ]],0))</f>
        <v>57</v>
      </c>
      <c r="S103" s="70"/>
      <c r="T103" s="70"/>
      <c r="Y103"/>
      <c r="AA103"/>
      <c r="AF103"/>
      <c r="AG103"/>
    </row>
    <row r="104" spans="1:33" ht="10.050000000000001" customHeight="1" x14ac:dyDescent="0.2">
      <c r="A104" t="s">
        <v>100</v>
      </c>
      <c r="B104" t="s">
        <v>138</v>
      </c>
      <c r="C104" t="s">
        <v>60</v>
      </c>
      <c r="D104" s="58" t="s">
        <v>84</v>
      </c>
      <c r="E104" s="264">
        <v>2336400</v>
      </c>
      <c r="F104" s="18" t="s">
        <v>171</v>
      </c>
      <c r="G104" s="6" t="s">
        <v>157</v>
      </c>
      <c r="H104" s="100" t="s">
        <v>196</v>
      </c>
      <c r="I104" s="224">
        <v>45807</v>
      </c>
      <c r="J104" t="s">
        <v>14</v>
      </c>
      <c r="L104" s="20" t="s">
        <v>10</v>
      </c>
      <c r="M104" s="6">
        <v>227</v>
      </c>
      <c r="N104" s="3">
        <f>IFERROR(INDEX(Tableau6[],MATCH(Tableau3[[#This Row],[FACTURE]],Tableau6[NUM DE FACTURE],0),4),"")</f>
        <v>227</v>
      </c>
      <c r="O104" t="str">
        <f>IF(Tableau3[[#This Row],[CLIENTS]]="","",CONCATENATE(Tableau3[[#This Row],[MODE ]]," ",Tableau3[[#This Row],[ETS PAYEUR]]," ","F/",Tableau3[[#This Row],[FACTURE]]))</f>
        <v>CHEQUE NSIA F/227</v>
      </c>
      <c r="Q104">
        <f>+ROW()-ROW(Tableau3[[#Headers],[N° LIGNE_RF]])</f>
        <v>101</v>
      </c>
      <c r="R104" s="6">
        <f>IF(Tableau3[[#This Row],[REFERENCE ]]="","",MATCH(Tableau3[[#This Row],[REFERENCE ]],Tableau3[[REFERENCE ]],0))</f>
        <v>57</v>
      </c>
      <c r="S104" s="70"/>
      <c r="T104" s="70"/>
      <c r="Y104"/>
      <c r="AA104"/>
      <c r="AF104"/>
      <c r="AG104"/>
    </row>
    <row r="105" spans="1:33" ht="10.050000000000001" customHeight="1" x14ac:dyDescent="0.2">
      <c r="A105" t="s">
        <v>100</v>
      </c>
      <c r="B105" t="s">
        <v>138</v>
      </c>
      <c r="C105" t="s">
        <v>60</v>
      </c>
      <c r="D105" s="58" t="s">
        <v>84</v>
      </c>
      <c r="E105" s="274">
        <v>2548800</v>
      </c>
      <c r="F105" s="18" t="s">
        <v>176</v>
      </c>
      <c r="G105" s="6" t="s">
        <v>157</v>
      </c>
      <c r="H105" s="100" t="s">
        <v>196</v>
      </c>
      <c r="I105" s="224">
        <v>45807</v>
      </c>
      <c r="J105" t="s">
        <v>14</v>
      </c>
      <c r="L105" s="20" t="s">
        <v>10</v>
      </c>
      <c r="M105" s="6">
        <v>295</v>
      </c>
      <c r="N105" s="3">
        <f>IFERROR(INDEX(Tableau6[],MATCH(Tableau3[[#This Row],[FACTURE]],Tableau6[NUM DE FACTURE],0),4),"")</f>
        <v>295</v>
      </c>
      <c r="O105" t="str">
        <f>IF(Tableau3[[#This Row],[CLIENTS]]="","",CONCATENATE(Tableau3[[#This Row],[MODE ]]," ",Tableau3[[#This Row],[ETS PAYEUR]]," ","F/",Tableau3[[#This Row],[FACTURE]]))</f>
        <v>CHEQUE NSIA F/295</v>
      </c>
      <c r="Q105">
        <f>+ROW()-ROW(Tableau3[[#Headers],[N° LIGNE_RF]])</f>
        <v>102</v>
      </c>
      <c r="R105" s="6">
        <f>IF(Tableau3[[#This Row],[REFERENCE ]]="","",MATCH(Tableau3[[#This Row],[REFERENCE ]],Tableau3[[REFERENCE ]],0))</f>
        <v>57</v>
      </c>
      <c r="S105" s="70"/>
      <c r="T105" s="70"/>
      <c r="Y105"/>
      <c r="AA105"/>
      <c r="AF105"/>
      <c r="AG105"/>
    </row>
    <row r="106" spans="1:33" ht="10.050000000000001" customHeight="1" x14ac:dyDescent="0.2">
      <c r="A106" t="s">
        <v>100</v>
      </c>
      <c r="B106" t="s">
        <v>138</v>
      </c>
      <c r="C106" t="s">
        <v>60</v>
      </c>
      <c r="D106" s="58" t="s">
        <v>84</v>
      </c>
      <c r="E106" s="264">
        <v>2596000</v>
      </c>
      <c r="F106" s="18" t="s">
        <v>170</v>
      </c>
      <c r="G106" s="6" t="s">
        <v>157</v>
      </c>
      <c r="H106" s="100" t="s">
        <v>196</v>
      </c>
      <c r="I106" s="224">
        <v>45807</v>
      </c>
      <c r="J106" t="s">
        <v>14</v>
      </c>
      <c r="L106" s="20" t="s">
        <v>10</v>
      </c>
      <c r="M106" s="6">
        <v>214</v>
      </c>
      <c r="N106" s="3">
        <f>IFERROR(INDEX(Tableau6[],MATCH(Tableau3[[#This Row],[FACTURE]],Tableau6[NUM DE FACTURE],0),4),"")</f>
        <v>214</v>
      </c>
      <c r="O106" t="str">
        <f>IF(Tableau3[[#This Row],[CLIENTS]]="","",CONCATENATE(Tableau3[[#This Row],[MODE ]]," ",Tableau3[[#This Row],[ETS PAYEUR]]," ","F/",Tableau3[[#This Row],[FACTURE]]))</f>
        <v>CHEQUE NSIA F/214</v>
      </c>
      <c r="Q106">
        <f>+ROW()-ROW(Tableau3[[#Headers],[N° LIGNE_RF]])</f>
        <v>103</v>
      </c>
      <c r="R106" s="6">
        <f>IF(Tableau3[[#This Row],[REFERENCE ]]="","",MATCH(Tableau3[[#This Row],[REFERENCE ]],Tableau3[[REFERENCE ]],0))</f>
        <v>57</v>
      </c>
      <c r="S106" s="70"/>
      <c r="T106" s="70"/>
      <c r="Y106"/>
      <c r="AA106"/>
      <c r="AF106"/>
      <c r="AG106"/>
    </row>
    <row r="107" spans="1:33" ht="10.050000000000001" customHeight="1" x14ac:dyDescent="0.2">
      <c r="A107" t="s">
        <v>100</v>
      </c>
      <c r="B107" t="s">
        <v>138</v>
      </c>
      <c r="C107" t="s">
        <v>60</v>
      </c>
      <c r="D107" s="58" t="s">
        <v>84</v>
      </c>
      <c r="E107" s="272">
        <v>2761200</v>
      </c>
      <c r="F107" s="18" t="s">
        <v>170</v>
      </c>
      <c r="G107" s="6" t="s">
        <v>157</v>
      </c>
      <c r="H107" s="101" t="s">
        <v>196</v>
      </c>
      <c r="I107" s="224">
        <v>45807</v>
      </c>
      <c r="J107" t="s">
        <v>14</v>
      </c>
      <c r="L107" s="20" t="s">
        <v>10</v>
      </c>
      <c r="M107" s="6" t="s">
        <v>685</v>
      </c>
      <c r="N107" s="3" t="str">
        <f>IFERROR(INDEX(Tableau6[],MATCH(Tableau3[[#This Row],[FACTURE]],Tableau6[NUM DE FACTURE],0),4),"")</f>
        <v/>
      </c>
      <c r="O107" t="str">
        <f>IF(Tableau3[[#This Row],[CLIENTS]]="","",CONCATENATE(Tableau3[[#This Row],[MODE ]]," ",Tableau3[[#This Row],[ETS PAYEUR]]," ","F/",Tableau3[[#This Row],[FACTURE]]))</f>
        <v>CHEQUE NSIA F/176 EXO24</v>
      </c>
      <c r="Q107">
        <f>+ROW()-ROW(Tableau3[[#Headers],[N° LIGNE_RF]])</f>
        <v>104</v>
      </c>
      <c r="R107" s="6">
        <f>IF(Tableau3[[#This Row],[REFERENCE ]]="","",MATCH(Tableau3[[#This Row],[REFERENCE ]],Tableau3[[REFERENCE ]],0))</f>
        <v>57</v>
      </c>
      <c r="S107" s="70"/>
      <c r="T107" s="70"/>
      <c r="Y107"/>
      <c r="AA107"/>
      <c r="AF107"/>
      <c r="AG107"/>
    </row>
    <row r="108" spans="1:33" ht="10.050000000000001" customHeight="1" x14ac:dyDescent="0.2">
      <c r="A108" t="s">
        <v>100</v>
      </c>
      <c r="B108" t="s">
        <v>138</v>
      </c>
      <c r="C108" t="s">
        <v>60</v>
      </c>
      <c r="D108" s="58" t="s">
        <v>84</v>
      </c>
      <c r="E108" s="274">
        <v>2867400</v>
      </c>
      <c r="F108" s="18" t="s">
        <v>211</v>
      </c>
      <c r="G108" s="6" t="s">
        <v>157</v>
      </c>
      <c r="H108" s="100" t="s">
        <v>196</v>
      </c>
      <c r="I108" s="224">
        <v>45807</v>
      </c>
      <c r="J108" t="s">
        <v>14</v>
      </c>
      <c r="L108" s="20" t="s">
        <v>10</v>
      </c>
      <c r="M108" s="6">
        <v>281</v>
      </c>
      <c r="N108" s="3">
        <f>IFERROR(INDEX(Tableau6[],MATCH(Tableau3[[#This Row],[FACTURE]],Tableau6[NUM DE FACTURE],0),4),"")</f>
        <v>281</v>
      </c>
      <c r="O108" t="str">
        <f>IF(Tableau3[[#This Row],[CLIENTS]]="","",CONCATENATE(Tableau3[[#This Row],[MODE ]]," ",Tableau3[[#This Row],[ETS PAYEUR]]," ","F/",Tableau3[[#This Row],[FACTURE]]))</f>
        <v>CHEQUE NSIA F/281</v>
      </c>
      <c r="Q108">
        <f>+ROW()-ROW(Tableau3[[#Headers],[N° LIGNE_RF]])</f>
        <v>105</v>
      </c>
      <c r="R108" s="6">
        <f>IF(Tableau3[[#This Row],[REFERENCE ]]="","",MATCH(Tableau3[[#This Row],[REFERENCE ]],Tableau3[[REFERENCE ]],0))</f>
        <v>57</v>
      </c>
      <c r="S108" s="70"/>
      <c r="T108" s="70"/>
      <c r="Y108"/>
      <c r="AA108"/>
      <c r="AF108"/>
      <c r="AG108"/>
    </row>
    <row r="109" spans="1:33" ht="10.050000000000001" customHeight="1" x14ac:dyDescent="0.2">
      <c r="A109" t="s">
        <v>100</v>
      </c>
      <c r="B109" t="s">
        <v>138</v>
      </c>
      <c r="C109" t="s">
        <v>60</v>
      </c>
      <c r="D109" s="58" t="s">
        <v>84</v>
      </c>
      <c r="E109" s="267">
        <v>2973600</v>
      </c>
      <c r="F109" s="139" t="s">
        <v>176</v>
      </c>
      <c r="G109" s="6" t="s">
        <v>157</v>
      </c>
      <c r="H109" s="100" t="s">
        <v>196</v>
      </c>
      <c r="I109" s="252">
        <v>45807</v>
      </c>
      <c r="J109" t="s">
        <v>14</v>
      </c>
      <c r="L109" s="20" t="s">
        <v>10</v>
      </c>
      <c r="M109" s="256">
        <v>296</v>
      </c>
      <c r="N109" s="138">
        <f>IFERROR(INDEX(Tableau6[],MATCH(Tableau3[[#This Row],[FACTURE]],Tableau6[NUM DE FACTURE],0),4),"")</f>
        <v>296</v>
      </c>
      <c r="O109" s="137" t="str">
        <f>IF(Tableau3[[#This Row],[CLIENTS]]="","",CONCATENATE(Tableau3[[#This Row],[MODE ]]," ",Tableau3[[#This Row],[ETS PAYEUR]]," ","F/",Tableau3[[#This Row],[FACTURE]]))</f>
        <v>CHEQUE NSIA F/296</v>
      </c>
      <c r="P109" s="137"/>
      <c r="Q109">
        <f>+ROW()-ROW(Tableau3[[#Headers],[N° LIGNE_RF]])</f>
        <v>106</v>
      </c>
      <c r="R109" s="6">
        <f>IF(Tableau3[[#This Row],[REFERENCE ]]="","",MATCH(Tableau3[[#This Row],[REFERENCE ]],Tableau3[[REFERENCE ]],0))</f>
        <v>57</v>
      </c>
      <c r="S109" s="70"/>
      <c r="T109" s="70"/>
      <c r="Y109"/>
      <c r="AA109"/>
      <c r="AF109"/>
      <c r="AG109"/>
    </row>
    <row r="110" spans="1:33" ht="10.050000000000001" customHeight="1" x14ac:dyDescent="0.2">
      <c r="A110" t="s">
        <v>100</v>
      </c>
      <c r="B110" t="s">
        <v>138</v>
      </c>
      <c r="C110" t="s">
        <v>60</v>
      </c>
      <c r="D110" s="58" t="s">
        <v>84</v>
      </c>
      <c r="E110" s="264">
        <v>3068000</v>
      </c>
      <c r="F110" s="18" t="s">
        <v>170</v>
      </c>
      <c r="G110" s="6" t="s">
        <v>157</v>
      </c>
      <c r="H110" s="100" t="s">
        <v>196</v>
      </c>
      <c r="I110" s="224">
        <v>45807</v>
      </c>
      <c r="J110" t="s">
        <v>14</v>
      </c>
      <c r="L110" s="20" t="s">
        <v>10</v>
      </c>
      <c r="M110" s="6" t="s">
        <v>686</v>
      </c>
      <c r="N110" s="3" t="str">
        <f>IFERROR(INDEX(Tableau6[],MATCH(Tableau3[[#This Row],[FACTURE]],Tableau6[NUM DE FACTURE],0),4),"")</f>
        <v/>
      </c>
      <c r="O110" t="str">
        <f>IF(Tableau3[[#This Row],[CLIENTS]]="","",CONCATENATE(Tableau3[[#This Row],[MODE ]]," ",Tableau3[[#This Row],[ETS PAYEUR]]," ","F/",Tableau3[[#This Row],[FACTURE]]))</f>
        <v>CHEQUE NSIA F/170 EXO24</v>
      </c>
      <c r="Q110">
        <f>+ROW()-ROW(Tableau3[[#Headers],[N° LIGNE_RF]])</f>
        <v>107</v>
      </c>
      <c r="R110" s="6">
        <f>IF(Tableau3[[#This Row],[REFERENCE ]]="","",MATCH(Tableau3[[#This Row],[REFERENCE ]],Tableau3[[REFERENCE ]],0))</f>
        <v>57</v>
      </c>
      <c r="S110" s="70"/>
      <c r="T110" s="70"/>
      <c r="Y110"/>
      <c r="AA110"/>
      <c r="AF110"/>
      <c r="AG110"/>
    </row>
    <row r="111" spans="1:33" ht="10.050000000000001" customHeight="1" x14ac:dyDescent="0.2">
      <c r="A111" t="s">
        <v>100</v>
      </c>
      <c r="B111" t="s">
        <v>138</v>
      </c>
      <c r="C111" t="s">
        <v>60</v>
      </c>
      <c r="D111" s="58" t="s">
        <v>84</v>
      </c>
      <c r="E111" s="267">
        <v>3070360</v>
      </c>
      <c r="F111" s="139" t="s">
        <v>208</v>
      </c>
      <c r="G111" s="6" t="s">
        <v>157</v>
      </c>
      <c r="H111" s="100" t="s">
        <v>196</v>
      </c>
      <c r="I111" s="252">
        <v>45807</v>
      </c>
      <c r="J111" t="s">
        <v>14</v>
      </c>
      <c r="L111" s="20" t="s">
        <v>10</v>
      </c>
      <c r="M111" s="256">
        <v>260</v>
      </c>
      <c r="N111" s="138">
        <f>IFERROR(INDEX(Tableau6[],MATCH(Tableau3[[#This Row],[FACTURE]],Tableau6[NUM DE FACTURE],0),4),"")</f>
        <v>260</v>
      </c>
      <c r="O111" s="137" t="str">
        <f>IF(Tableau3[[#This Row],[CLIENTS]]="","",CONCATENATE(Tableau3[[#This Row],[MODE ]]," ",Tableau3[[#This Row],[ETS PAYEUR]]," ","F/",Tableau3[[#This Row],[FACTURE]]))</f>
        <v>CHEQUE NSIA F/260</v>
      </c>
      <c r="P111" s="137"/>
      <c r="Q111">
        <f>+ROW()-ROW(Tableau3[[#Headers],[N° LIGNE_RF]])</f>
        <v>108</v>
      </c>
      <c r="R111" s="6">
        <f>IF(Tableau3[[#This Row],[REFERENCE ]]="","",MATCH(Tableau3[[#This Row],[REFERENCE ]],Tableau3[[REFERENCE ]],0))</f>
        <v>57</v>
      </c>
      <c r="S111" s="70"/>
      <c r="T111" s="70"/>
      <c r="Y111"/>
      <c r="AA111"/>
      <c r="AF111"/>
      <c r="AG111"/>
    </row>
    <row r="112" spans="1:33" ht="10.050000000000001" customHeight="1" x14ac:dyDescent="0.2">
      <c r="A112" t="s">
        <v>100</v>
      </c>
      <c r="B112" t="s">
        <v>138</v>
      </c>
      <c r="C112" t="s">
        <v>60</v>
      </c>
      <c r="D112" s="58" t="s">
        <v>84</v>
      </c>
      <c r="E112" s="278">
        <v>3186000</v>
      </c>
      <c r="F112" s="18" t="s">
        <v>200</v>
      </c>
      <c r="G112" s="6" t="s">
        <v>157</v>
      </c>
      <c r="H112" s="100" t="s">
        <v>196</v>
      </c>
      <c r="I112" s="224">
        <v>45807</v>
      </c>
      <c r="J112" t="s">
        <v>14</v>
      </c>
      <c r="L112" s="20" t="s">
        <v>10</v>
      </c>
      <c r="M112" s="6">
        <v>224</v>
      </c>
      <c r="N112" s="3">
        <f>IFERROR(INDEX(Tableau6[],MATCH(Tableau3[[#This Row],[FACTURE]],Tableau6[NUM DE FACTURE],0),4),"")</f>
        <v>224</v>
      </c>
      <c r="O112" t="str">
        <f>IF(Tableau3[[#This Row],[CLIENTS]]="","",CONCATENATE(Tableau3[[#This Row],[MODE ]]," ",Tableau3[[#This Row],[ETS PAYEUR]]," ","F/",Tableau3[[#This Row],[FACTURE]]))</f>
        <v>CHEQUE NSIA F/224</v>
      </c>
      <c r="Q112">
        <f>+ROW()-ROW(Tableau3[[#Headers],[N° LIGNE_RF]])</f>
        <v>109</v>
      </c>
      <c r="R112" s="6">
        <f>IF(Tableau3[[#This Row],[REFERENCE ]]="","",MATCH(Tableau3[[#This Row],[REFERENCE ]],Tableau3[[REFERENCE ]],0))</f>
        <v>57</v>
      </c>
      <c r="S112" s="70"/>
      <c r="T112" s="70"/>
      <c r="Y112"/>
      <c r="AA112"/>
      <c r="AF112"/>
      <c r="AG112"/>
    </row>
    <row r="113" spans="1:33" ht="10.050000000000001" customHeight="1" x14ac:dyDescent="0.2">
      <c r="A113" t="s">
        <v>100</v>
      </c>
      <c r="B113" t="s">
        <v>138</v>
      </c>
      <c r="C113" t="s">
        <v>60</v>
      </c>
      <c r="D113" s="58" t="s">
        <v>84</v>
      </c>
      <c r="E113" s="276">
        <v>3186000</v>
      </c>
      <c r="F113" s="18" t="s">
        <v>176</v>
      </c>
      <c r="G113" s="6" t="s">
        <v>157</v>
      </c>
      <c r="H113" s="100" t="s">
        <v>196</v>
      </c>
      <c r="I113" s="224">
        <v>45807</v>
      </c>
      <c r="J113" t="s">
        <v>14</v>
      </c>
      <c r="L113" s="20" t="s">
        <v>10</v>
      </c>
      <c r="M113" s="6">
        <v>243</v>
      </c>
      <c r="N113" s="3">
        <f>IFERROR(INDEX(Tableau6[],MATCH(Tableau3[[#This Row],[FACTURE]],Tableau6[NUM DE FACTURE],0),4),"")</f>
        <v>243</v>
      </c>
      <c r="O113" t="str">
        <f>IF(Tableau3[[#This Row],[CLIENTS]]="","",CONCATENATE(Tableau3[[#This Row],[MODE ]]," ",Tableau3[[#This Row],[ETS PAYEUR]]," ","F/",Tableau3[[#This Row],[FACTURE]]))</f>
        <v>CHEQUE NSIA F/243</v>
      </c>
      <c r="Q113">
        <f>+ROW()-ROW(Tableau3[[#Headers],[N° LIGNE_RF]])</f>
        <v>110</v>
      </c>
      <c r="R113" s="6">
        <f>IF(Tableau3[[#This Row],[REFERENCE ]]="","",MATCH(Tableau3[[#This Row],[REFERENCE ]],Tableau3[[REFERENCE ]],0))</f>
        <v>57</v>
      </c>
      <c r="S113" s="70"/>
      <c r="T113" s="70"/>
      <c r="Y113"/>
      <c r="AA113"/>
      <c r="AF113"/>
      <c r="AG113"/>
    </row>
    <row r="114" spans="1:33" ht="10.050000000000001" customHeight="1" x14ac:dyDescent="0.2">
      <c r="A114" t="s">
        <v>100</v>
      </c>
      <c r="B114" t="s">
        <v>138</v>
      </c>
      <c r="C114" t="s">
        <v>60</v>
      </c>
      <c r="D114" s="58" t="s">
        <v>84</v>
      </c>
      <c r="E114" s="264">
        <v>3398400</v>
      </c>
      <c r="F114" s="18" t="s">
        <v>171</v>
      </c>
      <c r="G114" s="6" t="s">
        <v>157</v>
      </c>
      <c r="H114" s="100" t="s">
        <v>196</v>
      </c>
      <c r="I114" s="224">
        <v>45807</v>
      </c>
      <c r="J114" t="s">
        <v>14</v>
      </c>
      <c r="L114" s="20" t="s">
        <v>10</v>
      </c>
      <c r="M114" s="6">
        <v>240</v>
      </c>
      <c r="N114" s="3">
        <f>IFERROR(INDEX(Tableau6[],MATCH(Tableau3[[#This Row],[FACTURE]],Tableau6[NUM DE FACTURE],0),4),"")</f>
        <v>240</v>
      </c>
      <c r="O114" t="str">
        <f>IF(Tableau3[[#This Row],[CLIENTS]]="","",CONCATENATE(Tableau3[[#This Row],[MODE ]]," ",Tableau3[[#This Row],[ETS PAYEUR]]," ","F/",Tableau3[[#This Row],[FACTURE]]))</f>
        <v>CHEQUE NSIA F/240</v>
      </c>
      <c r="Q114">
        <f>+ROW()-ROW(Tableau3[[#Headers],[N° LIGNE_RF]])</f>
        <v>111</v>
      </c>
      <c r="R114" s="6">
        <f>IF(Tableau3[[#This Row],[REFERENCE ]]="","",MATCH(Tableau3[[#This Row],[REFERENCE ]],Tableau3[[REFERENCE ]],0))</f>
        <v>57</v>
      </c>
      <c r="S114" s="70"/>
      <c r="T114" s="70"/>
      <c r="Y114"/>
      <c r="AA114"/>
      <c r="AF114"/>
      <c r="AG114"/>
    </row>
    <row r="115" spans="1:33" ht="10.050000000000001" customHeight="1" x14ac:dyDescent="0.2">
      <c r="A115" t="s">
        <v>100</v>
      </c>
      <c r="B115" t="s">
        <v>138</v>
      </c>
      <c r="C115" t="s">
        <v>60</v>
      </c>
      <c r="D115" s="58" t="s">
        <v>84</v>
      </c>
      <c r="E115" s="264">
        <v>4012000</v>
      </c>
      <c r="F115" s="18" t="s">
        <v>171</v>
      </c>
      <c r="G115" s="6" t="s">
        <v>157</v>
      </c>
      <c r="H115" s="100" t="s">
        <v>196</v>
      </c>
      <c r="I115" s="224">
        <v>45807</v>
      </c>
      <c r="J115" t="s">
        <v>14</v>
      </c>
      <c r="L115" s="20" t="s">
        <v>10</v>
      </c>
      <c r="M115" s="6">
        <v>229</v>
      </c>
      <c r="N115" s="3">
        <f>IFERROR(INDEX(Tableau6[],MATCH(Tableau3[[#This Row],[FACTURE]],Tableau6[NUM DE FACTURE],0),4),"")</f>
        <v>229</v>
      </c>
      <c r="O115" t="str">
        <f>IF(Tableau3[[#This Row],[CLIENTS]]="","",CONCATENATE(Tableau3[[#This Row],[MODE ]]," ",Tableau3[[#This Row],[ETS PAYEUR]]," ","F/",Tableau3[[#This Row],[FACTURE]]))</f>
        <v>CHEQUE NSIA F/229</v>
      </c>
      <c r="Q115">
        <f>+ROW()-ROW(Tableau3[[#Headers],[N° LIGNE_RF]])</f>
        <v>112</v>
      </c>
      <c r="R115" s="6">
        <f>IF(Tableau3[[#This Row],[REFERENCE ]]="","",MATCH(Tableau3[[#This Row],[REFERENCE ]],Tableau3[[REFERENCE ]],0))</f>
        <v>57</v>
      </c>
      <c r="S115" s="70"/>
      <c r="T115" s="70"/>
      <c r="Y115"/>
      <c r="AA115"/>
      <c r="AF115"/>
      <c r="AG115"/>
    </row>
    <row r="116" spans="1:33" ht="10.050000000000001" customHeight="1" x14ac:dyDescent="0.2">
      <c r="A116" t="s">
        <v>100</v>
      </c>
      <c r="B116" t="s">
        <v>138</v>
      </c>
      <c r="C116" t="s">
        <v>60</v>
      </c>
      <c r="D116" s="58" t="s">
        <v>84</v>
      </c>
      <c r="E116" s="267">
        <v>4071000</v>
      </c>
      <c r="F116" s="139" t="s">
        <v>194</v>
      </c>
      <c r="G116" s="6" t="s">
        <v>157</v>
      </c>
      <c r="H116" s="100" t="s">
        <v>196</v>
      </c>
      <c r="I116" s="252">
        <v>45807</v>
      </c>
      <c r="J116" t="s">
        <v>14</v>
      </c>
      <c r="L116" s="20" t="s">
        <v>10</v>
      </c>
      <c r="M116" s="256">
        <v>257</v>
      </c>
      <c r="N116" s="138">
        <f>IFERROR(INDEX(Tableau6[],MATCH(Tableau3[[#This Row],[FACTURE]],Tableau6[NUM DE FACTURE],0),4),"")</f>
        <v>257</v>
      </c>
      <c r="O116" s="137" t="str">
        <f>IF(Tableau3[[#This Row],[CLIENTS]]="","",CONCATENATE(Tableau3[[#This Row],[MODE ]]," ",Tableau3[[#This Row],[ETS PAYEUR]]," ","F/",Tableau3[[#This Row],[FACTURE]]))</f>
        <v>CHEQUE NSIA F/257</v>
      </c>
      <c r="P116" s="137"/>
      <c r="Q116">
        <f>+ROW()-ROW(Tableau3[[#Headers],[N° LIGNE_RF]])</f>
        <v>113</v>
      </c>
      <c r="R116" s="6">
        <f>IF(Tableau3[[#This Row],[REFERENCE ]]="","",MATCH(Tableau3[[#This Row],[REFERENCE ]],Tableau3[[REFERENCE ]],0))</f>
        <v>57</v>
      </c>
      <c r="S116" s="70"/>
      <c r="T116" s="70"/>
      <c r="Y116"/>
      <c r="AA116"/>
      <c r="AF116"/>
      <c r="AG116"/>
    </row>
    <row r="117" spans="1:33" ht="10.050000000000001" customHeight="1" x14ac:dyDescent="0.2">
      <c r="A117" t="s">
        <v>100</v>
      </c>
      <c r="B117" t="s">
        <v>138</v>
      </c>
      <c r="C117" t="s">
        <v>60</v>
      </c>
      <c r="D117" s="58" t="s">
        <v>84</v>
      </c>
      <c r="E117" s="266">
        <v>4130000</v>
      </c>
      <c r="F117" s="18" t="s">
        <v>166</v>
      </c>
      <c r="G117" s="6" t="s">
        <v>157</v>
      </c>
      <c r="H117" s="101" t="s">
        <v>196</v>
      </c>
      <c r="I117" s="224">
        <v>45807</v>
      </c>
      <c r="J117" t="s">
        <v>14</v>
      </c>
      <c r="L117" s="20" t="s">
        <v>10</v>
      </c>
      <c r="M117" s="6" t="s">
        <v>675</v>
      </c>
      <c r="N117" s="3" t="str">
        <f>IFERROR(INDEX(Tableau6[],MATCH(Tableau3[[#This Row],[FACTURE]],Tableau6[NUM DE FACTURE],0),4),"")</f>
        <v/>
      </c>
      <c r="O117" t="str">
        <f>IF(Tableau3[[#This Row],[CLIENTS]]="","",CONCATENATE(Tableau3[[#This Row],[MODE ]]," ",Tableau3[[#This Row],[ETS PAYEUR]]," ","F/",Tableau3[[#This Row],[FACTURE]]))</f>
        <v>CHEQUE NSIA F/179 EXO24</v>
      </c>
      <c r="Q117">
        <f>+ROW()-ROW(Tableau3[[#Headers],[N° LIGNE_RF]])</f>
        <v>114</v>
      </c>
      <c r="R117" s="6">
        <f>IF(Tableau3[[#This Row],[REFERENCE ]]="","",MATCH(Tableau3[[#This Row],[REFERENCE ]],Tableau3[[REFERENCE ]],0))</f>
        <v>57</v>
      </c>
      <c r="S117" s="70"/>
      <c r="T117" s="70"/>
      <c r="Y117"/>
      <c r="AA117"/>
      <c r="AF117"/>
      <c r="AG117"/>
    </row>
    <row r="118" spans="1:33" ht="10.050000000000001" customHeight="1" x14ac:dyDescent="0.2">
      <c r="A118" t="s">
        <v>100</v>
      </c>
      <c r="B118" t="s">
        <v>138</v>
      </c>
      <c r="C118" t="s">
        <v>60</v>
      </c>
      <c r="D118" s="58" t="s">
        <v>84</v>
      </c>
      <c r="E118" s="264">
        <v>4130000</v>
      </c>
      <c r="F118" s="18" t="s">
        <v>200</v>
      </c>
      <c r="G118" s="6" t="s">
        <v>157</v>
      </c>
      <c r="H118" s="100" t="s">
        <v>196</v>
      </c>
      <c r="I118" s="224">
        <v>45807</v>
      </c>
      <c r="J118" t="s">
        <v>14</v>
      </c>
      <c r="L118" s="20" t="s">
        <v>10</v>
      </c>
      <c r="M118" s="6">
        <v>217</v>
      </c>
      <c r="N118" s="3">
        <f>IFERROR(INDEX(Tableau6[],MATCH(Tableau3[[#This Row],[FACTURE]],Tableau6[NUM DE FACTURE],0),4),"")</f>
        <v>217</v>
      </c>
      <c r="O118" t="str">
        <f>IF(Tableau3[[#This Row],[CLIENTS]]="","",CONCATENATE(Tableau3[[#This Row],[MODE ]]," ",Tableau3[[#This Row],[ETS PAYEUR]]," ","F/",Tableau3[[#This Row],[FACTURE]]))</f>
        <v>CHEQUE NSIA F/217</v>
      </c>
      <c r="Q118">
        <f>+ROW()-ROW(Tableau3[[#Headers],[N° LIGNE_RF]])</f>
        <v>115</v>
      </c>
      <c r="R118" s="6">
        <f>IF(Tableau3[[#This Row],[REFERENCE ]]="","",MATCH(Tableau3[[#This Row],[REFERENCE ]],Tableau3[[REFERENCE ]],0))</f>
        <v>57</v>
      </c>
      <c r="S118" s="70"/>
      <c r="T118" s="70"/>
      <c r="Y118"/>
      <c r="AA118"/>
      <c r="AF118"/>
      <c r="AG118"/>
    </row>
    <row r="119" spans="1:33" ht="10.050000000000001" customHeight="1" x14ac:dyDescent="0.2">
      <c r="A119" t="s">
        <v>100</v>
      </c>
      <c r="B119" t="s">
        <v>138</v>
      </c>
      <c r="C119" t="s">
        <v>60</v>
      </c>
      <c r="D119" s="58" t="s">
        <v>84</v>
      </c>
      <c r="E119" s="267">
        <v>4130000</v>
      </c>
      <c r="F119" s="139" t="s">
        <v>200</v>
      </c>
      <c r="G119" s="6" t="s">
        <v>157</v>
      </c>
      <c r="H119" s="100" t="s">
        <v>196</v>
      </c>
      <c r="I119" s="252">
        <v>45807</v>
      </c>
      <c r="J119" t="s">
        <v>14</v>
      </c>
      <c r="L119" s="20" t="s">
        <v>10</v>
      </c>
      <c r="M119" s="257">
        <v>225</v>
      </c>
      <c r="N119" s="138">
        <f>IFERROR(INDEX(Tableau6[],MATCH(Tableau3[[#This Row],[FACTURE]],Tableau6[NUM DE FACTURE],0),4),"")</f>
        <v>225</v>
      </c>
      <c r="O119" s="137" t="str">
        <f>IF(Tableau3[[#This Row],[CLIENTS]]="","",CONCATENATE(Tableau3[[#This Row],[MODE ]]," ",Tableau3[[#This Row],[ETS PAYEUR]]," ","F/",Tableau3[[#This Row],[FACTURE]]))</f>
        <v>CHEQUE NSIA F/225</v>
      </c>
      <c r="P119" s="137"/>
      <c r="Q119">
        <f>+ROW()-ROW(Tableau3[[#Headers],[N° LIGNE_RF]])</f>
        <v>116</v>
      </c>
      <c r="R119" s="6">
        <f>IF(Tableau3[[#This Row],[REFERENCE ]]="","",MATCH(Tableau3[[#This Row],[REFERENCE ]],Tableau3[[REFERENCE ]],0))</f>
        <v>57</v>
      </c>
      <c r="S119" s="70"/>
      <c r="T119" s="70"/>
      <c r="Y119"/>
      <c r="AA119"/>
      <c r="AF119"/>
      <c r="AG119"/>
    </row>
    <row r="120" spans="1:33" ht="10.050000000000001" customHeight="1" x14ac:dyDescent="0.2">
      <c r="A120" t="s">
        <v>100</v>
      </c>
      <c r="B120" t="s">
        <v>138</v>
      </c>
      <c r="C120" t="s">
        <v>60</v>
      </c>
      <c r="D120" s="58" t="s">
        <v>84</v>
      </c>
      <c r="E120" s="276">
        <v>4130000</v>
      </c>
      <c r="F120" s="18" t="s">
        <v>175</v>
      </c>
      <c r="G120" s="6" t="s">
        <v>157</v>
      </c>
      <c r="H120" s="100" t="s">
        <v>196</v>
      </c>
      <c r="I120" s="224">
        <v>45807</v>
      </c>
      <c r="J120" t="s">
        <v>14</v>
      </c>
      <c r="L120" s="20" t="s">
        <v>10</v>
      </c>
      <c r="M120" s="6">
        <v>238</v>
      </c>
      <c r="N120" s="3">
        <f>IFERROR(INDEX(Tableau6[],MATCH(Tableau3[[#This Row],[FACTURE]],Tableau6[NUM DE FACTURE],0),4),"")</f>
        <v>238</v>
      </c>
      <c r="O120" t="str">
        <f>IF(Tableau3[[#This Row],[CLIENTS]]="","",CONCATENATE(Tableau3[[#This Row],[MODE ]]," ",Tableau3[[#This Row],[ETS PAYEUR]]," ","F/",Tableau3[[#This Row],[FACTURE]]))</f>
        <v>CHEQUE NSIA F/238</v>
      </c>
      <c r="Q120">
        <f>+ROW()-ROW(Tableau3[[#Headers],[N° LIGNE_RF]])</f>
        <v>117</v>
      </c>
      <c r="R120" s="6">
        <f>IF(Tableau3[[#This Row],[REFERENCE ]]="","",MATCH(Tableau3[[#This Row],[REFERENCE ]],Tableau3[[REFERENCE ]],0))</f>
        <v>57</v>
      </c>
      <c r="S120" s="70"/>
      <c r="T120" s="70"/>
      <c r="Y120"/>
      <c r="AA120"/>
      <c r="AF120"/>
      <c r="AG120"/>
    </row>
    <row r="121" spans="1:33" ht="10.050000000000001" customHeight="1" x14ac:dyDescent="0.2">
      <c r="A121" t="s">
        <v>100</v>
      </c>
      <c r="B121" t="s">
        <v>138</v>
      </c>
      <c r="C121" t="s">
        <v>60</v>
      </c>
      <c r="D121" s="58" t="s">
        <v>84</v>
      </c>
      <c r="E121" s="276">
        <v>4130000</v>
      </c>
      <c r="F121" s="18" t="s">
        <v>175</v>
      </c>
      <c r="G121" s="6" t="s">
        <v>157</v>
      </c>
      <c r="H121" s="100" t="s">
        <v>196</v>
      </c>
      <c r="I121" s="224">
        <v>45807</v>
      </c>
      <c r="J121" t="s">
        <v>14</v>
      </c>
      <c r="L121" s="20" t="s">
        <v>10</v>
      </c>
      <c r="M121" s="6">
        <v>245</v>
      </c>
      <c r="N121" s="3">
        <f>IFERROR(INDEX(Tableau6[],MATCH(Tableau3[[#This Row],[FACTURE]],Tableau6[NUM DE FACTURE],0),4),"")</f>
        <v>245</v>
      </c>
      <c r="O121" t="str">
        <f>IF(Tableau3[[#This Row],[CLIENTS]]="","",CONCATENATE(Tableau3[[#This Row],[MODE ]]," ",Tableau3[[#This Row],[ETS PAYEUR]]," ","F/",Tableau3[[#This Row],[FACTURE]]))</f>
        <v>CHEQUE NSIA F/245</v>
      </c>
      <c r="Q121">
        <f>+ROW()-ROW(Tableau3[[#Headers],[N° LIGNE_RF]])</f>
        <v>118</v>
      </c>
      <c r="R121" s="6">
        <f>IF(Tableau3[[#This Row],[REFERENCE ]]="","",MATCH(Tableau3[[#This Row],[REFERENCE ]],Tableau3[[REFERENCE ]],0))</f>
        <v>57</v>
      </c>
      <c r="S121" s="70"/>
      <c r="T121" s="70"/>
      <c r="Y121"/>
      <c r="AA121"/>
      <c r="AF121"/>
      <c r="AG121"/>
    </row>
    <row r="122" spans="1:33" ht="10.050000000000001" customHeight="1" x14ac:dyDescent="0.2">
      <c r="A122" t="s">
        <v>100</v>
      </c>
      <c r="B122" t="s">
        <v>138</v>
      </c>
      <c r="C122" t="s">
        <v>60</v>
      </c>
      <c r="D122" s="58" t="s">
        <v>84</v>
      </c>
      <c r="E122" s="274">
        <v>4130000</v>
      </c>
      <c r="F122" s="18" t="s">
        <v>176</v>
      </c>
      <c r="G122" s="6" t="s">
        <v>157</v>
      </c>
      <c r="H122" s="100" t="s">
        <v>196</v>
      </c>
      <c r="I122" s="224">
        <v>45807</v>
      </c>
      <c r="J122" t="s">
        <v>14</v>
      </c>
      <c r="L122" s="20" t="s">
        <v>10</v>
      </c>
      <c r="M122" s="6">
        <v>294</v>
      </c>
      <c r="N122" s="3">
        <f>IFERROR(INDEX(Tableau6[],MATCH(Tableau3[[#This Row],[FACTURE]],Tableau6[NUM DE FACTURE],0),4),"")</f>
        <v>294</v>
      </c>
      <c r="O122" t="str">
        <f>IF(Tableau3[[#This Row],[CLIENTS]]="","",CONCATENATE(Tableau3[[#This Row],[MODE ]]," ",Tableau3[[#This Row],[ETS PAYEUR]]," ","F/",Tableau3[[#This Row],[FACTURE]]))</f>
        <v>CHEQUE NSIA F/294</v>
      </c>
      <c r="Q122">
        <f>+ROW()-ROW(Tableau3[[#Headers],[N° LIGNE_RF]])</f>
        <v>119</v>
      </c>
      <c r="R122" s="6">
        <f>IF(Tableau3[[#This Row],[REFERENCE ]]="","",MATCH(Tableau3[[#This Row],[REFERENCE ]],Tableau3[[REFERENCE ]],0))</f>
        <v>57</v>
      </c>
      <c r="S122" s="70"/>
      <c r="T122" s="70"/>
      <c r="Y122"/>
      <c r="AA122"/>
      <c r="AF122"/>
      <c r="AG122"/>
    </row>
    <row r="123" spans="1:33" ht="10.050000000000001" customHeight="1" x14ac:dyDescent="0.2">
      <c r="A123" t="s">
        <v>100</v>
      </c>
      <c r="B123" t="s">
        <v>138</v>
      </c>
      <c r="C123" t="s">
        <v>60</v>
      </c>
      <c r="D123" s="58" t="s">
        <v>84</v>
      </c>
      <c r="E123" s="264">
        <v>4130000</v>
      </c>
      <c r="F123" s="18" t="s">
        <v>176</v>
      </c>
      <c r="G123" s="6" t="s">
        <v>157</v>
      </c>
      <c r="H123" s="100" t="s">
        <v>196</v>
      </c>
      <c r="I123" s="224">
        <v>45807</v>
      </c>
      <c r="J123" t="s">
        <v>14</v>
      </c>
      <c r="L123" s="20" t="s">
        <v>10</v>
      </c>
      <c r="M123" s="6">
        <v>313</v>
      </c>
      <c r="N123" s="3">
        <f>IFERROR(INDEX(Tableau6[],MATCH(Tableau3[[#This Row],[FACTURE]],Tableau6[NUM DE FACTURE],0),4),"")</f>
        <v>313</v>
      </c>
      <c r="O123" t="str">
        <f>IF(Tableau3[[#This Row],[CLIENTS]]="","",CONCATENATE(Tableau3[[#This Row],[MODE ]]," ",Tableau3[[#This Row],[ETS PAYEUR]]," ","F/",Tableau3[[#This Row],[FACTURE]]))</f>
        <v>CHEQUE NSIA F/313</v>
      </c>
      <c r="Q123">
        <f>+ROW()-ROW(Tableau3[[#Headers],[N° LIGNE_RF]])</f>
        <v>120</v>
      </c>
      <c r="R123" s="6">
        <f>IF(Tableau3[[#This Row],[REFERENCE ]]="","",MATCH(Tableau3[[#This Row],[REFERENCE ]],Tableau3[[REFERENCE ]],0))</f>
        <v>57</v>
      </c>
      <c r="S123" s="70"/>
      <c r="T123" s="70"/>
      <c r="Y123"/>
      <c r="AA123"/>
      <c r="AF123"/>
      <c r="AG123"/>
    </row>
    <row r="124" spans="1:33" ht="10.050000000000001" customHeight="1" x14ac:dyDescent="0.2">
      <c r="A124" t="s">
        <v>100</v>
      </c>
      <c r="B124" t="s">
        <v>138</v>
      </c>
      <c r="C124" t="s">
        <v>60</v>
      </c>
      <c r="D124" s="58" t="s">
        <v>84</v>
      </c>
      <c r="E124" s="267">
        <v>4248000</v>
      </c>
      <c r="F124" s="139" t="s">
        <v>199</v>
      </c>
      <c r="G124" s="6" t="s">
        <v>157</v>
      </c>
      <c r="H124" s="100" t="s">
        <v>196</v>
      </c>
      <c r="I124" s="252">
        <v>45807</v>
      </c>
      <c r="J124" t="s">
        <v>14</v>
      </c>
      <c r="L124" s="20" t="s">
        <v>10</v>
      </c>
      <c r="M124" s="256">
        <v>298</v>
      </c>
      <c r="N124" s="138">
        <f>IFERROR(INDEX(Tableau6[],MATCH(Tableau3[[#This Row],[FACTURE]],Tableau6[NUM DE FACTURE],0),4),"")</f>
        <v>298</v>
      </c>
      <c r="O124" s="137" t="str">
        <f>IF(Tableau3[[#This Row],[CLIENTS]]="","",CONCATENATE(Tableau3[[#This Row],[MODE ]]," ",Tableau3[[#This Row],[ETS PAYEUR]]," ","F/",Tableau3[[#This Row],[FACTURE]]))</f>
        <v>CHEQUE NSIA F/298</v>
      </c>
      <c r="P124" s="137"/>
      <c r="Q124">
        <f>+ROW()-ROW(Tableau3[[#Headers],[N° LIGNE_RF]])</f>
        <v>121</v>
      </c>
      <c r="R124" s="6">
        <f>IF(Tableau3[[#This Row],[REFERENCE ]]="","",MATCH(Tableau3[[#This Row],[REFERENCE ]],Tableau3[[REFERENCE ]],0))</f>
        <v>57</v>
      </c>
      <c r="S124" s="70"/>
      <c r="T124" s="70"/>
      <c r="Y124"/>
      <c r="AA124"/>
      <c r="AF124"/>
      <c r="AG124"/>
    </row>
    <row r="125" spans="1:33" ht="10.050000000000001" customHeight="1" x14ac:dyDescent="0.2">
      <c r="A125" t="s">
        <v>100</v>
      </c>
      <c r="B125" t="s">
        <v>138</v>
      </c>
      <c r="C125" t="s">
        <v>60</v>
      </c>
      <c r="D125" s="58" t="s">
        <v>84</v>
      </c>
      <c r="E125" s="267">
        <v>4306500</v>
      </c>
      <c r="F125" s="139" t="s">
        <v>165</v>
      </c>
      <c r="G125" s="6" t="s">
        <v>157</v>
      </c>
      <c r="H125" s="100" t="s">
        <v>196</v>
      </c>
      <c r="I125" s="252">
        <v>45807</v>
      </c>
      <c r="J125" t="s">
        <v>14</v>
      </c>
      <c r="L125" s="20" t="s">
        <v>10</v>
      </c>
      <c r="M125" s="256">
        <v>262</v>
      </c>
      <c r="N125" s="138">
        <f>IFERROR(INDEX(Tableau6[],MATCH(Tableau3[[#This Row],[FACTURE]],Tableau6[NUM DE FACTURE],0),4),"")</f>
        <v>262</v>
      </c>
      <c r="O125" s="137" t="str">
        <f>IF(Tableau3[[#This Row],[CLIENTS]]="","",CONCATENATE(Tableau3[[#This Row],[MODE ]]," ",Tableau3[[#This Row],[ETS PAYEUR]]," ","F/",Tableau3[[#This Row],[FACTURE]]))</f>
        <v>CHEQUE NSIA F/262</v>
      </c>
      <c r="P125" s="137"/>
      <c r="Q125">
        <f>+ROW()-ROW(Tableau3[[#Headers],[N° LIGNE_RF]])</f>
        <v>122</v>
      </c>
      <c r="R125" s="6">
        <f>IF(Tableau3[[#This Row],[REFERENCE ]]="","",MATCH(Tableau3[[#This Row],[REFERENCE ]],Tableau3[[REFERENCE ]],0))</f>
        <v>57</v>
      </c>
      <c r="S125" s="70"/>
      <c r="T125" s="70"/>
      <c r="Y125"/>
      <c r="AA125"/>
      <c r="AF125"/>
      <c r="AG125"/>
    </row>
    <row r="126" spans="1:33" ht="10.050000000000001" customHeight="1" x14ac:dyDescent="0.2">
      <c r="A126" t="s">
        <v>100</v>
      </c>
      <c r="B126" t="s">
        <v>138</v>
      </c>
      <c r="C126" t="s">
        <v>60</v>
      </c>
      <c r="D126" s="58" t="s">
        <v>84</v>
      </c>
      <c r="E126" s="277">
        <v>4460400</v>
      </c>
      <c r="F126" s="139" t="s">
        <v>176</v>
      </c>
      <c r="G126" s="6" t="s">
        <v>157</v>
      </c>
      <c r="H126" s="100" t="s">
        <v>196</v>
      </c>
      <c r="I126" s="224">
        <v>45807</v>
      </c>
      <c r="J126" t="s">
        <v>14</v>
      </c>
      <c r="L126" s="20" t="s">
        <v>10</v>
      </c>
      <c r="M126" s="6">
        <v>312</v>
      </c>
      <c r="N126" s="3">
        <f>IFERROR(INDEX(Tableau6[],MATCH(Tableau3[[#This Row],[FACTURE]],Tableau6[NUM DE FACTURE],0),4),"")</f>
        <v>312</v>
      </c>
      <c r="O126" t="str">
        <f>IF(Tableau3[[#This Row],[CLIENTS]]="","",CONCATENATE(Tableau3[[#This Row],[MODE ]]," ",Tableau3[[#This Row],[ETS PAYEUR]]," ","F/",Tableau3[[#This Row],[FACTURE]]))</f>
        <v>CHEQUE NSIA F/312</v>
      </c>
      <c r="Q126">
        <f>+ROW()-ROW(Tableau3[[#Headers],[N° LIGNE_RF]])</f>
        <v>123</v>
      </c>
      <c r="R126" s="6">
        <f>IF(Tableau3[[#This Row],[REFERENCE ]]="","",MATCH(Tableau3[[#This Row],[REFERENCE ]],Tableau3[[REFERENCE ]],0))</f>
        <v>57</v>
      </c>
      <c r="S126" s="70"/>
      <c r="T126" s="70"/>
      <c r="Y126"/>
      <c r="AA126"/>
      <c r="AF126"/>
      <c r="AG126"/>
    </row>
    <row r="127" spans="1:33" ht="10.050000000000001" customHeight="1" x14ac:dyDescent="0.2">
      <c r="A127" t="s">
        <v>100</v>
      </c>
      <c r="B127" t="s">
        <v>138</v>
      </c>
      <c r="C127" t="s">
        <v>60</v>
      </c>
      <c r="D127" s="58" t="s">
        <v>84</v>
      </c>
      <c r="E127" s="264">
        <v>4484000</v>
      </c>
      <c r="F127" s="18" t="s">
        <v>165</v>
      </c>
      <c r="G127" s="6" t="s">
        <v>157</v>
      </c>
      <c r="H127" s="100" t="s">
        <v>196</v>
      </c>
      <c r="I127" s="224">
        <v>45807</v>
      </c>
      <c r="J127" t="s">
        <v>14</v>
      </c>
      <c r="L127" s="20" t="s">
        <v>10</v>
      </c>
      <c r="M127" s="6">
        <v>233</v>
      </c>
      <c r="N127" s="3">
        <f>IFERROR(INDEX(Tableau6[],MATCH(Tableau3[[#This Row],[FACTURE]],Tableau6[NUM DE FACTURE],0),4),"")</f>
        <v>233</v>
      </c>
      <c r="O127" t="str">
        <f>IF(Tableau3[[#This Row],[CLIENTS]]="","",CONCATENATE(Tableau3[[#This Row],[MODE ]]," ",Tableau3[[#This Row],[ETS PAYEUR]]," ","F/",Tableau3[[#This Row],[FACTURE]]))</f>
        <v>CHEQUE NSIA F/233</v>
      </c>
      <c r="Q127">
        <f>+ROW()-ROW(Tableau3[[#Headers],[N° LIGNE_RF]])</f>
        <v>124</v>
      </c>
      <c r="R127" s="6">
        <f>IF(Tableau3[[#This Row],[REFERENCE ]]="","",MATCH(Tableau3[[#This Row],[REFERENCE ]],Tableau3[[REFERENCE ]],0))</f>
        <v>57</v>
      </c>
      <c r="S127" s="70"/>
      <c r="T127" s="70"/>
      <c r="Y127"/>
      <c r="AA127"/>
      <c r="AF127"/>
      <c r="AG127"/>
    </row>
    <row r="128" spans="1:33" ht="10.050000000000001" customHeight="1" x14ac:dyDescent="0.2">
      <c r="A128" t="s">
        <v>100</v>
      </c>
      <c r="B128" t="s">
        <v>138</v>
      </c>
      <c r="C128" t="s">
        <v>60</v>
      </c>
      <c r="D128" s="58" t="s">
        <v>84</v>
      </c>
      <c r="E128" s="264">
        <v>4484000</v>
      </c>
      <c r="F128" s="18" t="s">
        <v>200</v>
      </c>
      <c r="G128" s="6" t="s">
        <v>157</v>
      </c>
      <c r="H128" s="100" t="s">
        <v>196</v>
      </c>
      <c r="I128" s="224">
        <v>45807</v>
      </c>
      <c r="J128" t="s">
        <v>14</v>
      </c>
      <c r="L128" s="20" t="s">
        <v>10</v>
      </c>
      <c r="M128" s="6">
        <v>222</v>
      </c>
      <c r="N128" s="3">
        <f>IFERROR(INDEX(Tableau6[],MATCH(Tableau3[[#This Row],[FACTURE]],Tableau6[NUM DE FACTURE],0),4),"")</f>
        <v>222</v>
      </c>
      <c r="O128" t="str">
        <f>IF(Tableau3[[#This Row],[CLIENTS]]="","",CONCATENATE(Tableau3[[#This Row],[MODE ]]," ",Tableau3[[#This Row],[ETS PAYEUR]]," ","F/",Tableau3[[#This Row],[FACTURE]]))</f>
        <v>CHEQUE NSIA F/222</v>
      </c>
      <c r="Q128">
        <f>+ROW()-ROW(Tableau3[[#Headers],[N° LIGNE_RF]])</f>
        <v>125</v>
      </c>
      <c r="R128" s="6">
        <f>IF(Tableau3[[#This Row],[REFERENCE ]]="","",MATCH(Tableau3[[#This Row],[REFERENCE ]],Tableau3[[REFERENCE ]],0))</f>
        <v>57</v>
      </c>
      <c r="S128" s="70"/>
      <c r="T128" s="70"/>
      <c r="Y128"/>
      <c r="AA128"/>
      <c r="AF128"/>
      <c r="AG128"/>
    </row>
    <row r="129" spans="1:33" ht="10.050000000000001" customHeight="1" x14ac:dyDescent="0.2">
      <c r="A129" t="s">
        <v>100</v>
      </c>
      <c r="B129" t="s">
        <v>138</v>
      </c>
      <c r="C129" t="s">
        <v>60</v>
      </c>
      <c r="D129" s="58" t="s">
        <v>84</v>
      </c>
      <c r="E129" s="266">
        <v>4672800</v>
      </c>
      <c r="F129" s="18" t="s">
        <v>165</v>
      </c>
      <c r="G129" s="6" t="s">
        <v>157</v>
      </c>
      <c r="H129" s="101" t="s">
        <v>196</v>
      </c>
      <c r="I129" s="224">
        <v>45807</v>
      </c>
      <c r="J129" t="s">
        <v>14</v>
      </c>
      <c r="L129" s="20" t="s">
        <v>10</v>
      </c>
      <c r="M129" s="6" t="s">
        <v>676</v>
      </c>
      <c r="N129" s="3" t="str">
        <f>IFERROR(INDEX(Tableau6[],MATCH(Tableau3[[#This Row],[FACTURE]],Tableau6[NUM DE FACTURE],0),4),"")</f>
        <v/>
      </c>
      <c r="O129" t="str">
        <f>IF(Tableau3[[#This Row],[CLIENTS]]="","",CONCATENATE(Tableau3[[#This Row],[MODE ]]," ",Tableau3[[#This Row],[ETS PAYEUR]]," ","F/",Tableau3[[#This Row],[FACTURE]]))</f>
        <v>CHEQUE NSIA F/180 EXO24</v>
      </c>
      <c r="Q129">
        <f>+ROW()-ROW(Tableau3[[#Headers],[N° LIGNE_RF]])</f>
        <v>126</v>
      </c>
      <c r="R129" s="6">
        <f>IF(Tableau3[[#This Row],[REFERENCE ]]="","",MATCH(Tableau3[[#This Row],[REFERENCE ]],Tableau3[[REFERENCE ]],0))</f>
        <v>57</v>
      </c>
      <c r="S129" s="70"/>
      <c r="T129" s="70"/>
      <c r="Y129"/>
      <c r="AA129"/>
      <c r="AF129"/>
      <c r="AG129"/>
    </row>
    <row r="130" spans="1:33" ht="10.050000000000001" customHeight="1" x14ac:dyDescent="0.2">
      <c r="A130" t="s">
        <v>100</v>
      </c>
      <c r="B130" t="s">
        <v>138</v>
      </c>
      <c r="C130" t="s">
        <v>60</v>
      </c>
      <c r="D130" s="58" t="s">
        <v>84</v>
      </c>
      <c r="E130" s="273">
        <v>4672800</v>
      </c>
      <c r="F130" s="18" t="s">
        <v>200</v>
      </c>
      <c r="G130" s="6" t="s">
        <v>157</v>
      </c>
      <c r="H130" s="100" t="s">
        <v>196</v>
      </c>
      <c r="I130" s="224">
        <v>45807</v>
      </c>
      <c r="J130" t="s">
        <v>14</v>
      </c>
      <c r="L130" s="20" t="s">
        <v>10</v>
      </c>
      <c r="M130" s="6">
        <v>247</v>
      </c>
      <c r="N130" s="3">
        <f>IFERROR(INDEX(Tableau6[],MATCH(Tableau3[[#This Row],[FACTURE]],Tableau6[NUM DE FACTURE],0),4),"")</f>
        <v>247</v>
      </c>
      <c r="O130" t="str">
        <f>IF(Tableau3[[#This Row],[CLIENTS]]="","",CONCATENATE(Tableau3[[#This Row],[MODE ]]," ",Tableau3[[#This Row],[ETS PAYEUR]]," ","F/",Tableau3[[#This Row],[FACTURE]]))</f>
        <v>CHEQUE NSIA F/247</v>
      </c>
      <c r="Q130">
        <f>+ROW()-ROW(Tableau3[[#Headers],[N° LIGNE_RF]])</f>
        <v>127</v>
      </c>
      <c r="R130" s="6">
        <f>IF(Tableau3[[#This Row],[REFERENCE ]]="","",MATCH(Tableau3[[#This Row],[REFERENCE ]],Tableau3[[REFERENCE ]],0))</f>
        <v>57</v>
      </c>
      <c r="S130" s="70"/>
      <c r="T130" s="70"/>
      <c r="Y130"/>
      <c r="AA130"/>
      <c r="AF130"/>
      <c r="AG130"/>
    </row>
    <row r="131" spans="1:33" ht="10.050000000000001" customHeight="1" x14ac:dyDescent="0.2">
      <c r="A131" t="s">
        <v>100</v>
      </c>
      <c r="B131" t="s">
        <v>138</v>
      </c>
      <c r="C131" t="s">
        <v>60</v>
      </c>
      <c r="D131" s="58" t="s">
        <v>84</v>
      </c>
      <c r="E131" s="274">
        <v>4672800</v>
      </c>
      <c r="F131" s="18" t="s">
        <v>162</v>
      </c>
      <c r="G131" s="6" t="s">
        <v>157</v>
      </c>
      <c r="H131" s="100" t="s">
        <v>196</v>
      </c>
      <c r="I131" s="224">
        <v>45807</v>
      </c>
      <c r="J131" t="s">
        <v>14</v>
      </c>
      <c r="L131" s="20" t="s">
        <v>10</v>
      </c>
      <c r="M131" s="6">
        <v>282</v>
      </c>
      <c r="N131" s="3">
        <f>IFERROR(INDEX(Tableau6[],MATCH(Tableau3[[#This Row],[FACTURE]],Tableau6[NUM DE FACTURE],0),4),"")</f>
        <v>282</v>
      </c>
      <c r="O131" t="str">
        <f>IF(Tableau3[[#This Row],[CLIENTS]]="","",CONCATENATE(Tableau3[[#This Row],[MODE ]]," ",Tableau3[[#This Row],[ETS PAYEUR]]," ","F/",Tableau3[[#This Row],[FACTURE]]))</f>
        <v>CHEQUE NSIA F/282</v>
      </c>
      <c r="Q131">
        <f>+ROW()-ROW(Tableau3[[#Headers],[N° LIGNE_RF]])</f>
        <v>128</v>
      </c>
      <c r="R131" s="6">
        <f>IF(Tableau3[[#This Row],[REFERENCE ]]="","",MATCH(Tableau3[[#This Row],[REFERENCE ]],Tableau3[[REFERENCE ]],0))</f>
        <v>57</v>
      </c>
      <c r="S131" s="70"/>
      <c r="T131" s="70"/>
      <c r="Y131"/>
      <c r="AA131"/>
      <c r="AF131"/>
      <c r="AG131"/>
    </row>
    <row r="132" spans="1:33" ht="10.050000000000001" customHeight="1" x14ac:dyDescent="0.2">
      <c r="A132" t="s">
        <v>100</v>
      </c>
      <c r="B132" t="s">
        <v>138</v>
      </c>
      <c r="C132" t="s">
        <v>60</v>
      </c>
      <c r="D132" s="58" t="s">
        <v>84</v>
      </c>
      <c r="E132" s="267">
        <v>4672800</v>
      </c>
      <c r="F132" s="139" t="s">
        <v>176</v>
      </c>
      <c r="G132" s="6" t="s">
        <v>157</v>
      </c>
      <c r="H132" s="100" t="s">
        <v>196</v>
      </c>
      <c r="I132" s="252">
        <v>45807</v>
      </c>
      <c r="J132" t="s">
        <v>14</v>
      </c>
      <c r="L132" s="20" t="s">
        <v>10</v>
      </c>
      <c r="M132" s="256">
        <v>305</v>
      </c>
      <c r="N132" s="138">
        <f>IFERROR(INDEX(Tableau6[],MATCH(Tableau3[[#This Row],[FACTURE]],Tableau6[NUM DE FACTURE],0),4),"")</f>
        <v>305</v>
      </c>
      <c r="O132" s="137" t="str">
        <f>IF(Tableau3[[#This Row],[CLIENTS]]="","",CONCATENATE(Tableau3[[#This Row],[MODE ]]," ",Tableau3[[#This Row],[ETS PAYEUR]]," ","F/",Tableau3[[#This Row],[FACTURE]]))</f>
        <v>CHEQUE NSIA F/305</v>
      </c>
      <c r="P132" s="137"/>
      <c r="Q132">
        <f>+ROW()-ROW(Tableau3[[#Headers],[N° LIGNE_RF]])</f>
        <v>129</v>
      </c>
      <c r="R132" s="6">
        <f>IF(Tableau3[[#This Row],[REFERENCE ]]="","",MATCH(Tableau3[[#This Row],[REFERENCE ]],Tableau3[[REFERENCE ]],0))</f>
        <v>57</v>
      </c>
      <c r="S132" s="70"/>
      <c r="T132" s="70"/>
      <c r="Y132"/>
      <c r="AA132"/>
      <c r="AF132"/>
      <c r="AG132"/>
    </row>
    <row r="133" spans="1:33" ht="10.050000000000001" customHeight="1" x14ac:dyDescent="0.2">
      <c r="A133" t="s">
        <v>100</v>
      </c>
      <c r="B133" t="s">
        <v>138</v>
      </c>
      <c r="C133" t="s">
        <v>60</v>
      </c>
      <c r="D133" s="58" t="s">
        <v>84</v>
      </c>
      <c r="E133" s="266">
        <v>4720000</v>
      </c>
      <c r="F133" s="18" t="s">
        <v>165</v>
      </c>
      <c r="G133" s="6" t="s">
        <v>157</v>
      </c>
      <c r="H133" s="101" t="s">
        <v>196</v>
      </c>
      <c r="I133" s="224">
        <v>45807</v>
      </c>
      <c r="J133" t="s">
        <v>14</v>
      </c>
      <c r="L133" s="20" t="s">
        <v>10</v>
      </c>
      <c r="M133" s="253" t="s">
        <v>687</v>
      </c>
      <c r="N133" s="3" t="str">
        <f>IFERROR(INDEX(Tableau6[],MATCH(Tableau3[[#This Row],[FACTURE]],Tableau6[NUM DE FACTURE],0),4),"")</f>
        <v/>
      </c>
      <c r="O133" t="str">
        <f>IF(Tableau3[[#This Row],[CLIENTS]]="","",CONCATENATE(Tableau3[[#This Row],[MODE ]]," ",Tableau3[[#This Row],[ETS PAYEUR]]," ","F/",Tableau3[[#This Row],[FACTURE]]))</f>
        <v>CHEQUE NSIA F/163 EXO24</v>
      </c>
      <c r="Q133">
        <f>+ROW()-ROW(Tableau3[[#Headers],[N° LIGNE_RF]])</f>
        <v>130</v>
      </c>
      <c r="R133" s="6">
        <f>IF(Tableau3[[#This Row],[REFERENCE ]]="","",MATCH(Tableau3[[#This Row],[REFERENCE ]],Tableau3[[REFERENCE ]],0))</f>
        <v>57</v>
      </c>
      <c r="S133" s="70"/>
      <c r="T133" s="70"/>
      <c r="Y133"/>
      <c r="AA133"/>
      <c r="AF133"/>
      <c r="AG133"/>
    </row>
    <row r="134" spans="1:33" s="137" customFormat="1" ht="10.050000000000001" customHeight="1" x14ac:dyDescent="0.2">
      <c r="A134" t="s">
        <v>100</v>
      </c>
      <c r="B134" t="s">
        <v>138</v>
      </c>
      <c r="C134" t="s">
        <v>60</v>
      </c>
      <c r="D134" s="58" t="s">
        <v>84</v>
      </c>
      <c r="E134" s="264">
        <v>4720000</v>
      </c>
      <c r="F134" s="18" t="s">
        <v>200</v>
      </c>
      <c r="G134" s="6" t="s">
        <v>157</v>
      </c>
      <c r="H134" s="100" t="s">
        <v>196</v>
      </c>
      <c r="I134" s="224">
        <v>45807</v>
      </c>
      <c r="J134" t="s">
        <v>14</v>
      </c>
      <c r="K134"/>
      <c r="L134" s="20" t="s">
        <v>10</v>
      </c>
      <c r="M134" s="6">
        <v>241</v>
      </c>
      <c r="N134" s="3">
        <f>IFERROR(INDEX(Tableau6[],MATCH(Tableau3[[#This Row],[FACTURE]],Tableau6[NUM DE FACTURE],0),4),"")</f>
        <v>241</v>
      </c>
      <c r="O134" t="str">
        <f>IF(Tableau3[[#This Row],[CLIENTS]]="","",CONCATENATE(Tableau3[[#This Row],[MODE ]]," ",Tableau3[[#This Row],[ETS PAYEUR]]," ","F/",Tableau3[[#This Row],[FACTURE]]))</f>
        <v>CHEQUE NSIA F/241</v>
      </c>
      <c r="P134"/>
      <c r="Q134">
        <f>+ROW()-ROW(Tableau3[[#Headers],[N° LIGNE_RF]])</f>
        <v>131</v>
      </c>
      <c r="R134" s="6">
        <f>IF(Tableau3[[#This Row],[REFERENCE ]]="","",MATCH(Tableau3[[#This Row],[REFERENCE ]],Tableau3[[REFERENCE ]],0))</f>
        <v>57</v>
      </c>
      <c r="S134" s="475"/>
      <c r="T134" s="475"/>
    </row>
    <row r="135" spans="1:33" ht="10.050000000000001" customHeight="1" x14ac:dyDescent="0.2">
      <c r="A135" t="s">
        <v>100</v>
      </c>
      <c r="B135" t="s">
        <v>138</v>
      </c>
      <c r="C135" t="s">
        <v>60</v>
      </c>
      <c r="D135" s="58" t="s">
        <v>84</v>
      </c>
      <c r="E135" s="267">
        <v>4720000</v>
      </c>
      <c r="F135" s="139" t="s">
        <v>165</v>
      </c>
      <c r="G135" s="6" t="s">
        <v>157</v>
      </c>
      <c r="H135" s="100" t="s">
        <v>196</v>
      </c>
      <c r="I135" s="252">
        <v>45807</v>
      </c>
      <c r="J135" t="s">
        <v>14</v>
      </c>
      <c r="L135" s="20" t="s">
        <v>10</v>
      </c>
      <c r="M135" s="256">
        <v>219</v>
      </c>
      <c r="N135" s="138">
        <f>IFERROR(INDEX(Tableau6[],MATCH(Tableau3[[#This Row],[FACTURE]],Tableau6[NUM DE FACTURE],0),4),"")</f>
        <v>219</v>
      </c>
      <c r="O135" s="137" t="str">
        <f>IF(Tableau3[[#This Row],[CLIENTS]]="","",CONCATENATE(Tableau3[[#This Row],[MODE ]]," ",Tableau3[[#This Row],[ETS PAYEUR]]," ","F/",Tableau3[[#This Row],[FACTURE]]))</f>
        <v>CHEQUE NSIA F/219</v>
      </c>
      <c r="P135" s="137"/>
      <c r="Q135">
        <f>+ROW()-ROW(Tableau3[[#Headers],[N° LIGNE_RF]])</f>
        <v>132</v>
      </c>
      <c r="R135" s="6">
        <f>IF(Tableau3[[#This Row],[REFERENCE ]]="","",MATCH(Tableau3[[#This Row],[REFERENCE ]],Tableau3[[REFERENCE ]],0))</f>
        <v>57</v>
      </c>
      <c r="S135" s="70"/>
      <c r="T135" s="70"/>
      <c r="Y135"/>
      <c r="AA135"/>
      <c r="AF135"/>
      <c r="AG135"/>
    </row>
    <row r="136" spans="1:33" ht="10.050000000000001" customHeight="1" x14ac:dyDescent="0.2">
      <c r="A136" t="s">
        <v>100</v>
      </c>
      <c r="B136" t="s">
        <v>138</v>
      </c>
      <c r="C136" t="s">
        <v>60</v>
      </c>
      <c r="D136" s="58" t="s">
        <v>84</v>
      </c>
      <c r="E136" s="276">
        <v>4885200</v>
      </c>
      <c r="F136" s="18" t="s">
        <v>206</v>
      </c>
      <c r="G136" s="6" t="s">
        <v>157</v>
      </c>
      <c r="H136" s="100" t="s">
        <v>196</v>
      </c>
      <c r="I136" s="224">
        <v>45807</v>
      </c>
      <c r="J136" t="s">
        <v>14</v>
      </c>
      <c r="L136" s="20" t="s">
        <v>10</v>
      </c>
      <c r="M136" s="6">
        <v>246</v>
      </c>
      <c r="N136" s="3">
        <f>IFERROR(INDEX(Tableau6[],MATCH(Tableau3[[#This Row],[FACTURE]],Tableau6[NUM DE FACTURE],0),4),"")</f>
        <v>246</v>
      </c>
      <c r="O136" t="str">
        <f>IF(Tableau3[[#This Row],[CLIENTS]]="","",CONCATENATE(Tableau3[[#This Row],[MODE ]]," ",Tableau3[[#This Row],[ETS PAYEUR]]," ","F/",Tableau3[[#This Row],[FACTURE]]))</f>
        <v>CHEQUE NSIA F/246</v>
      </c>
      <c r="Q136">
        <f>+ROW()-ROW(Tableau3[[#Headers],[N° LIGNE_RF]])</f>
        <v>133</v>
      </c>
      <c r="R136" s="6">
        <f>IF(Tableau3[[#This Row],[REFERENCE ]]="","",MATCH(Tableau3[[#This Row],[REFERENCE ]],Tableau3[[REFERENCE ]],0))</f>
        <v>57</v>
      </c>
      <c r="S136" s="70"/>
      <c r="T136" s="70"/>
      <c r="Y136"/>
      <c r="AA136"/>
      <c r="AF136"/>
      <c r="AG136"/>
    </row>
    <row r="137" spans="1:33" ht="10.050000000000001" customHeight="1" x14ac:dyDescent="0.2">
      <c r="A137" t="s">
        <v>100</v>
      </c>
      <c r="B137" t="s">
        <v>138</v>
      </c>
      <c r="C137" t="s">
        <v>60</v>
      </c>
      <c r="D137" s="58" t="s">
        <v>84</v>
      </c>
      <c r="E137" s="267">
        <v>4956000</v>
      </c>
      <c r="F137" s="139" t="s">
        <v>176</v>
      </c>
      <c r="G137" s="6" t="s">
        <v>157</v>
      </c>
      <c r="H137" s="100" t="s">
        <v>196</v>
      </c>
      <c r="I137" s="252">
        <v>45807</v>
      </c>
      <c r="J137" t="s">
        <v>14</v>
      </c>
      <c r="L137" s="20" t="s">
        <v>10</v>
      </c>
      <c r="M137" s="256">
        <v>293</v>
      </c>
      <c r="N137" s="138">
        <f>IFERROR(INDEX(Tableau6[],MATCH(Tableau3[[#This Row],[FACTURE]],Tableau6[NUM DE FACTURE],0),4),"")</f>
        <v>293</v>
      </c>
      <c r="O137" s="137" t="str">
        <f>IF(Tableau3[[#This Row],[CLIENTS]]="","",CONCATENATE(Tableau3[[#This Row],[MODE ]]," ",Tableau3[[#This Row],[ETS PAYEUR]]," ","F/",Tableau3[[#This Row],[FACTURE]]))</f>
        <v>CHEQUE NSIA F/293</v>
      </c>
      <c r="P137" s="137"/>
      <c r="Q137">
        <f>+ROW()-ROW(Tableau3[[#Headers],[N° LIGNE_RF]])</f>
        <v>134</v>
      </c>
      <c r="R137" s="6">
        <f>IF(Tableau3[[#This Row],[REFERENCE ]]="","",MATCH(Tableau3[[#This Row],[REFERENCE ]],Tableau3[[REFERENCE ]],0))</f>
        <v>57</v>
      </c>
      <c r="S137" s="70"/>
      <c r="T137" s="70"/>
      <c r="Y137"/>
      <c r="AA137"/>
      <c r="AF137"/>
      <c r="AG137"/>
    </row>
    <row r="138" spans="1:33" ht="10.050000000000001" customHeight="1" x14ac:dyDescent="0.2">
      <c r="A138" t="s">
        <v>100</v>
      </c>
      <c r="B138" t="s">
        <v>138</v>
      </c>
      <c r="C138" t="s">
        <v>60</v>
      </c>
      <c r="D138" s="58" t="s">
        <v>84</v>
      </c>
      <c r="E138" s="264">
        <v>5062200</v>
      </c>
      <c r="F138" s="18" t="s">
        <v>199</v>
      </c>
      <c r="G138" s="6" t="s">
        <v>157</v>
      </c>
      <c r="H138" s="100" t="s">
        <v>196</v>
      </c>
      <c r="I138" s="224">
        <v>45807</v>
      </c>
      <c r="J138" t="s">
        <v>14</v>
      </c>
      <c r="L138" s="20" t="s">
        <v>10</v>
      </c>
      <c r="M138" s="6">
        <v>321</v>
      </c>
      <c r="N138" s="3">
        <f>IFERROR(INDEX(Tableau6[],MATCH(Tableau3[[#This Row],[FACTURE]],Tableau6[NUM DE FACTURE],0),4),"")</f>
        <v>321</v>
      </c>
      <c r="O138" t="str">
        <f>IF(Tableau3[[#This Row],[CLIENTS]]="","",CONCATENATE(Tableau3[[#This Row],[MODE ]]," ",Tableau3[[#This Row],[ETS PAYEUR]]," ","F/",Tableau3[[#This Row],[FACTURE]]))</f>
        <v>CHEQUE NSIA F/321</v>
      </c>
      <c r="Q138">
        <f>+ROW()-ROW(Tableau3[[#Headers],[N° LIGNE_RF]])</f>
        <v>135</v>
      </c>
      <c r="R138" s="6">
        <f>IF(Tableau3[[#This Row],[REFERENCE ]]="","",MATCH(Tableau3[[#This Row],[REFERENCE ]],Tableau3[[REFERENCE ]],0))</f>
        <v>57</v>
      </c>
      <c r="S138" s="70"/>
      <c r="T138" s="70"/>
      <c r="Y138"/>
      <c r="AA138"/>
      <c r="AF138"/>
      <c r="AG138"/>
    </row>
    <row r="139" spans="1:33" ht="10.050000000000001" customHeight="1" x14ac:dyDescent="0.2">
      <c r="A139" t="s">
        <v>100</v>
      </c>
      <c r="B139" t="s">
        <v>138</v>
      </c>
      <c r="C139" t="s">
        <v>60</v>
      </c>
      <c r="D139" s="58" t="s">
        <v>84</v>
      </c>
      <c r="E139" s="264">
        <v>5097600</v>
      </c>
      <c r="F139" s="18" t="s">
        <v>212</v>
      </c>
      <c r="G139" s="6" t="s">
        <v>157</v>
      </c>
      <c r="H139" s="100" t="s">
        <v>196</v>
      </c>
      <c r="I139" s="224">
        <v>45807</v>
      </c>
      <c r="J139" t="s">
        <v>14</v>
      </c>
      <c r="L139" s="20" t="s">
        <v>10</v>
      </c>
      <c r="M139" s="6">
        <v>318</v>
      </c>
      <c r="N139" s="3">
        <f>IFERROR(INDEX(Tableau6[],MATCH(Tableau3[[#This Row],[FACTURE]],Tableau6[NUM DE FACTURE],0),4),"")</f>
        <v>318</v>
      </c>
      <c r="O139" t="str">
        <f>IF(Tableau3[[#This Row],[CLIENTS]]="","",CONCATENATE(Tableau3[[#This Row],[MODE ]]," ",Tableau3[[#This Row],[ETS PAYEUR]]," ","F/",Tableau3[[#This Row],[FACTURE]]))</f>
        <v>CHEQUE NSIA F/318</v>
      </c>
      <c r="Q139">
        <f>+ROW()-ROW(Tableau3[[#Headers],[N° LIGNE_RF]])</f>
        <v>136</v>
      </c>
      <c r="R139" s="6">
        <f>IF(Tableau3[[#This Row],[REFERENCE ]]="","",MATCH(Tableau3[[#This Row],[REFERENCE ]],Tableau3[[REFERENCE ]],0))</f>
        <v>57</v>
      </c>
      <c r="S139" s="70"/>
      <c r="T139" s="70"/>
      <c r="Y139"/>
      <c r="AA139"/>
      <c r="AF139"/>
      <c r="AG139"/>
    </row>
    <row r="140" spans="1:33" ht="10.050000000000001" customHeight="1" x14ac:dyDescent="0.2">
      <c r="A140" t="s">
        <v>100</v>
      </c>
      <c r="B140" t="s">
        <v>138</v>
      </c>
      <c r="C140" t="s">
        <v>60</v>
      </c>
      <c r="D140" s="58" t="s">
        <v>84</v>
      </c>
      <c r="E140" s="277">
        <v>5192000</v>
      </c>
      <c r="F140" s="18" t="s">
        <v>199</v>
      </c>
      <c r="G140" s="6" t="s">
        <v>157</v>
      </c>
      <c r="H140" s="100" t="s">
        <v>196</v>
      </c>
      <c r="I140" s="224">
        <v>45807</v>
      </c>
      <c r="J140" t="s">
        <v>14</v>
      </c>
      <c r="L140" s="20" t="s">
        <v>10</v>
      </c>
      <c r="M140" s="6">
        <v>335</v>
      </c>
      <c r="N140" s="3">
        <f>IFERROR(INDEX(Tableau6[],MATCH(Tableau3[[#This Row],[FACTURE]],Tableau6[NUM DE FACTURE],0),4),"")</f>
        <v>335</v>
      </c>
      <c r="O140" t="str">
        <f>IF(Tableau3[[#This Row],[CLIENTS]]="","",CONCATENATE(Tableau3[[#This Row],[MODE ]]," ",Tableau3[[#This Row],[ETS PAYEUR]]," ","F/",Tableau3[[#This Row],[FACTURE]]))</f>
        <v>CHEQUE NSIA F/335</v>
      </c>
      <c r="Q140">
        <f>+ROW()-ROW(Tableau3[[#Headers],[N° LIGNE_RF]])</f>
        <v>137</v>
      </c>
      <c r="R140" s="6">
        <f>IF(Tableau3[[#This Row],[REFERENCE ]]="","",MATCH(Tableau3[[#This Row],[REFERENCE ]],Tableau3[[REFERENCE ]],0))</f>
        <v>57</v>
      </c>
      <c r="S140" s="70"/>
      <c r="T140" s="70"/>
      <c r="Y140"/>
      <c r="AA140"/>
      <c r="AF140"/>
      <c r="AG140"/>
    </row>
    <row r="141" spans="1:33" ht="10.050000000000001" customHeight="1" x14ac:dyDescent="0.2">
      <c r="A141" t="s">
        <v>100</v>
      </c>
      <c r="B141" t="s">
        <v>138</v>
      </c>
      <c r="C141" t="s">
        <v>60</v>
      </c>
      <c r="D141" s="58" t="s">
        <v>84</v>
      </c>
      <c r="E141" s="274">
        <v>5310000</v>
      </c>
      <c r="F141" s="18" t="s">
        <v>170</v>
      </c>
      <c r="G141" s="6" t="s">
        <v>157</v>
      </c>
      <c r="H141" s="100" t="s">
        <v>196</v>
      </c>
      <c r="I141" s="224">
        <v>45807</v>
      </c>
      <c r="J141" t="s">
        <v>14</v>
      </c>
      <c r="L141" s="20" t="s">
        <v>10</v>
      </c>
      <c r="M141" s="6">
        <v>269</v>
      </c>
      <c r="N141" s="3">
        <f>IFERROR(INDEX(Tableau6[],MATCH(Tableau3[[#This Row],[FACTURE]],Tableau6[NUM DE FACTURE],0),4),"")</f>
        <v>269</v>
      </c>
      <c r="O141" t="str">
        <f>IF(Tableau3[[#This Row],[CLIENTS]]="","",CONCATENATE(Tableau3[[#This Row],[MODE ]]," ",Tableau3[[#This Row],[ETS PAYEUR]]," ","F/",Tableau3[[#This Row],[FACTURE]]))</f>
        <v>CHEQUE NSIA F/269</v>
      </c>
      <c r="Q141">
        <f>+ROW()-ROW(Tableau3[[#Headers],[N° LIGNE_RF]])</f>
        <v>138</v>
      </c>
      <c r="R141" s="6">
        <f>IF(Tableau3[[#This Row],[REFERENCE ]]="","",MATCH(Tableau3[[#This Row],[REFERENCE ]],Tableau3[[REFERENCE ]],0))</f>
        <v>57</v>
      </c>
      <c r="S141" s="70"/>
      <c r="T141" s="70"/>
      <c r="Y141"/>
      <c r="AA141"/>
      <c r="AF141"/>
      <c r="AG141"/>
    </row>
    <row r="142" spans="1:33" ht="10.050000000000001" customHeight="1" x14ac:dyDescent="0.2">
      <c r="A142" t="s">
        <v>100</v>
      </c>
      <c r="B142" t="s">
        <v>138</v>
      </c>
      <c r="C142" t="s">
        <v>60</v>
      </c>
      <c r="D142" s="58" t="s">
        <v>84</v>
      </c>
      <c r="E142" s="266">
        <v>5522400</v>
      </c>
      <c r="F142" s="18" t="s">
        <v>170</v>
      </c>
      <c r="G142" s="6" t="s">
        <v>157</v>
      </c>
      <c r="H142" s="101" t="s">
        <v>196</v>
      </c>
      <c r="I142" s="224">
        <v>45807</v>
      </c>
      <c r="J142" t="s">
        <v>14</v>
      </c>
      <c r="L142" s="20" t="s">
        <v>10</v>
      </c>
      <c r="M142" s="253" t="s">
        <v>690</v>
      </c>
      <c r="N142" s="3" t="str">
        <f>IFERROR(INDEX(Tableau6[],MATCH(Tableau3[[#This Row],[FACTURE]],Tableau6[NUM DE FACTURE],0),4),"")</f>
        <v/>
      </c>
      <c r="O142" t="str">
        <f>IF(Tableau3[[#This Row],[CLIENTS]]="","",CONCATENATE(Tableau3[[#This Row],[MODE ]]," ",Tableau3[[#This Row],[ETS PAYEUR]]," ","F/",Tableau3[[#This Row],[FACTURE]]))</f>
        <v>CHEQUE NSIA F/175 EXO24</v>
      </c>
      <c r="Q142">
        <f>+ROW()-ROW(Tableau3[[#Headers],[N° LIGNE_RF]])</f>
        <v>139</v>
      </c>
      <c r="R142" s="6">
        <f>IF(Tableau3[[#This Row],[REFERENCE ]]="","",MATCH(Tableau3[[#This Row],[REFERENCE ]],Tableau3[[REFERENCE ]],0))</f>
        <v>57</v>
      </c>
      <c r="S142" s="70"/>
      <c r="T142" s="70"/>
      <c r="Y142"/>
      <c r="AA142"/>
      <c r="AF142"/>
      <c r="AG142"/>
    </row>
    <row r="143" spans="1:33" ht="10.050000000000001" customHeight="1" x14ac:dyDescent="0.2">
      <c r="A143" t="s">
        <v>100</v>
      </c>
      <c r="B143" t="s">
        <v>138</v>
      </c>
      <c r="C143" t="s">
        <v>60</v>
      </c>
      <c r="D143" s="58" t="s">
        <v>84</v>
      </c>
      <c r="E143" s="278">
        <v>5522400</v>
      </c>
      <c r="F143" s="18" t="s">
        <v>170</v>
      </c>
      <c r="G143" s="6" t="s">
        <v>157</v>
      </c>
      <c r="H143" s="101" t="s">
        <v>196</v>
      </c>
      <c r="I143" s="224">
        <v>45807</v>
      </c>
      <c r="J143" t="s">
        <v>14</v>
      </c>
      <c r="L143" s="20" t="s">
        <v>10</v>
      </c>
      <c r="M143" s="253" t="s">
        <v>691</v>
      </c>
      <c r="N143" s="3" t="str">
        <f>IFERROR(INDEX(Tableau6[],MATCH(Tableau3[[#This Row],[FACTURE]],Tableau6[NUM DE FACTURE],0),4),"")</f>
        <v/>
      </c>
      <c r="O143" t="str">
        <f>IF(Tableau3[[#This Row],[CLIENTS]]="","",CONCATENATE(Tableau3[[#This Row],[MODE ]]," ",Tableau3[[#This Row],[ETS PAYEUR]]," ","F/",Tableau3[[#This Row],[FACTURE]]))</f>
        <v>CHEQUE NSIA F/174 EXO24</v>
      </c>
      <c r="Q143">
        <f>+ROW()-ROW(Tableau3[[#Headers],[N° LIGNE_RF]])</f>
        <v>140</v>
      </c>
      <c r="R143" s="6">
        <f>IF(Tableau3[[#This Row],[REFERENCE ]]="","",MATCH(Tableau3[[#This Row],[REFERENCE ]],Tableau3[[REFERENCE ]],0))</f>
        <v>57</v>
      </c>
      <c r="S143" s="70"/>
      <c r="T143" s="70"/>
      <c r="Y143"/>
      <c r="AA143"/>
      <c r="AF143"/>
      <c r="AG143"/>
    </row>
    <row r="144" spans="1:33" ht="10.050000000000001" customHeight="1" x14ac:dyDescent="0.2">
      <c r="A144" t="s">
        <v>100</v>
      </c>
      <c r="B144" t="s">
        <v>138</v>
      </c>
      <c r="C144" t="s">
        <v>60</v>
      </c>
      <c r="D144" s="58" t="s">
        <v>84</v>
      </c>
      <c r="E144" s="278">
        <v>5522400</v>
      </c>
      <c r="F144" s="18" t="s">
        <v>170</v>
      </c>
      <c r="G144" s="6" t="s">
        <v>157</v>
      </c>
      <c r="H144" s="101" t="s">
        <v>196</v>
      </c>
      <c r="I144" s="224">
        <v>45807</v>
      </c>
      <c r="J144" t="s">
        <v>14</v>
      </c>
      <c r="L144" s="20" t="s">
        <v>10</v>
      </c>
      <c r="M144" s="253" t="s">
        <v>692</v>
      </c>
      <c r="N144" s="3" t="str">
        <f>IFERROR(INDEX(Tableau6[],MATCH(Tableau3[[#This Row],[FACTURE]],Tableau6[NUM DE FACTURE],0),4),"")</f>
        <v/>
      </c>
      <c r="O144" t="str">
        <f>IF(Tableau3[[#This Row],[CLIENTS]]="","",CONCATENATE(Tableau3[[#This Row],[MODE ]]," ",Tableau3[[#This Row],[ETS PAYEUR]]," ","F/",Tableau3[[#This Row],[FACTURE]]))</f>
        <v>CHEQUE NSIA F/173 EXO24</v>
      </c>
      <c r="Q144">
        <f>+ROW()-ROW(Tableau3[[#Headers],[N° LIGNE_RF]])</f>
        <v>141</v>
      </c>
      <c r="R144" s="6">
        <f>IF(Tableau3[[#This Row],[REFERENCE ]]="","",MATCH(Tableau3[[#This Row],[REFERENCE ]],Tableau3[[REFERENCE ]],0))</f>
        <v>57</v>
      </c>
      <c r="S144" s="70"/>
      <c r="T144" s="70"/>
      <c r="Y144"/>
      <c r="AA144"/>
      <c r="AF144"/>
      <c r="AG144"/>
    </row>
    <row r="145" spans="1:33" ht="10.050000000000001" customHeight="1" x14ac:dyDescent="0.2">
      <c r="A145" t="s">
        <v>100</v>
      </c>
      <c r="B145" t="s">
        <v>138</v>
      </c>
      <c r="C145" t="s">
        <v>60</v>
      </c>
      <c r="D145" s="58" t="s">
        <v>84</v>
      </c>
      <c r="E145" s="279">
        <v>5522400</v>
      </c>
      <c r="F145" s="18" t="s">
        <v>170</v>
      </c>
      <c r="G145" s="6" t="s">
        <v>157</v>
      </c>
      <c r="H145" s="100" t="s">
        <v>196</v>
      </c>
      <c r="I145" s="224">
        <v>45807</v>
      </c>
      <c r="J145" t="s">
        <v>14</v>
      </c>
      <c r="L145" s="20" t="s">
        <v>10</v>
      </c>
      <c r="M145" s="6">
        <v>333</v>
      </c>
      <c r="N145" s="3">
        <f>IFERROR(INDEX(Tableau6[],MATCH(Tableau3[[#This Row],[FACTURE]],Tableau6[NUM DE FACTURE],0),4),"")</f>
        <v>333</v>
      </c>
      <c r="O145" t="str">
        <f>IF(Tableau3[[#This Row],[CLIENTS]]="","",CONCATENATE(Tableau3[[#This Row],[MODE ]]," ",Tableau3[[#This Row],[ETS PAYEUR]]," ","F/",Tableau3[[#This Row],[FACTURE]]))</f>
        <v>CHEQUE NSIA F/333</v>
      </c>
      <c r="Q145">
        <f>+ROW()-ROW(Tableau3[[#Headers],[N° LIGNE_RF]])</f>
        <v>142</v>
      </c>
      <c r="R145" s="6">
        <f>IF(Tableau3[[#This Row],[REFERENCE ]]="","",MATCH(Tableau3[[#This Row],[REFERENCE ]],Tableau3[[REFERENCE ]],0))</f>
        <v>57</v>
      </c>
      <c r="S145" s="70"/>
      <c r="T145" s="70"/>
      <c r="Y145"/>
      <c r="AA145"/>
      <c r="AF145"/>
      <c r="AG145"/>
    </row>
    <row r="146" spans="1:33" ht="10.050000000000001" customHeight="1" x14ac:dyDescent="0.2">
      <c r="A146" t="s">
        <v>100</v>
      </c>
      <c r="B146" t="s">
        <v>138</v>
      </c>
      <c r="C146" t="s">
        <v>60</v>
      </c>
      <c r="D146" s="58" t="s">
        <v>84</v>
      </c>
      <c r="E146" s="264">
        <v>5522400</v>
      </c>
      <c r="F146" s="18" t="s">
        <v>170</v>
      </c>
      <c r="G146" s="6" t="s">
        <v>157</v>
      </c>
      <c r="H146" s="100" t="s">
        <v>196</v>
      </c>
      <c r="I146" s="224">
        <v>45807</v>
      </c>
      <c r="J146" t="s">
        <v>14</v>
      </c>
      <c r="L146" s="20" t="s">
        <v>10</v>
      </c>
      <c r="M146" s="6">
        <v>315</v>
      </c>
      <c r="N146" s="3">
        <f>IFERROR(INDEX(Tableau6[],MATCH(Tableau3[[#This Row],[FACTURE]],Tableau6[NUM DE FACTURE],0),4),"")</f>
        <v>315</v>
      </c>
      <c r="O146" t="str">
        <f>IF(Tableau3[[#This Row],[CLIENTS]]="","",CONCATENATE(Tableau3[[#This Row],[MODE ]]," ",Tableau3[[#This Row],[ETS PAYEUR]]," ","F/",Tableau3[[#This Row],[FACTURE]]))</f>
        <v>CHEQUE NSIA F/315</v>
      </c>
      <c r="Q146">
        <f>+ROW()-ROW(Tableau3[[#Headers],[N° LIGNE_RF]])</f>
        <v>143</v>
      </c>
      <c r="R146" s="6">
        <f>IF(Tableau3[[#This Row],[REFERENCE ]]="","",MATCH(Tableau3[[#This Row],[REFERENCE ]],Tableau3[[REFERENCE ]],0))</f>
        <v>57</v>
      </c>
      <c r="S146" s="70"/>
      <c r="T146" s="70"/>
      <c r="Y146"/>
      <c r="AA146"/>
      <c r="AF146"/>
      <c r="AG146"/>
    </row>
    <row r="147" spans="1:33" ht="10.050000000000001" customHeight="1" x14ac:dyDescent="0.2">
      <c r="A147" t="s">
        <v>100</v>
      </c>
      <c r="B147" t="s">
        <v>138</v>
      </c>
      <c r="C147" t="s">
        <v>60</v>
      </c>
      <c r="D147" s="58" t="s">
        <v>84</v>
      </c>
      <c r="E147" s="264">
        <v>5664000</v>
      </c>
      <c r="F147" s="18" t="s">
        <v>176</v>
      </c>
      <c r="G147" s="6" t="s">
        <v>157</v>
      </c>
      <c r="H147" s="100" t="s">
        <v>196</v>
      </c>
      <c r="I147" s="224">
        <v>45807</v>
      </c>
      <c r="J147" t="s">
        <v>14</v>
      </c>
      <c r="L147" s="20" t="s">
        <v>10</v>
      </c>
      <c r="M147" s="6">
        <v>316</v>
      </c>
      <c r="N147" s="3">
        <f>IFERROR(INDEX(Tableau6[],MATCH(Tableau3[[#This Row],[FACTURE]],Tableau6[NUM DE FACTURE],0),4),"")</f>
        <v>316</v>
      </c>
      <c r="O147" t="str">
        <f>IF(Tableau3[[#This Row],[CLIENTS]]="","",CONCATENATE(Tableau3[[#This Row],[MODE ]]," ",Tableau3[[#This Row],[ETS PAYEUR]]," ","F/",Tableau3[[#This Row],[FACTURE]]))</f>
        <v>CHEQUE NSIA F/316</v>
      </c>
      <c r="Q147">
        <f>+ROW()-ROW(Tableau3[[#Headers],[N° LIGNE_RF]])</f>
        <v>144</v>
      </c>
      <c r="R147" s="6">
        <f>IF(Tableau3[[#This Row],[REFERENCE ]]="","",MATCH(Tableau3[[#This Row],[REFERENCE ]],Tableau3[[REFERENCE ]],0))</f>
        <v>57</v>
      </c>
      <c r="S147" s="70"/>
      <c r="T147" s="70"/>
      <c r="Y147"/>
      <c r="AA147"/>
      <c r="AF147"/>
      <c r="AG147"/>
    </row>
    <row r="148" spans="1:33" ht="10.050000000000001" customHeight="1" x14ac:dyDescent="0.2">
      <c r="A148" t="s">
        <v>100</v>
      </c>
      <c r="B148" t="s">
        <v>138</v>
      </c>
      <c r="C148" t="s">
        <v>60</v>
      </c>
      <c r="D148" s="58" t="s">
        <v>84</v>
      </c>
      <c r="E148" s="264">
        <v>5734800</v>
      </c>
      <c r="F148" s="18" t="s">
        <v>170</v>
      </c>
      <c r="G148" s="6" t="s">
        <v>157</v>
      </c>
      <c r="H148" s="100" t="s">
        <v>196</v>
      </c>
      <c r="I148" s="224">
        <v>45807</v>
      </c>
      <c r="J148" t="s">
        <v>14</v>
      </c>
      <c r="L148" s="20" t="s">
        <v>10</v>
      </c>
      <c r="M148" s="6" t="s">
        <v>693</v>
      </c>
      <c r="N148" s="3" t="str">
        <f>IFERROR(INDEX(Tableau6[],MATCH(Tableau3[[#This Row],[FACTURE]],Tableau6[NUM DE FACTURE],0),4),"")</f>
        <v/>
      </c>
      <c r="O148" t="str">
        <f>IF(Tableau3[[#This Row],[CLIENTS]]="","",CONCATENATE(Tableau3[[#This Row],[MODE ]]," ",Tableau3[[#This Row],[ETS PAYEUR]]," ","F/",Tableau3[[#This Row],[FACTURE]]))</f>
        <v>CHEQUE NSIA F/171 EXO24</v>
      </c>
      <c r="Q148">
        <f>+ROW()-ROW(Tableau3[[#Headers],[N° LIGNE_RF]])</f>
        <v>145</v>
      </c>
      <c r="R148" s="6">
        <f>IF(Tableau3[[#This Row],[REFERENCE ]]="","",MATCH(Tableau3[[#This Row],[REFERENCE ]],Tableau3[[REFERENCE ]],0))</f>
        <v>57</v>
      </c>
      <c r="S148" s="70"/>
      <c r="T148" s="70"/>
      <c r="Y148"/>
      <c r="AA148"/>
      <c r="AF148"/>
      <c r="AG148"/>
    </row>
    <row r="149" spans="1:33" ht="10.050000000000001" customHeight="1" x14ac:dyDescent="0.2">
      <c r="A149" t="s">
        <v>100</v>
      </c>
      <c r="B149" t="s">
        <v>138</v>
      </c>
      <c r="C149" t="s">
        <v>60</v>
      </c>
      <c r="D149" s="58" t="s">
        <v>84</v>
      </c>
      <c r="E149" s="279">
        <v>5900000</v>
      </c>
      <c r="F149" s="18" t="s">
        <v>176</v>
      </c>
      <c r="G149" s="6" t="s">
        <v>157</v>
      </c>
      <c r="H149" s="100" t="s">
        <v>196</v>
      </c>
      <c r="I149" s="224">
        <v>45807</v>
      </c>
      <c r="J149" t="s">
        <v>14</v>
      </c>
      <c r="L149" s="20" t="s">
        <v>10</v>
      </c>
      <c r="M149" s="6">
        <v>331</v>
      </c>
      <c r="N149" s="3">
        <f>IFERROR(INDEX(Tableau6[],MATCH(Tableau3[[#This Row],[FACTURE]],Tableau6[NUM DE FACTURE],0),4),"")</f>
        <v>331</v>
      </c>
      <c r="O149" t="str">
        <f>IF(Tableau3[[#This Row],[CLIENTS]]="","",CONCATENATE(Tableau3[[#This Row],[MODE ]]," ",Tableau3[[#This Row],[ETS PAYEUR]]," ","F/",Tableau3[[#This Row],[FACTURE]]))</f>
        <v>CHEQUE NSIA F/331</v>
      </c>
      <c r="Q149">
        <f>+ROW()-ROW(Tableau3[[#Headers],[N° LIGNE_RF]])</f>
        <v>146</v>
      </c>
      <c r="R149" s="6">
        <f>IF(Tableau3[[#This Row],[REFERENCE ]]="","",MATCH(Tableau3[[#This Row],[REFERENCE ]],Tableau3[[REFERENCE ]],0))</f>
        <v>57</v>
      </c>
      <c r="S149" s="70"/>
      <c r="T149" s="70"/>
      <c r="Y149"/>
      <c r="AA149"/>
      <c r="AF149"/>
      <c r="AG149"/>
    </row>
    <row r="150" spans="1:33" ht="10.050000000000001" customHeight="1" x14ac:dyDescent="0.2">
      <c r="A150" t="s">
        <v>100</v>
      </c>
      <c r="B150" t="s">
        <v>138</v>
      </c>
      <c r="C150" t="s">
        <v>60</v>
      </c>
      <c r="D150" s="58" t="s">
        <v>84</v>
      </c>
      <c r="E150" s="264">
        <v>5900000</v>
      </c>
      <c r="F150" s="18" t="s">
        <v>174</v>
      </c>
      <c r="G150" s="6" t="s">
        <v>157</v>
      </c>
      <c r="H150" s="100" t="s">
        <v>196</v>
      </c>
      <c r="I150" s="224">
        <v>45807</v>
      </c>
      <c r="J150" t="s">
        <v>14</v>
      </c>
      <c r="L150" s="20" t="s">
        <v>10</v>
      </c>
      <c r="M150" s="6">
        <v>314</v>
      </c>
      <c r="N150" s="3">
        <f>IFERROR(INDEX(Tableau6[],MATCH(Tableau3[[#This Row],[FACTURE]],Tableau6[NUM DE FACTURE],0),4),"")</f>
        <v>314</v>
      </c>
      <c r="O150" t="str">
        <f>IF(Tableau3[[#This Row],[CLIENTS]]="","",CONCATENATE(Tableau3[[#This Row],[MODE ]]," ",Tableau3[[#This Row],[ETS PAYEUR]]," ","F/",Tableau3[[#This Row],[FACTURE]]))</f>
        <v>CHEQUE NSIA F/314</v>
      </c>
      <c r="Q150">
        <f>+ROW()-ROW(Tableau3[[#Headers],[N° LIGNE_RF]])</f>
        <v>147</v>
      </c>
      <c r="R150" s="6">
        <f>IF(Tableau3[[#This Row],[REFERENCE ]]="","",MATCH(Tableau3[[#This Row],[REFERENCE ]],Tableau3[[REFERENCE ]],0))</f>
        <v>57</v>
      </c>
      <c r="S150" s="70"/>
      <c r="T150" s="70"/>
      <c r="Y150"/>
      <c r="AA150"/>
      <c r="AF150"/>
      <c r="AG150"/>
    </row>
    <row r="151" spans="1:33" s="137" customFormat="1" ht="10.050000000000001" customHeight="1" x14ac:dyDescent="0.2">
      <c r="A151" t="s">
        <v>100</v>
      </c>
      <c r="B151" t="s">
        <v>138</v>
      </c>
      <c r="C151" t="s">
        <v>60</v>
      </c>
      <c r="D151" s="58" t="s">
        <v>84</v>
      </c>
      <c r="E151" s="264">
        <v>5900000</v>
      </c>
      <c r="F151" s="18" t="s">
        <v>174</v>
      </c>
      <c r="G151" s="6" t="s">
        <v>157</v>
      </c>
      <c r="H151" s="100" t="s">
        <v>196</v>
      </c>
      <c r="I151" s="224">
        <v>45807</v>
      </c>
      <c r="J151" t="s">
        <v>14</v>
      </c>
      <c r="K151"/>
      <c r="L151" s="20" t="s">
        <v>10</v>
      </c>
      <c r="M151" s="6">
        <v>319</v>
      </c>
      <c r="N151" s="3">
        <f>IFERROR(INDEX(Tableau6[],MATCH(Tableau3[[#This Row],[FACTURE]],Tableau6[NUM DE FACTURE],0),4),"")</f>
        <v>319</v>
      </c>
      <c r="O151" t="str">
        <f>IF(Tableau3[[#This Row],[CLIENTS]]="","",CONCATENATE(Tableau3[[#This Row],[MODE ]]," ",Tableau3[[#This Row],[ETS PAYEUR]]," ","F/",Tableau3[[#This Row],[FACTURE]]))</f>
        <v>CHEQUE NSIA F/319</v>
      </c>
      <c r="P151"/>
      <c r="Q151">
        <f>+ROW()-ROW(Tableau3[[#Headers],[N° LIGNE_RF]])</f>
        <v>148</v>
      </c>
      <c r="R151" s="6">
        <f>IF(Tableau3[[#This Row],[REFERENCE ]]="","",MATCH(Tableau3[[#This Row],[REFERENCE ]],Tableau3[[REFERENCE ]],0))</f>
        <v>57</v>
      </c>
      <c r="S151" s="475"/>
      <c r="T151" s="475"/>
    </row>
    <row r="152" spans="1:33" ht="10.050000000000001" customHeight="1" x14ac:dyDescent="0.2">
      <c r="A152" t="s">
        <v>100</v>
      </c>
      <c r="B152" t="s">
        <v>138</v>
      </c>
      <c r="C152" t="s">
        <v>60</v>
      </c>
      <c r="D152" s="58" t="s">
        <v>84</v>
      </c>
      <c r="E152" s="266">
        <v>6136000</v>
      </c>
      <c r="F152" s="18" t="s">
        <v>165</v>
      </c>
      <c r="G152" s="6" t="s">
        <v>157</v>
      </c>
      <c r="H152" s="101" t="s">
        <v>196</v>
      </c>
      <c r="I152" s="224">
        <v>45807</v>
      </c>
      <c r="J152" t="s">
        <v>14</v>
      </c>
      <c r="L152" s="20" t="s">
        <v>10</v>
      </c>
      <c r="M152" s="253" t="s">
        <v>694</v>
      </c>
      <c r="N152" s="3" t="str">
        <f>IFERROR(INDEX(Tableau6[],MATCH(Tableau3[[#This Row],[FACTURE]],Tableau6[NUM DE FACTURE],0),4),"")</f>
        <v/>
      </c>
      <c r="O152" t="str">
        <f>IF(Tableau3[[#This Row],[CLIENTS]]="","",CONCATENATE(Tableau3[[#This Row],[MODE ]]," ",Tableau3[[#This Row],[ETS PAYEUR]]," ","F/",Tableau3[[#This Row],[FACTURE]]))</f>
        <v>CHEQUE NSIA F/161 EXO24</v>
      </c>
      <c r="Q152">
        <f>+ROW()-ROW(Tableau3[[#Headers],[N° LIGNE_RF]])</f>
        <v>149</v>
      </c>
      <c r="R152" s="6">
        <f>IF(Tableau3[[#This Row],[REFERENCE ]]="","",MATCH(Tableau3[[#This Row],[REFERENCE ]],Tableau3[[REFERENCE ]],0))</f>
        <v>57</v>
      </c>
      <c r="S152" s="70"/>
      <c r="T152" s="70"/>
      <c r="Y152"/>
      <c r="AA152"/>
      <c r="AF152"/>
      <c r="AG152"/>
    </row>
    <row r="153" spans="1:33" s="137" customFormat="1" ht="10.050000000000001" customHeight="1" x14ac:dyDescent="0.2">
      <c r="A153" t="s">
        <v>100</v>
      </c>
      <c r="B153" t="s">
        <v>138</v>
      </c>
      <c r="C153" t="s">
        <v>60</v>
      </c>
      <c r="D153" s="58" t="s">
        <v>84</v>
      </c>
      <c r="E153" s="267">
        <v>7056400</v>
      </c>
      <c r="F153" s="139" t="s">
        <v>194</v>
      </c>
      <c r="G153" s="6" t="s">
        <v>157</v>
      </c>
      <c r="H153" s="100" t="s">
        <v>196</v>
      </c>
      <c r="I153" s="252">
        <v>45807</v>
      </c>
      <c r="J153" t="s">
        <v>14</v>
      </c>
      <c r="K153"/>
      <c r="L153" s="20" t="s">
        <v>10</v>
      </c>
      <c r="M153" s="256">
        <v>254</v>
      </c>
      <c r="N153" s="138">
        <f>IFERROR(INDEX(Tableau6[],MATCH(Tableau3[[#This Row],[FACTURE]],Tableau6[NUM DE FACTURE],0),4),"")</f>
        <v>254</v>
      </c>
      <c r="O153" s="137" t="str">
        <f>IF(Tableau3[[#This Row],[CLIENTS]]="","",CONCATENATE(Tableau3[[#This Row],[MODE ]]," ",Tableau3[[#This Row],[ETS PAYEUR]]," ","F/",Tableau3[[#This Row],[FACTURE]]))</f>
        <v>CHEQUE NSIA F/254</v>
      </c>
      <c r="Q153">
        <f>+ROW()-ROW(Tableau3[[#Headers],[N° LIGNE_RF]])</f>
        <v>150</v>
      </c>
      <c r="R153" s="6">
        <f>IF(Tableau3[[#This Row],[REFERENCE ]]="","",MATCH(Tableau3[[#This Row],[REFERENCE ]],Tableau3[[REFERENCE ]],0))</f>
        <v>57</v>
      </c>
      <c r="S153" s="475"/>
      <c r="T153" s="475"/>
    </row>
    <row r="154" spans="1:33" ht="10.050000000000001" customHeight="1" x14ac:dyDescent="0.2">
      <c r="A154" t="s">
        <v>100</v>
      </c>
      <c r="B154" t="s">
        <v>138</v>
      </c>
      <c r="C154" t="s">
        <v>60</v>
      </c>
      <c r="D154" s="58" t="s">
        <v>84</v>
      </c>
      <c r="E154" s="277">
        <v>7080000</v>
      </c>
      <c r="F154" s="18" t="s">
        <v>212</v>
      </c>
      <c r="G154" s="6" t="s">
        <v>157</v>
      </c>
      <c r="H154" s="100" t="s">
        <v>196</v>
      </c>
      <c r="I154" s="224">
        <v>45807</v>
      </c>
      <c r="J154" t="s">
        <v>14</v>
      </c>
      <c r="L154" s="20" t="s">
        <v>10</v>
      </c>
      <c r="M154" s="6">
        <v>329</v>
      </c>
      <c r="N154" s="3">
        <f>IFERROR(INDEX(Tableau6[],MATCH(Tableau3[[#This Row],[FACTURE]],Tableau6[NUM DE FACTURE],0),4),"")</f>
        <v>329</v>
      </c>
      <c r="O154" t="str">
        <f>IF(Tableau3[[#This Row],[CLIENTS]]="","",CONCATENATE(Tableau3[[#This Row],[MODE ]]," ",Tableau3[[#This Row],[ETS PAYEUR]]," ","F/",Tableau3[[#This Row],[FACTURE]]))</f>
        <v>CHEQUE NSIA F/329</v>
      </c>
      <c r="Q154">
        <f>+ROW()-ROW(Tableau3[[#Headers],[N° LIGNE_RF]])</f>
        <v>151</v>
      </c>
      <c r="R154" s="6">
        <f>IF(Tableau3[[#This Row],[REFERENCE ]]="","",MATCH(Tableau3[[#This Row],[REFERENCE ]],Tableau3[[REFERENCE ]],0))</f>
        <v>57</v>
      </c>
      <c r="S154" s="70"/>
      <c r="T154" s="70"/>
      <c r="Y154"/>
      <c r="AA154"/>
      <c r="AF154"/>
      <c r="AG154"/>
    </row>
    <row r="155" spans="1:33" s="137" customFormat="1" ht="10.050000000000001" customHeight="1" x14ac:dyDescent="0.2">
      <c r="A155" t="s">
        <v>100</v>
      </c>
      <c r="B155" t="s">
        <v>138</v>
      </c>
      <c r="C155" t="s">
        <v>60</v>
      </c>
      <c r="D155" s="58" t="s">
        <v>84</v>
      </c>
      <c r="E155" s="264">
        <v>7080000</v>
      </c>
      <c r="F155" s="18" t="s">
        <v>212</v>
      </c>
      <c r="G155" s="6" t="s">
        <v>157</v>
      </c>
      <c r="H155" s="100" t="s">
        <v>196</v>
      </c>
      <c r="I155" s="224">
        <v>45807</v>
      </c>
      <c r="J155" t="s">
        <v>14</v>
      </c>
      <c r="K155"/>
      <c r="L155" s="20" t="s">
        <v>10</v>
      </c>
      <c r="M155" s="6">
        <v>337</v>
      </c>
      <c r="N155" s="3">
        <f>IFERROR(INDEX(Tableau6[],MATCH(Tableau3[[#This Row],[FACTURE]],Tableau6[NUM DE FACTURE],0),4),"")</f>
        <v>337</v>
      </c>
      <c r="O155" t="str">
        <f>IF(Tableau3[[#This Row],[CLIENTS]]="","",CONCATENATE(Tableau3[[#This Row],[MODE ]]," ",Tableau3[[#This Row],[ETS PAYEUR]]," ","F/",Tableau3[[#This Row],[FACTURE]]))</f>
        <v>CHEQUE NSIA F/337</v>
      </c>
      <c r="P155"/>
      <c r="Q155">
        <f>+ROW()-ROW(Tableau3[[#Headers],[N° LIGNE_RF]])</f>
        <v>152</v>
      </c>
      <c r="R155" s="6">
        <f>IF(Tableau3[[#This Row],[REFERENCE ]]="","",MATCH(Tableau3[[#This Row],[REFERENCE ]],Tableau3[[REFERENCE ]],0))</f>
        <v>57</v>
      </c>
      <c r="S155" s="475"/>
      <c r="T155" s="475"/>
    </row>
    <row r="156" spans="1:33" ht="10.050000000000001" customHeight="1" x14ac:dyDescent="0.2">
      <c r="A156" t="s">
        <v>100</v>
      </c>
      <c r="B156" t="s">
        <v>138</v>
      </c>
      <c r="C156" t="s">
        <v>60</v>
      </c>
      <c r="D156" s="58" t="s">
        <v>84</v>
      </c>
      <c r="E156" s="264">
        <v>7080000</v>
      </c>
      <c r="F156" s="18" t="s">
        <v>212</v>
      </c>
      <c r="G156" s="6" t="s">
        <v>157</v>
      </c>
      <c r="H156" s="100" t="s">
        <v>196</v>
      </c>
      <c r="I156" s="224">
        <v>45807</v>
      </c>
      <c r="J156" t="s">
        <v>14</v>
      </c>
      <c r="L156" s="20" t="s">
        <v>10</v>
      </c>
      <c r="M156" s="6">
        <v>317</v>
      </c>
      <c r="N156" s="3">
        <f>IFERROR(INDEX(Tableau6[],MATCH(Tableau3[[#This Row],[FACTURE]],Tableau6[NUM DE FACTURE],0),4),"")</f>
        <v>317</v>
      </c>
      <c r="O156" t="str">
        <f>IF(Tableau3[[#This Row],[CLIENTS]]="","",CONCATENATE(Tableau3[[#This Row],[MODE ]]," ",Tableau3[[#This Row],[ETS PAYEUR]]," ","F/",Tableau3[[#This Row],[FACTURE]]))</f>
        <v>CHEQUE NSIA F/317</v>
      </c>
      <c r="Q156">
        <f>+ROW()-ROW(Tableau3[[#Headers],[N° LIGNE_RF]])</f>
        <v>153</v>
      </c>
      <c r="R156" s="6">
        <f>IF(Tableau3[[#This Row],[REFERENCE ]]="","",MATCH(Tableau3[[#This Row],[REFERENCE ]],Tableau3[[REFERENCE ]],0))</f>
        <v>57</v>
      </c>
      <c r="S156" s="70"/>
      <c r="T156" s="70"/>
      <c r="Y156"/>
      <c r="AA156"/>
      <c r="AF156"/>
      <c r="AG156"/>
    </row>
    <row r="157" spans="1:33" ht="10.050000000000001" customHeight="1" x14ac:dyDescent="0.2">
      <c r="A157" t="s">
        <v>100</v>
      </c>
      <c r="B157" t="s">
        <v>138</v>
      </c>
      <c r="C157" t="s">
        <v>60</v>
      </c>
      <c r="D157" s="58" t="s">
        <v>84</v>
      </c>
      <c r="E157" s="264">
        <v>7156464</v>
      </c>
      <c r="F157" s="18" t="s">
        <v>202</v>
      </c>
      <c r="G157" s="6" t="s">
        <v>157</v>
      </c>
      <c r="H157" s="100" t="s">
        <v>196</v>
      </c>
      <c r="I157" s="224">
        <v>45807</v>
      </c>
      <c r="J157" t="s">
        <v>14</v>
      </c>
      <c r="L157" s="20" t="s">
        <v>10</v>
      </c>
      <c r="M157" s="6">
        <v>210</v>
      </c>
      <c r="N157" s="3">
        <f>IFERROR(INDEX(Tableau6[],MATCH(Tableau3[[#This Row],[FACTURE]],Tableau6[NUM DE FACTURE],0),4),"")</f>
        <v>210</v>
      </c>
      <c r="O157" t="str">
        <f>IF(Tableau3[[#This Row],[CLIENTS]]="","",CONCATENATE(Tableau3[[#This Row],[MODE ]]," ",Tableau3[[#This Row],[ETS PAYEUR]]," ","F/",Tableau3[[#This Row],[FACTURE]]))</f>
        <v>CHEQUE NSIA F/210</v>
      </c>
      <c r="Q157">
        <f>+ROW()-ROW(Tableau3[[#Headers],[N° LIGNE_RF]])</f>
        <v>154</v>
      </c>
      <c r="R157" s="6">
        <f>IF(Tableau3[[#This Row],[REFERENCE ]]="","",MATCH(Tableau3[[#This Row],[REFERENCE ]],Tableau3[[REFERENCE ]],0))</f>
        <v>57</v>
      </c>
      <c r="S157" s="70"/>
      <c r="T157" s="70"/>
      <c r="Y157"/>
      <c r="AA157"/>
      <c r="AF157"/>
      <c r="AG157"/>
    </row>
    <row r="158" spans="1:33" ht="10.050000000000001" customHeight="1" x14ac:dyDescent="0.2">
      <c r="A158" t="s">
        <v>100</v>
      </c>
      <c r="B158" t="s">
        <v>138</v>
      </c>
      <c r="C158" t="s">
        <v>60</v>
      </c>
      <c r="D158" s="58" t="s">
        <v>84</v>
      </c>
      <c r="E158" s="264">
        <v>7542560</v>
      </c>
      <c r="F158" s="18" t="s">
        <v>212</v>
      </c>
      <c r="G158" s="6" t="s">
        <v>157</v>
      </c>
      <c r="H158" s="100" t="s">
        <v>196</v>
      </c>
      <c r="I158" s="224">
        <v>45807</v>
      </c>
      <c r="J158" t="s">
        <v>14</v>
      </c>
      <c r="L158" s="20" t="s">
        <v>10</v>
      </c>
      <c r="M158" s="6">
        <v>320</v>
      </c>
      <c r="N158" s="3">
        <f>IFERROR(INDEX(Tableau6[],MATCH(Tableau3[[#This Row],[FACTURE]],Tableau6[NUM DE FACTURE],0),4),"")</f>
        <v>320</v>
      </c>
      <c r="O158" t="str">
        <f>IF(Tableau3[[#This Row],[CLIENTS]]="","",CONCATENATE(Tableau3[[#This Row],[MODE ]]," ",Tableau3[[#This Row],[ETS PAYEUR]]," ","F/",Tableau3[[#This Row],[FACTURE]]))</f>
        <v>CHEQUE NSIA F/320</v>
      </c>
      <c r="Q158">
        <f>+ROW()-ROW(Tableau3[[#Headers],[N° LIGNE_RF]])</f>
        <v>155</v>
      </c>
      <c r="R158" s="6">
        <f>IF(Tableau3[[#This Row],[REFERENCE ]]="","",MATCH(Tableau3[[#This Row],[REFERENCE ]],Tableau3[[REFERENCE ]],0))</f>
        <v>57</v>
      </c>
      <c r="S158" s="70"/>
      <c r="T158" s="70"/>
      <c r="Y158"/>
      <c r="AA158"/>
      <c r="AF158"/>
      <c r="AG158"/>
    </row>
    <row r="159" spans="1:33" ht="10.050000000000001" customHeight="1" x14ac:dyDescent="0.2">
      <c r="A159" t="s">
        <v>100</v>
      </c>
      <c r="B159" t="s">
        <v>138</v>
      </c>
      <c r="C159" t="s">
        <v>60</v>
      </c>
      <c r="D159" s="58" t="s">
        <v>84</v>
      </c>
      <c r="E159" s="277">
        <v>7788000</v>
      </c>
      <c r="F159" s="18" t="s">
        <v>199</v>
      </c>
      <c r="G159" s="6" t="s">
        <v>157</v>
      </c>
      <c r="H159" s="100" t="s">
        <v>196</v>
      </c>
      <c r="I159" s="224">
        <v>45807</v>
      </c>
      <c r="J159" t="s">
        <v>14</v>
      </c>
      <c r="L159" s="20" t="s">
        <v>10</v>
      </c>
      <c r="M159" s="6">
        <v>330</v>
      </c>
      <c r="N159" s="3">
        <f>IFERROR(INDEX(Tableau6[],MATCH(Tableau3[[#This Row],[FACTURE]],Tableau6[NUM DE FACTURE],0),4),"")</f>
        <v>330</v>
      </c>
      <c r="O159" t="str">
        <f>IF(Tableau3[[#This Row],[CLIENTS]]="","",CONCATENATE(Tableau3[[#This Row],[MODE ]]," ",Tableau3[[#This Row],[ETS PAYEUR]]," ","F/",Tableau3[[#This Row],[FACTURE]]))</f>
        <v>CHEQUE NSIA F/330</v>
      </c>
      <c r="Q159">
        <f>+ROW()-ROW(Tableau3[[#Headers],[N° LIGNE_RF]])</f>
        <v>156</v>
      </c>
      <c r="R159" s="6">
        <f>IF(Tableau3[[#This Row],[REFERENCE ]]="","",MATCH(Tableau3[[#This Row],[REFERENCE ]],Tableau3[[REFERENCE ]],0))</f>
        <v>57</v>
      </c>
      <c r="S159" s="70"/>
      <c r="T159" s="70"/>
      <c r="Y159"/>
      <c r="AA159"/>
      <c r="AF159"/>
      <c r="AG159"/>
    </row>
    <row r="160" spans="1:33" ht="10.050000000000001" customHeight="1" x14ac:dyDescent="0.2">
      <c r="A160" t="s">
        <v>100</v>
      </c>
      <c r="B160" t="s">
        <v>138</v>
      </c>
      <c r="C160" t="s">
        <v>60</v>
      </c>
      <c r="D160" s="58" t="s">
        <v>84</v>
      </c>
      <c r="E160" s="264">
        <v>8467680</v>
      </c>
      <c r="F160" s="18" t="s">
        <v>173</v>
      </c>
      <c r="G160" s="6" t="s">
        <v>157</v>
      </c>
      <c r="H160" s="100" t="s">
        <v>196</v>
      </c>
      <c r="I160" s="224">
        <v>45807</v>
      </c>
      <c r="J160" t="s">
        <v>14</v>
      </c>
      <c r="L160" s="20" t="s">
        <v>10</v>
      </c>
      <c r="M160" s="6" t="s">
        <v>695</v>
      </c>
      <c r="N160" s="3" t="str">
        <f>IFERROR(INDEX(Tableau6[],MATCH(Tableau3[[#This Row],[FACTURE]],Tableau6[NUM DE FACTURE],0),4),"")</f>
        <v/>
      </c>
      <c r="O160" t="str">
        <f>IF(Tableau3[[#This Row],[CLIENTS]]="","",CONCATENATE(Tableau3[[#This Row],[MODE ]]," ",Tableau3[[#This Row],[ETS PAYEUR]]," ","F/",Tableau3[[#This Row],[FACTURE]]))</f>
        <v>CHEQUE NSIA F/169 EXO24</v>
      </c>
      <c r="Q160">
        <f>+ROW()-ROW(Tableau3[[#Headers],[N° LIGNE_RF]])</f>
        <v>157</v>
      </c>
      <c r="R160" s="6">
        <f>IF(Tableau3[[#This Row],[REFERENCE ]]="","",MATCH(Tableau3[[#This Row],[REFERENCE ]],Tableau3[[REFERENCE ]],0))</f>
        <v>57</v>
      </c>
      <c r="S160" s="70"/>
      <c r="T160" s="70"/>
      <c r="Y160"/>
      <c r="AA160"/>
      <c r="AF160"/>
      <c r="AG160"/>
    </row>
    <row r="161" spans="1:33" s="137" customFormat="1" ht="10.050000000000001" customHeight="1" x14ac:dyDescent="0.2">
      <c r="A161" t="s">
        <v>100</v>
      </c>
      <c r="B161" t="s">
        <v>138</v>
      </c>
      <c r="C161" t="s">
        <v>60</v>
      </c>
      <c r="D161" s="58" t="s">
        <v>84</v>
      </c>
      <c r="E161" s="279">
        <v>8684800</v>
      </c>
      <c r="F161" s="18" t="s">
        <v>199</v>
      </c>
      <c r="G161" s="6" t="s">
        <v>157</v>
      </c>
      <c r="H161" s="100" t="s">
        <v>196</v>
      </c>
      <c r="I161" s="224">
        <v>45807</v>
      </c>
      <c r="J161" t="s">
        <v>14</v>
      </c>
      <c r="K161"/>
      <c r="L161" s="20" t="s">
        <v>10</v>
      </c>
      <c r="M161" s="6">
        <v>336</v>
      </c>
      <c r="N161" s="3">
        <f>IFERROR(INDEX(Tableau6[],MATCH(Tableau3[[#This Row],[FACTURE]],Tableau6[NUM DE FACTURE],0),4),"")</f>
        <v>336</v>
      </c>
      <c r="O161" t="str">
        <f>IF(Tableau3[[#This Row],[CLIENTS]]="","",CONCATENATE(Tableau3[[#This Row],[MODE ]]," ",Tableau3[[#This Row],[ETS PAYEUR]]," ","F/",Tableau3[[#This Row],[FACTURE]]))</f>
        <v>CHEQUE NSIA F/336</v>
      </c>
      <c r="P161"/>
      <c r="Q161">
        <f>+ROW()-ROW(Tableau3[[#Headers],[N° LIGNE_RF]])</f>
        <v>158</v>
      </c>
      <c r="R161" s="6">
        <f>IF(Tableau3[[#This Row],[REFERENCE ]]="","",MATCH(Tableau3[[#This Row],[REFERENCE ]],Tableau3[[REFERENCE ]],0))</f>
        <v>57</v>
      </c>
      <c r="S161" s="475"/>
      <c r="T161" s="475"/>
    </row>
    <row r="162" spans="1:33" ht="10.050000000000001" customHeight="1" x14ac:dyDescent="0.2">
      <c r="A162" t="s">
        <v>100</v>
      </c>
      <c r="B162" t="s">
        <v>138</v>
      </c>
      <c r="C162" t="s">
        <v>60</v>
      </c>
      <c r="D162" s="58" t="s">
        <v>84</v>
      </c>
      <c r="E162" s="266">
        <v>9062400</v>
      </c>
      <c r="F162" s="18" t="s">
        <v>167</v>
      </c>
      <c r="G162" s="6" t="s">
        <v>157</v>
      </c>
      <c r="H162" s="101" t="s">
        <v>196</v>
      </c>
      <c r="I162" s="224">
        <v>45807</v>
      </c>
      <c r="J162" t="s">
        <v>14</v>
      </c>
      <c r="L162" s="20" t="s">
        <v>10</v>
      </c>
      <c r="M162" s="253" t="s">
        <v>696</v>
      </c>
      <c r="N162" s="3" t="str">
        <f>IFERROR(INDEX(Tableau6[],MATCH(Tableau3[[#This Row],[FACTURE]],Tableau6[NUM DE FACTURE],0),4),"")</f>
        <v/>
      </c>
      <c r="O162" t="str">
        <f>IF(Tableau3[[#This Row],[CLIENTS]]="","",CONCATENATE(Tableau3[[#This Row],[MODE ]]," ",Tableau3[[#This Row],[ETS PAYEUR]]," ","F/",Tableau3[[#This Row],[FACTURE]]))</f>
        <v>CHEQUE NSIA F/165 EXO24</v>
      </c>
      <c r="Q162">
        <f>+ROW()-ROW(Tableau3[[#Headers],[N° LIGNE_RF]])</f>
        <v>159</v>
      </c>
      <c r="R162" s="6">
        <f>IF(Tableau3[[#This Row],[REFERENCE ]]="","",MATCH(Tableau3[[#This Row],[REFERENCE ]],Tableau3[[REFERENCE ]],0))</f>
        <v>57</v>
      </c>
      <c r="S162" s="70"/>
      <c r="T162" s="70"/>
      <c r="Y162"/>
      <c r="AA162"/>
      <c r="AF162"/>
      <c r="AG162"/>
    </row>
    <row r="163" spans="1:33" s="137" customFormat="1" ht="10.050000000000001" customHeight="1" x14ac:dyDescent="0.2">
      <c r="A163" t="s">
        <v>100</v>
      </c>
      <c r="B163" t="s">
        <v>138</v>
      </c>
      <c r="C163" t="s">
        <v>60</v>
      </c>
      <c r="D163" s="58" t="s">
        <v>84</v>
      </c>
      <c r="E163" s="277">
        <v>9062400</v>
      </c>
      <c r="F163" s="18" t="s">
        <v>199</v>
      </c>
      <c r="G163" s="6" t="s">
        <v>157</v>
      </c>
      <c r="H163" s="100" t="s">
        <v>196</v>
      </c>
      <c r="I163" s="224">
        <v>45807</v>
      </c>
      <c r="J163" t="s">
        <v>14</v>
      </c>
      <c r="K163"/>
      <c r="L163" s="20" t="s">
        <v>10</v>
      </c>
      <c r="M163" s="6">
        <v>334</v>
      </c>
      <c r="N163" s="3">
        <f>IFERROR(INDEX(Tableau6[],MATCH(Tableau3[[#This Row],[FACTURE]],Tableau6[NUM DE FACTURE],0),4),"")</f>
        <v>334</v>
      </c>
      <c r="O163" t="str">
        <f>IF(Tableau3[[#This Row],[CLIENTS]]="","",CONCATENATE(Tableau3[[#This Row],[MODE ]]," ",Tableau3[[#This Row],[ETS PAYEUR]]," ","F/",Tableau3[[#This Row],[FACTURE]]))</f>
        <v>CHEQUE NSIA F/334</v>
      </c>
      <c r="P163"/>
      <c r="Q163">
        <f>+ROW()-ROW(Tableau3[[#Headers],[N° LIGNE_RF]])</f>
        <v>160</v>
      </c>
      <c r="R163" s="6">
        <f>IF(Tableau3[[#This Row],[REFERENCE ]]="","",MATCH(Tableau3[[#This Row],[REFERENCE ]],Tableau3[[REFERENCE ]],0))</f>
        <v>57</v>
      </c>
      <c r="S163" s="475"/>
      <c r="T163" s="475"/>
    </row>
    <row r="164" spans="1:33" s="137" customFormat="1" ht="10.050000000000001" customHeight="1" x14ac:dyDescent="0.2">
      <c r="A164" t="s">
        <v>100</v>
      </c>
      <c r="B164" t="s">
        <v>138</v>
      </c>
      <c r="C164" t="s">
        <v>60</v>
      </c>
      <c r="D164" s="58" t="s">
        <v>84</v>
      </c>
      <c r="E164" s="276">
        <v>9298400</v>
      </c>
      <c r="F164" s="18" t="s">
        <v>171</v>
      </c>
      <c r="G164" s="6" t="s">
        <v>157</v>
      </c>
      <c r="H164" s="100" t="s">
        <v>196</v>
      </c>
      <c r="I164" s="224">
        <v>45807</v>
      </c>
      <c r="J164" t="s">
        <v>14</v>
      </c>
      <c r="K164"/>
      <c r="L164" s="20" t="s">
        <v>10</v>
      </c>
      <c r="M164" s="6" t="s">
        <v>697</v>
      </c>
      <c r="N164" s="3" t="str">
        <f>IFERROR(INDEX(Tableau6[],MATCH(Tableau3[[#This Row],[FACTURE]],Tableau6[NUM DE FACTURE],0),4),"")</f>
        <v/>
      </c>
      <c r="O164" t="str">
        <f>IF(Tableau3[[#This Row],[CLIENTS]]="","",CONCATENATE(Tableau3[[#This Row],[MODE ]]," ",Tableau3[[#This Row],[ETS PAYEUR]]," ","F/",Tableau3[[#This Row],[FACTURE]]))</f>
        <v>CHEQUE NSIA F/168 EXO24</v>
      </c>
      <c r="P164"/>
      <c r="Q164">
        <f>+ROW()-ROW(Tableau3[[#Headers],[N° LIGNE_RF]])</f>
        <v>161</v>
      </c>
      <c r="R164" s="6">
        <f>IF(Tableau3[[#This Row],[REFERENCE ]]="","",MATCH(Tableau3[[#This Row],[REFERENCE ]],Tableau3[[REFERENCE ]],0))</f>
        <v>57</v>
      </c>
      <c r="S164" s="475"/>
      <c r="T164" s="475"/>
    </row>
    <row r="165" spans="1:33" s="137" customFormat="1" ht="10.050000000000001" customHeight="1" x14ac:dyDescent="0.2">
      <c r="A165" t="s">
        <v>100</v>
      </c>
      <c r="B165" t="s">
        <v>138</v>
      </c>
      <c r="C165" t="s">
        <v>60</v>
      </c>
      <c r="D165" s="58" t="s">
        <v>84</v>
      </c>
      <c r="E165" s="277">
        <v>9440000</v>
      </c>
      <c r="F165" s="18" t="s">
        <v>165</v>
      </c>
      <c r="G165" s="6" t="s">
        <v>157</v>
      </c>
      <c r="H165" s="100" t="s">
        <v>196</v>
      </c>
      <c r="I165" s="224">
        <v>45807</v>
      </c>
      <c r="J165" t="s">
        <v>14</v>
      </c>
      <c r="K165"/>
      <c r="L165" s="20" t="s">
        <v>10</v>
      </c>
      <c r="M165" s="6">
        <v>332</v>
      </c>
      <c r="N165" s="3">
        <f>IFERROR(INDEX(Tableau6[],MATCH(Tableau3[[#This Row],[FACTURE]],Tableau6[NUM DE FACTURE],0),4),"")</f>
        <v>332</v>
      </c>
      <c r="O165" t="str">
        <f>IF(Tableau3[[#This Row],[CLIENTS]]="","",CONCATENATE(Tableau3[[#This Row],[MODE ]]," ",Tableau3[[#This Row],[ETS PAYEUR]]," ","F/",Tableau3[[#This Row],[FACTURE]]))</f>
        <v>CHEQUE NSIA F/332</v>
      </c>
      <c r="P165"/>
      <c r="Q165">
        <f>+ROW()-ROW(Tableau3[[#Headers],[N° LIGNE_RF]])</f>
        <v>162</v>
      </c>
      <c r="R165" s="6">
        <f>IF(Tableau3[[#This Row],[REFERENCE ]]="","",MATCH(Tableau3[[#This Row],[REFERENCE ]],Tableau3[[REFERENCE ]],0))</f>
        <v>57</v>
      </c>
      <c r="S165" s="475"/>
      <c r="T165" s="475"/>
    </row>
    <row r="166" spans="1:33" s="137" customFormat="1" ht="10.050000000000001" customHeight="1" x14ac:dyDescent="0.2">
      <c r="A166" t="s">
        <v>100</v>
      </c>
      <c r="B166" t="s">
        <v>138</v>
      </c>
      <c r="C166" t="s">
        <v>60</v>
      </c>
      <c r="D166" s="58" t="s">
        <v>84</v>
      </c>
      <c r="E166" s="274">
        <v>32413059</v>
      </c>
      <c r="F166" s="18" t="s">
        <v>161</v>
      </c>
      <c r="G166" s="6" t="s">
        <v>157</v>
      </c>
      <c r="H166" s="100" t="s">
        <v>196</v>
      </c>
      <c r="I166" s="224">
        <v>45807</v>
      </c>
      <c r="J166" t="s">
        <v>14</v>
      </c>
      <c r="K166"/>
      <c r="L166" s="20" t="s">
        <v>10</v>
      </c>
      <c r="M166" s="6">
        <v>292</v>
      </c>
      <c r="N166" s="3">
        <f>IFERROR(INDEX(Tableau6[],MATCH(Tableau3[[#This Row],[FACTURE]],Tableau6[NUM DE FACTURE],0),4),"")</f>
        <v>292</v>
      </c>
      <c r="O166" t="str">
        <f>IF(Tableau3[[#This Row],[CLIENTS]]="","",CONCATENATE(Tableau3[[#This Row],[MODE ]]," ",Tableau3[[#This Row],[ETS PAYEUR]]," ","F/",Tableau3[[#This Row],[FACTURE]]))</f>
        <v>CHEQUE NSIA F/292</v>
      </c>
      <c r="P166"/>
      <c r="Q166">
        <f>+ROW()-ROW(Tableau3[[#Headers],[N° LIGNE_RF]])</f>
        <v>163</v>
      </c>
      <c r="R166" s="6">
        <f>IF(Tableau3[[#This Row],[REFERENCE ]]="","",MATCH(Tableau3[[#This Row],[REFERENCE ]],Tableau3[[REFERENCE ]],0))</f>
        <v>57</v>
      </c>
      <c r="S166" s="475"/>
      <c r="T166" s="475"/>
    </row>
    <row r="167" spans="1:33" ht="10.050000000000001" customHeight="1" x14ac:dyDescent="0.2">
      <c r="A167" t="s">
        <v>100</v>
      </c>
      <c r="B167" t="s">
        <v>138</v>
      </c>
      <c r="C167" t="s">
        <v>60</v>
      </c>
      <c r="D167" s="58" t="s">
        <v>84</v>
      </c>
      <c r="E167" s="285">
        <v>1593000</v>
      </c>
      <c r="F167" s="18" t="s">
        <v>205</v>
      </c>
      <c r="G167" s="6" t="s">
        <v>157</v>
      </c>
      <c r="H167" s="100" t="s">
        <v>278</v>
      </c>
      <c r="I167" s="224">
        <v>45807</v>
      </c>
      <c r="J167" t="s">
        <v>17</v>
      </c>
      <c r="K167" s="3">
        <v>45807</v>
      </c>
      <c r="L167" s="18" t="s">
        <v>10</v>
      </c>
      <c r="M167" s="6">
        <v>307</v>
      </c>
      <c r="N167" s="3">
        <f>IFERROR(INDEX(Tableau6[],MATCH(Tableau3[[#This Row],[FACTURE]],Tableau6[NUM DE FACTURE],0),4),"")</f>
        <v>307</v>
      </c>
      <c r="O167" t="str">
        <f>IF(Tableau3[[#This Row],[CLIENTS]]="","",CONCATENATE(Tableau3[[#This Row],[MODE ]]," ",Tableau3[[#This Row],[ETS PAYEUR]]," ","F/",Tableau3[[#This Row],[FACTURE]]))</f>
        <v>CHEQUE BGFIBANK F/307</v>
      </c>
      <c r="Q167">
        <f>+ROW()-ROW(Tableau3[[#Headers],[N° LIGNE_RF]])</f>
        <v>164</v>
      </c>
      <c r="R167" s="6">
        <f>IF(Tableau3[[#This Row],[REFERENCE ]]="","",MATCH(Tableau3[[#This Row],[REFERENCE ]],Tableau3[[REFERENCE ]],0))</f>
        <v>164</v>
      </c>
      <c r="S167" s="70"/>
      <c r="T167" s="70"/>
      <c r="Y167"/>
      <c r="AA167"/>
      <c r="AF167"/>
      <c r="AG167"/>
    </row>
    <row r="168" spans="1:33" ht="10.050000000000001" customHeight="1" x14ac:dyDescent="0.2">
      <c r="A168" t="s">
        <v>100</v>
      </c>
      <c r="B168" t="s">
        <v>138</v>
      </c>
      <c r="C168" t="s">
        <v>60</v>
      </c>
      <c r="D168" s="58" t="s">
        <v>84</v>
      </c>
      <c r="E168" s="285">
        <v>376443</v>
      </c>
      <c r="F168" s="18" t="s">
        <v>200</v>
      </c>
      <c r="G168" s="6" t="s">
        <v>157</v>
      </c>
      <c r="H168" s="100" t="s">
        <v>278</v>
      </c>
      <c r="I168" s="224">
        <v>45807</v>
      </c>
      <c r="J168" t="s">
        <v>17</v>
      </c>
      <c r="K168" s="3">
        <v>45807</v>
      </c>
      <c r="L168" s="18" t="s">
        <v>10</v>
      </c>
      <c r="M168" s="6">
        <v>299</v>
      </c>
      <c r="N168" s="3">
        <f>IFERROR(INDEX(Tableau6[],MATCH(Tableau3[[#This Row],[FACTURE]],Tableau6[NUM DE FACTURE],0),4),"")</f>
        <v>299</v>
      </c>
      <c r="O168" t="str">
        <f>IF(Tableau3[[#This Row],[CLIENTS]]="","",CONCATENATE(Tableau3[[#This Row],[MODE ]]," ",Tableau3[[#This Row],[ETS PAYEUR]]," ","F/",Tableau3[[#This Row],[FACTURE]]))</f>
        <v>CHEQUE BGFIBANK F/299</v>
      </c>
      <c r="Q168">
        <f>+ROW()-ROW(Tableau3[[#Headers],[N° LIGNE_RF]])</f>
        <v>165</v>
      </c>
      <c r="R168" s="6">
        <f>IF(Tableau3[[#This Row],[REFERENCE ]]="","",MATCH(Tableau3[[#This Row],[REFERENCE ]],Tableau3[[REFERENCE ]],0))</f>
        <v>164</v>
      </c>
      <c r="S168" s="70"/>
      <c r="T168" s="70"/>
      <c r="Y168"/>
      <c r="AA168"/>
      <c r="AF168"/>
      <c r="AG168"/>
    </row>
    <row r="169" spans="1:33" ht="10.050000000000001" customHeight="1" x14ac:dyDescent="0.2">
      <c r="A169" t="s">
        <v>100</v>
      </c>
      <c r="B169" t="s">
        <v>138</v>
      </c>
      <c r="C169" t="s">
        <v>60</v>
      </c>
      <c r="D169" s="58" t="s">
        <v>84</v>
      </c>
      <c r="E169" s="285">
        <v>4306500</v>
      </c>
      <c r="F169" s="18" t="s">
        <v>165</v>
      </c>
      <c r="G169" s="6" t="s">
        <v>157</v>
      </c>
      <c r="H169" s="100" t="s">
        <v>278</v>
      </c>
      <c r="I169" s="224">
        <v>45807</v>
      </c>
      <c r="J169" t="s">
        <v>17</v>
      </c>
      <c r="K169" s="3">
        <v>45807</v>
      </c>
      <c r="L169" s="18" t="s">
        <v>10</v>
      </c>
      <c r="M169" s="6">
        <v>310</v>
      </c>
      <c r="N169" s="3">
        <f>IFERROR(INDEX(Tableau6[],MATCH(Tableau3[[#This Row],[FACTURE]],Tableau6[NUM DE FACTURE],0),4),"")</f>
        <v>310</v>
      </c>
      <c r="O169" t="str">
        <f>IF(Tableau3[[#This Row],[CLIENTS]]="","",CONCATENATE(Tableau3[[#This Row],[MODE ]]," ",Tableau3[[#This Row],[ETS PAYEUR]]," ","F/",Tableau3[[#This Row],[FACTURE]]))</f>
        <v>CHEQUE BGFIBANK F/310</v>
      </c>
      <c r="Q169">
        <f>+ROW()-ROW(Tableau3[[#Headers],[N° LIGNE_RF]])</f>
        <v>166</v>
      </c>
      <c r="R169" s="6">
        <f>IF(Tableau3[[#This Row],[REFERENCE ]]="","",MATCH(Tableau3[[#This Row],[REFERENCE ]],Tableau3[[REFERENCE ]],0))</f>
        <v>164</v>
      </c>
      <c r="S169" s="70"/>
      <c r="T169" s="70"/>
      <c r="Y169"/>
      <c r="AA169"/>
      <c r="AF169"/>
      <c r="AG169"/>
    </row>
    <row r="170" spans="1:33" ht="10.050000000000001" customHeight="1" x14ac:dyDescent="0.2">
      <c r="A170" t="s">
        <v>100</v>
      </c>
      <c r="B170" t="s">
        <v>138</v>
      </c>
      <c r="C170" t="s">
        <v>60</v>
      </c>
      <c r="D170" s="58" t="s">
        <v>84</v>
      </c>
      <c r="E170" s="285">
        <v>212400</v>
      </c>
      <c r="F170" s="18" t="s">
        <v>199</v>
      </c>
      <c r="G170" s="6" t="s">
        <v>157</v>
      </c>
      <c r="H170" s="100" t="s">
        <v>278</v>
      </c>
      <c r="I170" s="224">
        <v>45807</v>
      </c>
      <c r="J170" t="s">
        <v>17</v>
      </c>
      <c r="K170" s="3">
        <v>45807</v>
      </c>
      <c r="L170" s="18" t="s">
        <v>10</v>
      </c>
      <c r="M170" s="6">
        <v>263</v>
      </c>
      <c r="N170" s="3">
        <f>IFERROR(INDEX(Tableau6[],MATCH(Tableau3[[#This Row],[FACTURE]],Tableau6[NUM DE FACTURE],0),4),"")</f>
        <v>263</v>
      </c>
      <c r="O170" t="str">
        <f>IF(Tableau3[[#This Row],[CLIENTS]]="","",CONCATENATE(Tableau3[[#This Row],[MODE ]]," ",Tableau3[[#This Row],[ETS PAYEUR]]," ","F/",Tableau3[[#This Row],[FACTURE]]))</f>
        <v>CHEQUE BGFIBANK F/263</v>
      </c>
      <c r="Q170">
        <f>+ROW()-ROW(Tableau3[[#Headers],[N° LIGNE_RF]])</f>
        <v>167</v>
      </c>
      <c r="R170" s="6">
        <f>IF(Tableau3[[#This Row],[REFERENCE ]]="","",MATCH(Tableau3[[#This Row],[REFERENCE ]],Tableau3[[REFERENCE ]],0))</f>
        <v>164</v>
      </c>
      <c r="S170" s="70"/>
      <c r="T170" s="70"/>
      <c r="Y170"/>
      <c r="AA170"/>
      <c r="AF170"/>
      <c r="AG170"/>
    </row>
    <row r="171" spans="1:33" ht="10.050000000000001" customHeight="1" x14ac:dyDescent="0.2">
      <c r="A171" t="s">
        <v>100</v>
      </c>
      <c r="B171" t="s">
        <v>138</v>
      </c>
      <c r="C171" t="s">
        <v>60</v>
      </c>
      <c r="D171" s="58" t="s">
        <v>84</v>
      </c>
      <c r="E171" s="285">
        <v>177000</v>
      </c>
      <c r="F171" s="18" t="s">
        <v>331</v>
      </c>
      <c r="G171" s="6" t="s">
        <v>157</v>
      </c>
      <c r="H171" s="100" t="s">
        <v>278</v>
      </c>
      <c r="I171" s="224">
        <v>45807</v>
      </c>
      <c r="J171" t="s">
        <v>17</v>
      </c>
      <c r="K171" s="3">
        <v>45807</v>
      </c>
      <c r="L171" s="18" t="s">
        <v>10</v>
      </c>
      <c r="M171" s="6">
        <v>339</v>
      </c>
      <c r="N171" s="3" t="str">
        <f>IFERROR(INDEX(Tableau6[],MATCH(Tableau3[[#This Row],[FACTURE]],Tableau6[NUM DE FACTURE],0),4),"")</f>
        <v/>
      </c>
      <c r="O171" t="str">
        <f>IF(Tableau3[[#This Row],[CLIENTS]]="","",CONCATENATE(Tableau3[[#This Row],[MODE ]]," ",Tableau3[[#This Row],[ETS PAYEUR]]," ","F/",Tableau3[[#This Row],[FACTURE]]))</f>
        <v>CHEQUE BGFIBANK F/339</v>
      </c>
      <c r="Q171">
        <f>+ROW()-ROW(Tableau3[[#Headers],[N° LIGNE_RF]])</f>
        <v>168</v>
      </c>
      <c r="R171" s="6">
        <f>IF(Tableau3[[#This Row],[REFERENCE ]]="","",MATCH(Tableau3[[#This Row],[REFERENCE ]],Tableau3[[REFERENCE ]],0))</f>
        <v>164</v>
      </c>
      <c r="S171" s="70"/>
      <c r="T171" s="70"/>
      <c r="Y171"/>
      <c r="AA171"/>
      <c r="AF171"/>
      <c r="AG171"/>
    </row>
    <row r="172" spans="1:33" ht="10.050000000000001" customHeight="1" x14ac:dyDescent="0.2">
      <c r="A172" t="s">
        <v>100</v>
      </c>
      <c r="B172" t="s">
        <v>138</v>
      </c>
      <c r="C172" t="s">
        <v>60</v>
      </c>
      <c r="D172" s="58" t="s">
        <v>84</v>
      </c>
      <c r="E172" s="285">
        <v>295000</v>
      </c>
      <c r="F172" s="18" t="s">
        <v>333</v>
      </c>
      <c r="G172" s="6" t="s">
        <v>157</v>
      </c>
      <c r="H172" s="100" t="s">
        <v>278</v>
      </c>
      <c r="I172" s="224">
        <v>45807</v>
      </c>
      <c r="J172" t="s">
        <v>17</v>
      </c>
      <c r="K172" s="3">
        <v>45807</v>
      </c>
      <c r="L172" s="18" t="s">
        <v>10</v>
      </c>
      <c r="M172" s="6">
        <v>340</v>
      </c>
      <c r="N172" s="3">
        <f>IFERROR(INDEX(Tableau6[],MATCH(Tableau3[[#This Row],[FACTURE]],Tableau6[NUM DE FACTURE],0),4),"")</f>
        <v>340</v>
      </c>
      <c r="O172" t="str">
        <f>IF(Tableau3[[#This Row],[CLIENTS]]="","",CONCATENATE(Tableau3[[#This Row],[MODE ]]," ",Tableau3[[#This Row],[ETS PAYEUR]]," ","F/",Tableau3[[#This Row],[FACTURE]]))</f>
        <v>CHEQUE BGFIBANK F/340</v>
      </c>
      <c r="Q172">
        <f>+ROW()-ROW(Tableau3[[#Headers],[N° LIGNE_RF]])</f>
        <v>169</v>
      </c>
      <c r="R172" s="6">
        <f>IF(Tableau3[[#This Row],[REFERENCE ]]="","",MATCH(Tableau3[[#This Row],[REFERENCE ]],Tableau3[[REFERENCE ]],0))</f>
        <v>164</v>
      </c>
      <c r="S172" s="70"/>
      <c r="T172" s="70"/>
      <c r="Y172"/>
      <c r="AA172"/>
      <c r="AF172"/>
      <c r="AG172"/>
    </row>
    <row r="173" spans="1:33" ht="10.050000000000001" customHeight="1" x14ac:dyDescent="0.2">
      <c r="A173" t="s">
        <v>100</v>
      </c>
      <c r="B173" t="s">
        <v>138</v>
      </c>
      <c r="C173" t="s">
        <v>60</v>
      </c>
      <c r="D173" s="58" t="s">
        <v>84</v>
      </c>
      <c r="E173" s="285">
        <v>20089500</v>
      </c>
      <c r="F173" s="18" t="s">
        <v>184</v>
      </c>
      <c r="G173" s="6" t="s">
        <v>157</v>
      </c>
      <c r="H173" s="100" t="s">
        <v>278</v>
      </c>
      <c r="I173" s="224">
        <v>45807</v>
      </c>
      <c r="J173" t="s">
        <v>17</v>
      </c>
      <c r="K173" s="3">
        <v>45807</v>
      </c>
      <c r="L173" s="18" t="s">
        <v>10</v>
      </c>
      <c r="M173" s="6">
        <v>344</v>
      </c>
      <c r="N173" s="3">
        <f>IFERROR(INDEX(Tableau6[],MATCH(Tableau3[[#This Row],[FACTURE]],Tableau6[NUM DE FACTURE],0),4),"")</f>
        <v>344</v>
      </c>
      <c r="O173" t="str">
        <f>IF(Tableau3[[#This Row],[CLIENTS]]="","",CONCATENATE(Tableau3[[#This Row],[MODE ]]," ",Tableau3[[#This Row],[ETS PAYEUR]]," ","F/",Tableau3[[#This Row],[FACTURE]]))</f>
        <v>CHEQUE BGFIBANK F/344</v>
      </c>
      <c r="Q173">
        <f>+ROW()-ROW(Tableau3[[#Headers],[N° LIGNE_RF]])</f>
        <v>170</v>
      </c>
      <c r="R173" s="6">
        <f>IF(Tableau3[[#This Row],[REFERENCE ]]="","",MATCH(Tableau3[[#This Row],[REFERENCE ]],Tableau3[[REFERENCE ]],0))</f>
        <v>164</v>
      </c>
      <c r="S173" s="70"/>
      <c r="T173" s="70"/>
      <c r="Y173"/>
      <c r="AA173"/>
      <c r="AF173"/>
      <c r="AG173"/>
    </row>
    <row r="174" spans="1:33" s="137" customFormat="1" ht="10.050000000000001" customHeight="1" x14ac:dyDescent="0.2">
      <c r="A174" t="s">
        <v>100</v>
      </c>
      <c r="B174" t="s">
        <v>138</v>
      </c>
      <c r="C174" t="s">
        <v>60</v>
      </c>
      <c r="D174" s="58" t="s">
        <v>84</v>
      </c>
      <c r="E174" s="285">
        <v>778800</v>
      </c>
      <c r="F174" s="18" t="s">
        <v>199</v>
      </c>
      <c r="G174" s="6" t="s">
        <v>157</v>
      </c>
      <c r="H174" s="100" t="s">
        <v>278</v>
      </c>
      <c r="I174" s="224">
        <v>45807</v>
      </c>
      <c r="J174" t="s">
        <v>17</v>
      </c>
      <c r="K174" s="3">
        <v>45807</v>
      </c>
      <c r="L174" s="18" t="s">
        <v>10</v>
      </c>
      <c r="M174" s="6">
        <v>341</v>
      </c>
      <c r="N174" s="3">
        <f>IFERROR(INDEX(Tableau6[],MATCH(Tableau3[[#This Row],[FACTURE]],Tableau6[NUM DE FACTURE],0),4),"")</f>
        <v>341</v>
      </c>
      <c r="O174" t="str">
        <f>IF(Tableau3[[#This Row],[CLIENTS]]="","",CONCATENATE(Tableau3[[#This Row],[MODE ]]," ",Tableau3[[#This Row],[ETS PAYEUR]]," ","F/",Tableau3[[#This Row],[FACTURE]]))</f>
        <v>CHEQUE BGFIBANK F/341</v>
      </c>
      <c r="P174"/>
      <c r="Q174">
        <f>+ROW()-ROW(Tableau3[[#Headers],[N° LIGNE_RF]])</f>
        <v>171</v>
      </c>
      <c r="R174" s="6">
        <f>IF(Tableau3[[#This Row],[REFERENCE ]]="","",MATCH(Tableau3[[#This Row],[REFERENCE ]],Tableau3[[REFERENCE ]],0))</f>
        <v>164</v>
      </c>
      <c r="S174" s="475"/>
      <c r="T174" s="475"/>
    </row>
    <row r="175" spans="1:33" s="137" customFormat="1" ht="10.050000000000001" customHeight="1" x14ac:dyDescent="0.2">
      <c r="A175" t="s">
        <v>100</v>
      </c>
      <c r="B175" t="s">
        <v>138</v>
      </c>
      <c r="C175" t="s">
        <v>60</v>
      </c>
      <c r="D175" s="58" t="s">
        <v>84</v>
      </c>
      <c r="E175" s="285">
        <v>2548800</v>
      </c>
      <c r="F175" s="18" t="s">
        <v>176</v>
      </c>
      <c r="G175" s="6" t="s">
        <v>157</v>
      </c>
      <c r="H175" s="100" t="s">
        <v>278</v>
      </c>
      <c r="I175" s="224">
        <v>45807</v>
      </c>
      <c r="J175" t="s">
        <v>17</v>
      </c>
      <c r="K175" s="3">
        <v>45807</v>
      </c>
      <c r="L175" s="18" t="s">
        <v>10</v>
      </c>
      <c r="M175" s="6">
        <v>342</v>
      </c>
      <c r="N175" s="3">
        <f>IFERROR(INDEX(Tableau6[],MATCH(Tableau3[[#This Row],[FACTURE]],Tableau6[NUM DE FACTURE],0),4),"")</f>
        <v>342</v>
      </c>
      <c r="O175" t="str">
        <f>IF(Tableau3[[#This Row],[CLIENTS]]="","",CONCATENATE(Tableau3[[#This Row],[MODE ]]," ",Tableau3[[#This Row],[ETS PAYEUR]]," ","F/",Tableau3[[#This Row],[FACTURE]]))</f>
        <v>CHEQUE BGFIBANK F/342</v>
      </c>
      <c r="P175"/>
      <c r="Q175">
        <f>+ROW()-ROW(Tableau3[[#Headers],[N° LIGNE_RF]])</f>
        <v>172</v>
      </c>
      <c r="R175" s="6">
        <f>IF(Tableau3[[#This Row],[REFERENCE ]]="","",MATCH(Tableau3[[#This Row],[REFERENCE ]],Tableau3[[REFERENCE ]],0))</f>
        <v>164</v>
      </c>
      <c r="S175" s="475"/>
      <c r="T175" s="475"/>
    </row>
    <row r="176" spans="1:33" s="137" customFormat="1" ht="10.050000000000001" customHeight="1" x14ac:dyDescent="0.2">
      <c r="A176" t="s">
        <v>100</v>
      </c>
      <c r="B176" t="s">
        <v>138</v>
      </c>
      <c r="C176" t="s">
        <v>60</v>
      </c>
      <c r="D176" s="58" t="s">
        <v>84</v>
      </c>
      <c r="E176" s="285">
        <v>295000</v>
      </c>
      <c r="F176" s="18" t="s">
        <v>332</v>
      </c>
      <c r="G176" s="6" t="s">
        <v>157</v>
      </c>
      <c r="H176" s="100" t="s">
        <v>278</v>
      </c>
      <c r="I176" s="224">
        <v>45807</v>
      </c>
      <c r="J176" t="s">
        <v>17</v>
      </c>
      <c r="K176" s="3">
        <v>45807</v>
      </c>
      <c r="L176" s="18" t="s">
        <v>10</v>
      </c>
      <c r="M176" s="6">
        <v>346</v>
      </c>
      <c r="N176" s="3">
        <f>IFERROR(INDEX(Tableau6[],MATCH(Tableau3[[#This Row],[FACTURE]],Tableau6[NUM DE FACTURE],0),4),"")</f>
        <v>346</v>
      </c>
      <c r="O176" t="str">
        <f>IF(Tableau3[[#This Row],[CLIENTS]]="","",CONCATENATE(Tableau3[[#This Row],[MODE ]]," ",Tableau3[[#This Row],[ETS PAYEUR]]," ","F/",Tableau3[[#This Row],[FACTURE]]))</f>
        <v>CHEQUE BGFIBANK F/346</v>
      </c>
      <c r="P176"/>
      <c r="Q176">
        <f>+ROW()-ROW(Tableau3[[#Headers],[N° LIGNE_RF]])</f>
        <v>173</v>
      </c>
      <c r="R176" s="6">
        <f>IF(Tableau3[[#This Row],[REFERENCE ]]="","",MATCH(Tableau3[[#This Row],[REFERENCE ]],Tableau3[[REFERENCE ]],0))</f>
        <v>164</v>
      </c>
      <c r="S176" s="475"/>
      <c r="T176" s="475"/>
    </row>
    <row r="177" spans="1:33" s="137" customFormat="1" ht="10.050000000000001" customHeight="1" x14ac:dyDescent="0.2">
      <c r="A177" t="s">
        <v>100</v>
      </c>
      <c r="B177" t="s">
        <v>138</v>
      </c>
      <c r="C177" t="s">
        <v>60</v>
      </c>
      <c r="D177" s="58" t="s">
        <v>84</v>
      </c>
      <c r="E177" s="285">
        <v>1239000</v>
      </c>
      <c r="F177" s="18" t="s">
        <v>169</v>
      </c>
      <c r="G177" s="6" t="s">
        <v>157</v>
      </c>
      <c r="H177" s="100" t="s">
        <v>278</v>
      </c>
      <c r="I177" s="224">
        <v>45807</v>
      </c>
      <c r="J177" t="s">
        <v>17</v>
      </c>
      <c r="K177" s="3">
        <v>45807</v>
      </c>
      <c r="L177" s="18" t="s">
        <v>10</v>
      </c>
      <c r="M177" s="6">
        <v>348</v>
      </c>
      <c r="N177" s="3">
        <f>IFERROR(INDEX(Tableau6[],MATCH(Tableau3[[#This Row],[FACTURE]],Tableau6[NUM DE FACTURE],0),4),"")</f>
        <v>348</v>
      </c>
      <c r="O177" t="str">
        <f>IF(Tableau3[[#This Row],[CLIENTS]]="","",CONCATENATE(Tableau3[[#This Row],[MODE ]]," ",Tableau3[[#This Row],[ETS PAYEUR]]," ","F/",Tableau3[[#This Row],[FACTURE]]))</f>
        <v>CHEQUE BGFIBANK F/348</v>
      </c>
      <c r="P177"/>
      <c r="Q177">
        <f>+ROW()-ROW(Tableau3[[#Headers],[N° LIGNE_RF]])</f>
        <v>174</v>
      </c>
      <c r="R177" s="6">
        <f>IF(Tableau3[[#This Row],[REFERENCE ]]="","",MATCH(Tableau3[[#This Row],[REFERENCE ]],Tableau3[[REFERENCE ]],0))</f>
        <v>164</v>
      </c>
      <c r="S177" s="475"/>
      <c r="T177" s="475"/>
    </row>
    <row r="178" spans="1:33" s="137" customFormat="1" ht="10.050000000000001" customHeight="1" x14ac:dyDescent="0.2">
      <c r="A178" t="s">
        <v>100</v>
      </c>
      <c r="B178" t="s">
        <v>138</v>
      </c>
      <c r="C178" t="s">
        <v>60</v>
      </c>
      <c r="D178" s="58" t="s">
        <v>84</v>
      </c>
      <c r="E178" s="285">
        <v>1168200</v>
      </c>
      <c r="F178" s="18" t="s">
        <v>161</v>
      </c>
      <c r="G178" s="6" t="s">
        <v>157</v>
      </c>
      <c r="H178" s="100" t="s">
        <v>278</v>
      </c>
      <c r="I178" s="224">
        <v>45807</v>
      </c>
      <c r="J178" t="s">
        <v>17</v>
      </c>
      <c r="K178" s="3">
        <v>45807</v>
      </c>
      <c r="L178" s="18" t="s">
        <v>10</v>
      </c>
      <c r="M178" s="6">
        <v>349</v>
      </c>
      <c r="N178" s="3">
        <f>IFERROR(INDEX(Tableau6[],MATCH(Tableau3[[#This Row],[FACTURE]],Tableau6[NUM DE FACTURE],0),4),"")</f>
        <v>349</v>
      </c>
      <c r="O178" t="str">
        <f>IF(Tableau3[[#This Row],[CLIENTS]]="","",CONCATENATE(Tableau3[[#This Row],[MODE ]]," ",Tableau3[[#This Row],[ETS PAYEUR]]," ","F/",Tableau3[[#This Row],[FACTURE]]))</f>
        <v>CHEQUE BGFIBANK F/349</v>
      </c>
      <c r="P178"/>
      <c r="Q178">
        <f>+ROW()-ROW(Tableau3[[#Headers],[N° LIGNE_RF]])</f>
        <v>175</v>
      </c>
      <c r="R178" s="6">
        <f>IF(Tableau3[[#This Row],[REFERENCE ]]="","",MATCH(Tableau3[[#This Row],[REFERENCE ]],Tableau3[[REFERENCE ]],0))</f>
        <v>164</v>
      </c>
      <c r="S178" s="475"/>
      <c r="T178" s="475"/>
    </row>
    <row r="179" spans="1:33" s="137" customFormat="1" ht="10.050000000000001" customHeight="1" x14ac:dyDescent="0.2">
      <c r="A179" t="s">
        <v>100</v>
      </c>
      <c r="B179" t="s">
        <v>138</v>
      </c>
      <c r="C179" t="s">
        <v>60</v>
      </c>
      <c r="D179" s="58" t="s">
        <v>84</v>
      </c>
      <c r="E179" s="285">
        <v>375000</v>
      </c>
      <c r="F179" s="18" t="s">
        <v>334</v>
      </c>
      <c r="G179" s="6" t="s">
        <v>157</v>
      </c>
      <c r="H179" s="100" t="s">
        <v>278</v>
      </c>
      <c r="I179" s="224">
        <v>45807</v>
      </c>
      <c r="J179" t="s">
        <v>17</v>
      </c>
      <c r="K179" s="3">
        <v>45807</v>
      </c>
      <c r="L179" s="18" t="s">
        <v>10</v>
      </c>
      <c r="M179" s="6">
        <v>356</v>
      </c>
      <c r="N179" s="3">
        <f>IFERROR(INDEX(Tableau6[],MATCH(Tableau3[[#This Row],[FACTURE]],Tableau6[NUM DE FACTURE],0),4),"")</f>
        <v>356</v>
      </c>
      <c r="O179" t="str">
        <f>IF(Tableau3[[#This Row],[CLIENTS]]="","",CONCATENATE(Tableau3[[#This Row],[MODE ]]," ",Tableau3[[#This Row],[ETS PAYEUR]]," ","F/",Tableau3[[#This Row],[FACTURE]]))</f>
        <v>CHEQUE BGFIBANK F/356</v>
      </c>
      <c r="P179"/>
      <c r="Q179">
        <f>+ROW()-ROW(Tableau3[[#Headers],[N° LIGNE_RF]])</f>
        <v>176</v>
      </c>
      <c r="R179" s="6">
        <f>IF(Tableau3[[#This Row],[REFERENCE ]]="","",MATCH(Tableau3[[#This Row],[REFERENCE ]],Tableau3[[REFERENCE ]],0))</f>
        <v>164</v>
      </c>
      <c r="S179" s="475"/>
      <c r="T179" s="475"/>
    </row>
    <row r="180" spans="1:33" ht="10.050000000000001" customHeight="1" x14ac:dyDescent="0.2">
      <c r="A180" t="s">
        <v>100</v>
      </c>
      <c r="B180" t="s">
        <v>138</v>
      </c>
      <c r="C180" t="s">
        <v>60</v>
      </c>
      <c r="D180" s="58" t="s">
        <v>84</v>
      </c>
      <c r="E180" s="285">
        <v>5310000</v>
      </c>
      <c r="F180" s="18" t="s">
        <v>170</v>
      </c>
      <c r="G180" s="6" t="s">
        <v>157</v>
      </c>
      <c r="H180" s="100" t="s">
        <v>278</v>
      </c>
      <c r="I180" s="224">
        <v>45807</v>
      </c>
      <c r="J180" t="s">
        <v>17</v>
      </c>
      <c r="K180" s="3">
        <v>45807</v>
      </c>
      <c r="L180" s="18" t="s">
        <v>10</v>
      </c>
      <c r="M180" s="6">
        <v>354</v>
      </c>
      <c r="N180" s="3">
        <f>IFERROR(INDEX(Tableau6[],MATCH(Tableau3[[#This Row],[FACTURE]],Tableau6[NUM DE FACTURE],0),4),"")</f>
        <v>354</v>
      </c>
      <c r="O180" t="str">
        <f>IF(Tableau3[[#This Row],[CLIENTS]]="","",CONCATENATE(Tableau3[[#This Row],[MODE ]]," ",Tableau3[[#This Row],[ETS PAYEUR]]," ","F/",Tableau3[[#This Row],[FACTURE]]))</f>
        <v>CHEQUE BGFIBANK F/354</v>
      </c>
      <c r="Q180">
        <f>+ROW()-ROW(Tableau3[[#Headers],[N° LIGNE_RF]])</f>
        <v>177</v>
      </c>
      <c r="R180" s="6">
        <f>IF(Tableau3[[#This Row],[REFERENCE ]]="","",MATCH(Tableau3[[#This Row],[REFERENCE ]],Tableau3[[REFERENCE ]],0))</f>
        <v>164</v>
      </c>
      <c r="S180" s="70"/>
      <c r="T180" s="70"/>
      <c r="Y180"/>
      <c r="AA180"/>
      <c r="AF180"/>
      <c r="AG180"/>
    </row>
    <row r="181" spans="1:33" ht="10.050000000000001" customHeight="1" x14ac:dyDescent="0.2">
      <c r="A181" t="s">
        <v>100</v>
      </c>
      <c r="B181" t="s">
        <v>138</v>
      </c>
      <c r="C181" t="s">
        <v>60</v>
      </c>
      <c r="D181" s="58" t="s">
        <v>84</v>
      </c>
      <c r="E181" s="285">
        <v>5900000</v>
      </c>
      <c r="F181" s="18" t="s">
        <v>199</v>
      </c>
      <c r="G181" s="6" t="s">
        <v>157</v>
      </c>
      <c r="H181" s="100" t="s">
        <v>278</v>
      </c>
      <c r="I181" s="224">
        <v>45807</v>
      </c>
      <c r="J181" t="s">
        <v>17</v>
      </c>
      <c r="K181" s="3">
        <v>45807</v>
      </c>
      <c r="L181" s="18" t="s">
        <v>10</v>
      </c>
      <c r="M181" s="6">
        <v>357</v>
      </c>
      <c r="N181" s="3">
        <f>IFERROR(INDEX(Tableau6[],MATCH(Tableau3[[#This Row],[FACTURE]],Tableau6[NUM DE FACTURE],0),4),"")</f>
        <v>357</v>
      </c>
      <c r="O181" t="str">
        <f>IF(Tableau3[[#This Row],[CLIENTS]]="","",CONCATENATE(Tableau3[[#This Row],[MODE ]]," ",Tableau3[[#This Row],[ETS PAYEUR]]," ","F/",Tableau3[[#This Row],[FACTURE]]))</f>
        <v>CHEQUE BGFIBANK F/357</v>
      </c>
      <c r="Q181">
        <f>+ROW()-ROW(Tableau3[[#Headers],[N° LIGNE_RF]])</f>
        <v>178</v>
      </c>
      <c r="R181" s="6">
        <f>IF(Tableau3[[#This Row],[REFERENCE ]]="","",MATCH(Tableau3[[#This Row],[REFERENCE ]],Tableau3[[REFERENCE ]],0))</f>
        <v>164</v>
      </c>
      <c r="S181" s="70"/>
      <c r="T181" s="70"/>
      <c r="Y181"/>
      <c r="AA181"/>
      <c r="AF181"/>
      <c r="AG181"/>
    </row>
    <row r="182" spans="1:33" ht="10.050000000000001" customHeight="1" x14ac:dyDescent="0.2">
      <c r="A182" t="s">
        <v>100</v>
      </c>
      <c r="B182" t="s">
        <v>138</v>
      </c>
      <c r="C182" t="s">
        <v>60</v>
      </c>
      <c r="D182" s="58" t="s">
        <v>84</v>
      </c>
      <c r="E182" s="285">
        <v>9735000</v>
      </c>
      <c r="F182" s="18" t="s">
        <v>199</v>
      </c>
      <c r="G182" s="6" t="s">
        <v>157</v>
      </c>
      <c r="H182" s="100" t="s">
        <v>278</v>
      </c>
      <c r="I182" s="224">
        <v>45807</v>
      </c>
      <c r="J182" t="s">
        <v>17</v>
      </c>
      <c r="K182" s="3">
        <v>45807</v>
      </c>
      <c r="L182" s="18" t="s">
        <v>10</v>
      </c>
      <c r="M182" s="6">
        <v>359</v>
      </c>
      <c r="N182" s="3">
        <f>IFERROR(INDEX(Tableau6[],MATCH(Tableau3[[#This Row],[FACTURE]],Tableau6[NUM DE FACTURE],0),4),"")</f>
        <v>359</v>
      </c>
      <c r="O182" t="str">
        <f>IF(Tableau3[[#This Row],[CLIENTS]]="","",CONCATENATE(Tableau3[[#This Row],[MODE ]]," ",Tableau3[[#This Row],[ETS PAYEUR]]," ","F/",Tableau3[[#This Row],[FACTURE]]))</f>
        <v>CHEQUE BGFIBANK F/359</v>
      </c>
      <c r="Q182">
        <f>+ROW()-ROW(Tableau3[[#Headers],[N° LIGNE_RF]])</f>
        <v>179</v>
      </c>
      <c r="R182" s="6">
        <f>IF(Tableau3[[#This Row],[REFERENCE ]]="","",MATCH(Tableau3[[#This Row],[REFERENCE ]],Tableau3[[REFERENCE ]],0))</f>
        <v>164</v>
      </c>
      <c r="S182" s="70"/>
      <c r="T182" s="70"/>
      <c r="Y182"/>
      <c r="AA182"/>
      <c r="AF182"/>
      <c r="AG182"/>
    </row>
    <row r="183" spans="1:33" s="137" customFormat="1" ht="10.050000000000001" customHeight="1" x14ac:dyDescent="0.2">
      <c r="A183" t="s">
        <v>100</v>
      </c>
      <c r="B183" t="s">
        <v>138</v>
      </c>
      <c r="C183" t="s">
        <v>60</v>
      </c>
      <c r="D183" s="58" t="s">
        <v>84</v>
      </c>
      <c r="E183" s="285">
        <v>5454550</v>
      </c>
      <c r="F183" s="18" t="s">
        <v>200</v>
      </c>
      <c r="G183" s="6" t="s">
        <v>157</v>
      </c>
      <c r="H183" s="100" t="s">
        <v>278</v>
      </c>
      <c r="I183" s="224">
        <v>45807</v>
      </c>
      <c r="J183" t="s">
        <v>17</v>
      </c>
      <c r="K183" s="3">
        <v>45807</v>
      </c>
      <c r="L183" s="18" t="s">
        <v>10</v>
      </c>
      <c r="M183" s="6">
        <v>361</v>
      </c>
      <c r="N183" s="3">
        <f>IFERROR(INDEX(Tableau6[],MATCH(Tableau3[[#This Row],[FACTURE]],Tableau6[NUM DE FACTURE],0),4),"")</f>
        <v>361</v>
      </c>
      <c r="O183" t="str">
        <f>IF(Tableau3[[#This Row],[CLIENTS]]="","",CONCATENATE(Tableau3[[#This Row],[MODE ]]," ",Tableau3[[#This Row],[ETS PAYEUR]]," ","F/",Tableau3[[#This Row],[FACTURE]]))</f>
        <v>CHEQUE BGFIBANK F/361</v>
      </c>
      <c r="P183"/>
      <c r="Q183">
        <f>+ROW()-ROW(Tableau3[[#Headers],[N° LIGNE_RF]])</f>
        <v>180</v>
      </c>
      <c r="R183" s="6">
        <f>IF(Tableau3[[#This Row],[REFERENCE ]]="","",MATCH(Tableau3[[#This Row],[REFERENCE ]],Tableau3[[REFERENCE ]],0))</f>
        <v>164</v>
      </c>
      <c r="S183" s="475"/>
      <c r="T183" s="475"/>
    </row>
    <row r="184" spans="1:33" s="137" customFormat="1" ht="10.050000000000001" customHeight="1" x14ac:dyDescent="0.2">
      <c r="A184" t="s">
        <v>100</v>
      </c>
      <c r="B184" t="s">
        <v>138</v>
      </c>
      <c r="C184" t="s">
        <v>60</v>
      </c>
      <c r="D184" s="58" t="s">
        <v>84</v>
      </c>
      <c r="E184" s="285">
        <v>6041600</v>
      </c>
      <c r="F184" s="18" t="s">
        <v>207</v>
      </c>
      <c r="G184" s="6" t="s">
        <v>157</v>
      </c>
      <c r="H184" s="100" t="s">
        <v>278</v>
      </c>
      <c r="I184" s="224">
        <v>45807</v>
      </c>
      <c r="J184" t="s">
        <v>17</v>
      </c>
      <c r="K184" s="3">
        <v>45807</v>
      </c>
      <c r="L184" s="18" t="s">
        <v>10</v>
      </c>
      <c r="M184" s="6">
        <v>360</v>
      </c>
      <c r="N184" s="3">
        <f>IFERROR(INDEX(Tableau6[],MATCH(Tableau3[[#This Row],[FACTURE]],Tableau6[NUM DE FACTURE],0),4),"")</f>
        <v>360</v>
      </c>
      <c r="O184" t="str">
        <f>IF(Tableau3[[#This Row],[CLIENTS]]="","",CONCATENATE(Tableau3[[#This Row],[MODE ]]," ",Tableau3[[#This Row],[ETS PAYEUR]]," ","F/",Tableau3[[#This Row],[FACTURE]]))</f>
        <v>CHEQUE BGFIBANK F/360</v>
      </c>
      <c r="P184"/>
      <c r="Q184">
        <f>+ROW()-ROW(Tableau3[[#Headers],[N° LIGNE_RF]])</f>
        <v>181</v>
      </c>
      <c r="R184" s="6">
        <f>IF(Tableau3[[#This Row],[REFERENCE ]]="","",MATCH(Tableau3[[#This Row],[REFERENCE ]],Tableau3[[REFERENCE ]],0))</f>
        <v>164</v>
      </c>
      <c r="S184" s="475"/>
      <c r="T184" s="475"/>
    </row>
    <row r="185" spans="1:33" ht="10.050000000000001" customHeight="1" x14ac:dyDescent="0.2">
      <c r="A185" t="s">
        <v>100</v>
      </c>
      <c r="B185" t="s">
        <v>138</v>
      </c>
      <c r="C185" t="s">
        <v>60</v>
      </c>
      <c r="D185" s="58" t="s">
        <v>84</v>
      </c>
      <c r="E185" s="285">
        <v>8024000</v>
      </c>
      <c r="F185" s="18" t="s">
        <v>199</v>
      </c>
      <c r="G185" s="6" t="s">
        <v>157</v>
      </c>
      <c r="H185" s="100" t="s">
        <v>278</v>
      </c>
      <c r="I185" s="224">
        <v>45807</v>
      </c>
      <c r="J185" t="s">
        <v>17</v>
      </c>
      <c r="K185" s="3">
        <v>45807</v>
      </c>
      <c r="L185" s="18" t="s">
        <v>10</v>
      </c>
      <c r="M185" s="6">
        <v>362</v>
      </c>
      <c r="N185" s="3">
        <f>IFERROR(INDEX(Tableau6[],MATCH(Tableau3[[#This Row],[FACTURE]],Tableau6[NUM DE FACTURE],0),4),"")</f>
        <v>362</v>
      </c>
      <c r="O185" t="str">
        <f>IF(Tableau3[[#This Row],[CLIENTS]]="","",CONCATENATE(Tableau3[[#This Row],[MODE ]]," ",Tableau3[[#This Row],[ETS PAYEUR]]," ","F/",Tableau3[[#This Row],[FACTURE]]))</f>
        <v>CHEQUE BGFIBANK F/362</v>
      </c>
      <c r="Q185">
        <f>+ROW()-ROW(Tableau3[[#Headers],[N° LIGNE_RF]])</f>
        <v>182</v>
      </c>
      <c r="R185" s="6">
        <f>IF(Tableau3[[#This Row],[REFERENCE ]]="","",MATCH(Tableau3[[#This Row],[REFERENCE ]],Tableau3[[REFERENCE ]],0))</f>
        <v>164</v>
      </c>
      <c r="S185" s="70"/>
      <c r="T185" s="70"/>
      <c r="Y185"/>
      <c r="AA185"/>
      <c r="AF185"/>
      <c r="AG185"/>
    </row>
    <row r="186" spans="1:33" ht="10.050000000000001" customHeight="1" x14ac:dyDescent="0.2">
      <c r="A186" t="s">
        <v>100</v>
      </c>
      <c r="B186" t="s">
        <v>138</v>
      </c>
      <c r="C186" t="s">
        <v>60</v>
      </c>
      <c r="D186" s="58" t="s">
        <v>84</v>
      </c>
      <c r="E186" s="285">
        <v>5215600</v>
      </c>
      <c r="F186" s="18" t="s">
        <v>167</v>
      </c>
      <c r="G186" s="6" t="s">
        <v>157</v>
      </c>
      <c r="H186" s="100" t="s">
        <v>278</v>
      </c>
      <c r="I186" s="224">
        <v>45807</v>
      </c>
      <c r="J186" t="s">
        <v>17</v>
      </c>
      <c r="K186" s="3">
        <v>45807</v>
      </c>
      <c r="L186" s="18" t="s">
        <v>10</v>
      </c>
      <c r="M186" s="6">
        <v>369</v>
      </c>
      <c r="N186" s="3">
        <f>IFERROR(INDEX(Tableau6[],MATCH(Tableau3[[#This Row],[FACTURE]],Tableau6[NUM DE FACTURE],0),4),"")</f>
        <v>369</v>
      </c>
      <c r="O186" t="str">
        <f>IF(Tableau3[[#This Row],[CLIENTS]]="","",CONCATENATE(Tableau3[[#This Row],[MODE ]]," ",Tableau3[[#This Row],[ETS PAYEUR]]," ","F/",Tableau3[[#This Row],[FACTURE]]))</f>
        <v>CHEQUE BGFIBANK F/369</v>
      </c>
      <c r="Q186">
        <f>+ROW()-ROW(Tableau3[[#Headers],[N° LIGNE_RF]])</f>
        <v>183</v>
      </c>
      <c r="R186" s="6">
        <f>IF(Tableau3[[#This Row],[REFERENCE ]]="","",MATCH(Tableau3[[#This Row],[REFERENCE ]],Tableau3[[REFERENCE ]],0))</f>
        <v>164</v>
      </c>
      <c r="S186" s="70"/>
      <c r="T186" s="70"/>
      <c r="Y186"/>
      <c r="AA186"/>
      <c r="AF186"/>
      <c r="AG186"/>
    </row>
    <row r="187" spans="1:33" ht="10.050000000000001" customHeight="1" x14ac:dyDescent="0.2">
      <c r="A187" t="s">
        <v>100</v>
      </c>
      <c r="B187" t="s">
        <v>138</v>
      </c>
      <c r="C187" t="s">
        <v>60</v>
      </c>
      <c r="D187" s="58" t="s">
        <v>84</v>
      </c>
      <c r="E187" s="285">
        <v>5900000</v>
      </c>
      <c r="F187" s="18" t="s">
        <v>165</v>
      </c>
      <c r="G187" s="6" t="s">
        <v>157</v>
      </c>
      <c r="H187" s="100" t="s">
        <v>278</v>
      </c>
      <c r="I187" s="224">
        <v>45807</v>
      </c>
      <c r="J187" t="s">
        <v>17</v>
      </c>
      <c r="K187" s="3">
        <v>45807</v>
      </c>
      <c r="L187" s="18" t="s">
        <v>10</v>
      </c>
      <c r="M187" s="6">
        <v>368</v>
      </c>
      <c r="N187" s="3">
        <f>IFERROR(INDEX(Tableau6[],MATCH(Tableau3[[#This Row],[FACTURE]],Tableau6[NUM DE FACTURE],0),4),"")</f>
        <v>368</v>
      </c>
      <c r="O187" t="str">
        <f>IF(Tableau3[[#This Row],[CLIENTS]]="","",CONCATENATE(Tableau3[[#This Row],[MODE ]]," ",Tableau3[[#This Row],[ETS PAYEUR]]," ","F/",Tableau3[[#This Row],[FACTURE]]))</f>
        <v>CHEQUE BGFIBANK F/368</v>
      </c>
      <c r="Q187">
        <f>+ROW()-ROW(Tableau3[[#Headers],[N° LIGNE_RF]])</f>
        <v>184</v>
      </c>
      <c r="R187" s="6">
        <f>IF(Tableau3[[#This Row],[REFERENCE ]]="","",MATCH(Tableau3[[#This Row],[REFERENCE ]],Tableau3[[REFERENCE ]],0))</f>
        <v>164</v>
      </c>
      <c r="S187" s="70"/>
      <c r="T187" s="70"/>
      <c r="Y187"/>
      <c r="AA187"/>
      <c r="AF187"/>
      <c r="AG187"/>
    </row>
    <row r="188" spans="1:33" ht="10.050000000000001" customHeight="1" x14ac:dyDescent="0.2">
      <c r="A188" t="s">
        <v>100</v>
      </c>
      <c r="B188" t="s">
        <v>138</v>
      </c>
      <c r="C188" t="s">
        <v>60</v>
      </c>
      <c r="D188" s="58" t="s">
        <v>84</v>
      </c>
      <c r="E188" s="285">
        <v>1593000</v>
      </c>
      <c r="F188" s="18" t="s">
        <v>165</v>
      </c>
      <c r="G188" s="6" t="s">
        <v>157</v>
      </c>
      <c r="H188" s="100" t="s">
        <v>278</v>
      </c>
      <c r="I188" s="224">
        <v>45807</v>
      </c>
      <c r="J188" t="s">
        <v>17</v>
      </c>
      <c r="K188" s="3">
        <v>45807</v>
      </c>
      <c r="L188" s="18" t="s">
        <v>10</v>
      </c>
      <c r="M188" s="6">
        <v>365</v>
      </c>
      <c r="N188" s="3">
        <f>IFERROR(INDEX(Tableau6[],MATCH(Tableau3[[#This Row],[FACTURE]],Tableau6[NUM DE FACTURE],0),4),"")</f>
        <v>365</v>
      </c>
      <c r="O188" t="str">
        <f>IF(Tableau3[[#This Row],[CLIENTS]]="","",CONCATENATE(Tableau3[[#This Row],[MODE ]]," ",Tableau3[[#This Row],[ETS PAYEUR]]," ","F/",Tableau3[[#This Row],[FACTURE]]))</f>
        <v>CHEQUE BGFIBANK F/365</v>
      </c>
      <c r="Q188">
        <f>+ROW()-ROW(Tableau3[[#Headers],[N° LIGNE_RF]])</f>
        <v>185</v>
      </c>
      <c r="R188" s="6">
        <f>IF(Tableau3[[#This Row],[REFERENCE ]]="","",MATCH(Tableau3[[#This Row],[REFERENCE ]],Tableau3[[REFERENCE ]],0))</f>
        <v>164</v>
      </c>
      <c r="S188" s="70"/>
      <c r="T188" s="70"/>
      <c r="Y188"/>
      <c r="AA188"/>
      <c r="AF188"/>
      <c r="AG188"/>
    </row>
    <row r="189" spans="1:33" ht="10.050000000000001" customHeight="1" x14ac:dyDescent="0.2">
      <c r="A189" t="s">
        <v>100</v>
      </c>
      <c r="B189" t="s">
        <v>138</v>
      </c>
      <c r="C189" t="s">
        <v>60</v>
      </c>
      <c r="D189" s="58" t="s">
        <v>84</v>
      </c>
      <c r="E189" s="285">
        <v>5664000</v>
      </c>
      <c r="F189" s="18" t="s">
        <v>165</v>
      </c>
      <c r="G189" s="6" t="s">
        <v>157</v>
      </c>
      <c r="H189" s="100" t="s">
        <v>278</v>
      </c>
      <c r="I189" s="224">
        <v>45807</v>
      </c>
      <c r="J189" t="s">
        <v>17</v>
      </c>
      <c r="K189" s="3">
        <v>45807</v>
      </c>
      <c r="L189" s="18" t="s">
        <v>10</v>
      </c>
      <c r="M189" s="6">
        <v>370</v>
      </c>
      <c r="N189" s="3">
        <f>IFERROR(INDEX(Tableau6[],MATCH(Tableau3[[#This Row],[FACTURE]],Tableau6[NUM DE FACTURE],0),4),"")</f>
        <v>370</v>
      </c>
      <c r="O189" t="str">
        <f>IF(Tableau3[[#This Row],[CLIENTS]]="","",CONCATENATE(Tableau3[[#This Row],[MODE ]]," ",Tableau3[[#This Row],[ETS PAYEUR]]," ","F/",Tableau3[[#This Row],[FACTURE]]))</f>
        <v>CHEQUE BGFIBANK F/370</v>
      </c>
      <c r="Q189">
        <f>+ROW()-ROW(Tableau3[[#Headers],[N° LIGNE_RF]])</f>
        <v>186</v>
      </c>
      <c r="R189" s="6">
        <f>IF(Tableau3[[#This Row],[REFERENCE ]]="","",MATCH(Tableau3[[#This Row],[REFERENCE ]],Tableau3[[REFERENCE ]],0))</f>
        <v>164</v>
      </c>
      <c r="S189" s="70"/>
      <c r="T189" s="70"/>
      <c r="Y189"/>
      <c r="AA189"/>
      <c r="AF189"/>
      <c r="AG189"/>
    </row>
    <row r="190" spans="1:33" ht="10.050000000000001" customHeight="1" x14ac:dyDescent="0.2">
      <c r="A190" t="s">
        <v>100</v>
      </c>
      <c r="B190" t="s">
        <v>138</v>
      </c>
      <c r="C190" t="s">
        <v>60</v>
      </c>
      <c r="D190" s="58" t="s">
        <v>84</v>
      </c>
      <c r="E190" s="285">
        <v>5097600</v>
      </c>
      <c r="F190" s="18" t="s">
        <v>200</v>
      </c>
      <c r="G190" s="6" t="s">
        <v>157</v>
      </c>
      <c r="H190" s="100" t="s">
        <v>278</v>
      </c>
      <c r="I190" s="224">
        <v>45807</v>
      </c>
      <c r="J190" t="s">
        <v>17</v>
      </c>
      <c r="K190" s="3">
        <v>45807</v>
      </c>
      <c r="L190" s="18" t="s">
        <v>10</v>
      </c>
      <c r="M190" s="6">
        <v>367</v>
      </c>
      <c r="N190" s="3">
        <f>IFERROR(INDEX(Tableau6[],MATCH(Tableau3[[#This Row],[FACTURE]],Tableau6[NUM DE FACTURE],0),4),"")</f>
        <v>367</v>
      </c>
      <c r="O190" t="str">
        <f>IF(Tableau3[[#This Row],[CLIENTS]]="","",CONCATENATE(Tableau3[[#This Row],[MODE ]]," ",Tableau3[[#This Row],[ETS PAYEUR]]," ","F/",Tableau3[[#This Row],[FACTURE]]))</f>
        <v>CHEQUE BGFIBANK F/367</v>
      </c>
      <c r="Q190">
        <f>+ROW()-ROW(Tableau3[[#Headers],[N° LIGNE_RF]])</f>
        <v>187</v>
      </c>
      <c r="R190" s="6">
        <f>IF(Tableau3[[#This Row],[REFERENCE ]]="","",MATCH(Tableau3[[#This Row],[REFERENCE ]],Tableau3[[REFERENCE ]],0))</f>
        <v>164</v>
      </c>
      <c r="S190" s="70"/>
      <c r="T190" s="70"/>
      <c r="Y190"/>
      <c r="AA190"/>
      <c r="AF190"/>
      <c r="AG190"/>
    </row>
    <row r="191" spans="1:33" ht="10.050000000000001" customHeight="1" x14ac:dyDescent="0.2">
      <c r="A191" t="s">
        <v>100</v>
      </c>
      <c r="B191" t="s">
        <v>138</v>
      </c>
      <c r="C191" t="s">
        <v>60</v>
      </c>
      <c r="D191" s="58" t="s">
        <v>84</v>
      </c>
      <c r="E191" s="285">
        <v>5310000</v>
      </c>
      <c r="F191" s="18" t="s">
        <v>203</v>
      </c>
      <c r="G191" s="6" t="s">
        <v>157</v>
      </c>
      <c r="H191" s="100" t="s">
        <v>278</v>
      </c>
      <c r="I191" s="224">
        <v>45807</v>
      </c>
      <c r="J191" t="s">
        <v>17</v>
      </c>
      <c r="K191" s="3">
        <v>45807</v>
      </c>
      <c r="L191" s="18" t="s">
        <v>10</v>
      </c>
      <c r="M191" s="6">
        <v>366</v>
      </c>
      <c r="N191" s="3">
        <f>IFERROR(INDEX(Tableau6[],MATCH(Tableau3[[#This Row],[FACTURE]],Tableau6[NUM DE FACTURE],0),4),"")</f>
        <v>366</v>
      </c>
      <c r="O191" t="str">
        <f>IF(Tableau3[[#This Row],[CLIENTS]]="","",CONCATENATE(Tableau3[[#This Row],[MODE ]]," ",Tableau3[[#This Row],[ETS PAYEUR]]," ","F/",Tableau3[[#This Row],[FACTURE]]))</f>
        <v>CHEQUE BGFIBANK F/366</v>
      </c>
      <c r="Q191">
        <f>+ROW()-ROW(Tableau3[[#Headers],[N° LIGNE_RF]])</f>
        <v>188</v>
      </c>
      <c r="R191" s="6">
        <f>IF(Tableau3[[#This Row],[REFERENCE ]]="","",MATCH(Tableau3[[#This Row],[REFERENCE ]],Tableau3[[REFERENCE ]],0))</f>
        <v>164</v>
      </c>
      <c r="S191" s="70"/>
      <c r="T191" s="70"/>
      <c r="Y191"/>
      <c r="AA191"/>
      <c r="AF191"/>
      <c r="AG191"/>
    </row>
    <row r="192" spans="1:33" ht="10.050000000000001" customHeight="1" x14ac:dyDescent="0.2">
      <c r="A192" t="s">
        <v>100</v>
      </c>
      <c r="B192" t="s">
        <v>138</v>
      </c>
      <c r="C192" t="s">
        <v>60</v>
      </c>
      <c r="D192" s="58" t="s">
        <v>84</v>
      </c>
      <c r="E192" s="285">
        <v>3504600</v>
      </c>
      <c r="F192" s="18" t="s">
        <v>199</v>
      </c>
      <c r="G192" s="6" t="s">
        <v>157</v>
      </c>
      <c r="H192" s="100" t="s">
        <v>278</v>
      </c>
      <c r="I192" s="224">
        <v>45807</v>
      </c>
      <c r="J192" t="s">
        <v>17</v>
      </c>
      <c r="K192" s="3">
        <v>45807</v>
      </c>
      <c r="L192" s="18" t="s">
        <v>10</v>
      </c>
      <c r="M192" s="6">
        <v>374</v>
      </c>
      <c r="N192" s="3">
        <f>IFERROR(INDEX(Tableau6[],MATCH(Tableau3[[#This Row],[FACTURE]],Tableau6[NUM DE FACTURE],0),4),"")</f>
        <v>374</v>
      </c>
      <c r="O192" t="str">
        <f>IF(Tableau3[[#This Row],[CLIENTS]]="","",CONCATENATE(Tableau3[[#This Row],[MODE ]]," ",Tableau3[[#This Row],[ETS PAYEUR]]," ","F/",Tableau3[[#This Row],[FACTURE]]))</f>
        <v>CHEQUE BGFIBANK F/374</v>
      </c>
      <c r="Q192">
        <f>+ROW()-ROW(Tableau3[[#Headers],[N° LIGNE_RF]])</f>
        <v>189</v>
      </c>
      <c r="R192" s="6">
        <f>IF(Tableau3[[#This Row],[REFERENCE ]]="","",MATCH(Tableau3[[#This Row],[REFERENCE ]],Tableau3[[REFERENCE ]],0))</f>
        <v>164</v>
      </c>
      <c r="S192" s="70"/>
      <c r="T192" s="70"/>
      <c r="Y192"/>
      <c r="AA192"/>
      <c r="AF192"/>
      <c r="AG192"/>
    </row>
    <row r="193" spans="1:16381" ht="10.050000000000001" customHeight="1" x14ac:dyDescent="0.2">
      <c r="A193" t="s">
        <v>100</v>
      </c>
      <c r="B193" t="s">
        <v>138</v>
      </c>
      <c r="C193" t="s">
        <v>60</v>
      </c>
      <c r="D193" s="58" t="s">
        <v>84</v>
      </c>
      <c r="E193" s="285">
        <v>1593000</v>
      </c>
      <c r="F193" s="18" t="s">
        <v>199</v>
      </c>
      <c r="G193" s="6" t="s">
        <v>157</v>
      </c>
      <c r="H193" s="100" t="s">
        <v>278</v>
      </c>
      <c r="I193" s="224">
        <v>45807</v>
      </c>
      <c r="J193" t="s">
        <v>17</v>
      </c>
      <c r="K193" s="3">
        <v>45807</v>
      </c>
      <c r="L193" s="18" t="s">
        <v>10</v>
      </c>
      <c r="M193" s="6">
        <v>375</v>
      </c>
      <c r="N193" s="3">
        <f>IFERROR(INDEX(Tableau6[],MATCH(Tableau3[[#This Row],[FACTURE]],Tableau6[NUM DE FACTURE],0),4),"")</f>
        <v>375</v>
      </c>
      <c r="O193" t="str">
        <f>IF(Tableau3[[#This Row],[CLIENTS]]="","",CONCATENATE(Tableau3[[#This Row],[MODE ]]," ",Tableau3[[#This Row],[ETS PAYEUR]]," ","F/",Tableau3[[#This Row],[FACTURE]]))</f>
        <v>CHEQUE BGFIBANK F/375</v>
      </c>
      <c r="Q193">
        <f>+ROW()-ROW(Tableau3[[#Headers],[N° LIGNE_RF]])</f>
        <v>190</v>
      </c>
      <c r="R193" s="6">
        <f>IF(Tableau3[[#This Row],[REFERENCE ]]="","",MATCH(Tableau3[[#This Row],[REFERENCE ]],Tableau3[[REFERENCE ]],0))</f>
        <v>164</v>
      </c>
      <c r="S193" s="70"/>
      <c r="T193" s="70"/>
      <c r="Y193"/>
      <c r="AA193"/>
      <c r="AF193"/>
      <c r="AG193"/>
    </row>
    <row r="194" spans="1:16381" ht="10.050000000000001" customHeight="1" x14ac:dyDescent="0.2">
      <c r="A194" t="s">
        <v>100</v>
      </c>
      <c r="B194" t="s">
        <v>102</v>
      </c>
      <c r="C194" t="s">
        <v>60</v>
      </c>
      <c r="D194" s="58" t="s">
        <v>84</v>
      </c>
      <c r="E194" s="285">
        <v>24780000</v>
      </c>
      <c r="F194" s="209"/>
      <c r="G194" s="6" t="s">
        <v>157</v>
      </c>
      <c r="H194" s="100" t="s">
        <v>336</v>
      </c>
      <c r="I194" s="224">
        <v>45810</v>
      </c>
      <c r="J194" t="s">
        <v>14</v>
      </c>
      <c r="K194" s="3">
        <v>45811</v>
      </c>
      <c r="L194" s="18" t="s">
        <v>14</v>
      </c>
      <c r="M194" s="6">
        <v>352</v>
      </c>
      <c r="N194" s="3">
        <f>IFERROR(INDEX(Tableau6[],MATCH(Tableau3[[#This Row],[FACTURE]],Tableau6[NUM DE FACTURE],0),4),"")</f>
        <v>352</v>
      </c>
      <c r="O194" t="str">
        <f>IF(Tableau3[[#This Row],[CLIENTS]]="","",CONCATENATE(Tableau3[[#This Row],[MODE ]]," ",Tableau3[[#This Row],[ETS PAYEUR]]," ","F/",Tableau3[[#This Row],[FACTURE]]))</f>
        <v>CHEQUE NSIA F/352</v>
      </c>
      <c r="Q194">
        <f>+ROW()-ROW(Tableau3[[#Headers],[N° LIGNE_RF]])</f>
        <v>191</v>
      </c>
      <c r="R194" s="6">
        <f>IF(Tableau3[[#This Row],[REFERENCE ]]="","",MATCH(Tableau3[[#This Row],[REFERENCE ]],Tableau3[[REFERENCE ]],0))</f>
        <v>191</v>
      </c>
      <c r="S194" s="70"/>
      <c r="T194" s="70"/>
      <c r="Y194"/>
      <c r="AA194"/>
      <c r="AF194"/>
      <c r="AG194"/>
    </row>
    <row r="195" spans="1:16381" s="1" customFormat="1" ht="10.050000000000001" customHeight="1" x14ac:dyDescent="0.2">
      <c r="A195" s="461" t="s">
        <v>100</v>
      </c>
      <c r="B195" s="461" t="s">
        <v>138</v>
      </c>
      <c r="C195" s="461" t="s">
        <v>60</v>
      </c>
      <c r="D195" s="462" t="s">
        <v>84</v>
      </c>
      <c r="E195" s="463">
        <v>8798080</v>
      </c>
      <c r="F195" s="464" t="s">
        <v>169</v>
      </c>
      <c r="G195" s="460" t="s">
        <v>157</v>
      </c>
      <c r="H195" s="465" t="s">
        <v>177</v>
      </c>
      <c r="I195" s="466">
        <v>45818</v>
      </c>
      <c r="J195" s="461" t="s">
        <v>11</v>
      </c>
      <c r="K195" s="461"/>
      <c r="L195" s="464" t="s">
        <v>10</v>
      </c>
      <c r="M195" s="460">
        <v>394</v>
      </c>
      <c r="N195" s="467">
        <f>IFERROR(INDEX(Tableau6[],MATCH(Tableau3[[#This Row],[FACTURE]],Tableau6[NUM DE FACTURE],0),4),"")</f>
        <v>394</v>
      </c>
      <c r="O195" s="461" t="str">
        <f>IF(Tableau3[[#This Row],[CLIENTS]]="","",CONCATENATE(Tableau3[[#This Row],[MODE ]]," ",Tableau3[[#This Row],[ETS PAYEUR]]," ","F/",Tableau3[[#This Row],[FACTURE]]))</f>
        <v>CHEQUE ORABANK F/394</v>
      </c>
      <c r="P195" s="461"/>
      <c r="Q195">
        <f>+ROW()-ROW(Tableau3[[#Headers],[N° LIGNE_RF]])</f>
        <v>192</v>
      </c>
      <c r="R195" s="460">
        <f>IF(Tableau3[[#This Row],[REFERENCE ]]="","",MATCH(Tableau3[[#This Row],[REFERENCE ]],Tableau3[[REFERENCE ]],0))</f>
        <v>192</v>
      </c>
      <c r="S195" s="476"/>
      <c r="T195" s="476"/>
    </row>
    <row r="196" spans="1:16381" s="1" customFormat="1" ht="10.050000000000001" customHeight="1" x14ac:dyDescent="0.2">
      <c r="A196" s="461" t="s">
        <v>100</v>
      </c>
      <c r="B196" s="461" t="s">
        <v>138</v>
      </c>
      <c r="C196" s="461" t="s">
        <v>60</v>
      </c>
      <c r="D196" s="462" t="s">
        <v>84</v>
      </c>
      <c r="E196" s="463">
        <v>1472640</v>
      </c>
      <c r="F196" s="464" t="s">
        <v>165</v>
      </c>
      <c r="G196" s="460" t="s">
        <v>157</v>
      </c>
      <c r="H196" s="465" t="s">
        <v>177</v>
      </c>
      <c r="I196" s="466">
        <v>45818</v>
      </c>
      <c r="J196" s="461" t="s">
        <v>11</v>
      </c>
      <c r="K196" s="461"/>
      <c r="L196" s="464" t="s">
        <v>10</v>
      </c>
      <c r="M196" s="460">
        <v>392</v>
      </c>
      <c r="N196" s="467">
        <f>IFERROR(INDEX(Tableau6[],MATCH(Tableau3[[#This Row],[FACTURE]],Tableau6[NUM DE FACTURE],0),4),"")</f>
        <v>392</v>
      </c>
      <c r="O196" s="461" t="str">
        <f>IF(Tableau3[[#This Row],[CLIENTS]]="","",CONCATENATE(Tableau3[[#This Row],[MODE ]]," ",Tableau3[[#This Row],[ETS PAYEUR]]," ","F/",Tableau3[[#This Row],[FACTURE]]))</f>
        <v>CHEQUE ORABANK F/392</v>
      </c>
      <c r="P196" s="461"/>
      <c r="Q196">
        <f>+ROW()-ROW(Tableau3[[#Headers],[N° LIGNE_RF]])</f>
        <v>193</v>
      </c>
      <c r="R196" s="460">
        <f>IF(Tableau3[[#This Row],[REFERENCE ]]="","",MATCH(Tableau3[[#This Row],[REFERENCE ]],Tableau3[[REFERENCE ]],0))</f>
        <v>192</v>
      </c>
      <c r="S196" s="476"/>
      <c r="T196" s="476"/>
    </row>
    <row r="197" spans="1:16381" s="1" customFormat="1" ht="10.050000000000001" customHeight="1" x14ac:dyDescent="0.2">
      <c r="A197" s="461" t="s">
        <v>100</v>
      </c>
      <c r="B197" s="461" t="s">
        <v>138</v>
      </c>
      <c r="C197" s="461" t="s">
        <v>60</v>
      </c>
      <c r="D197" s="462" t="s">
        <v>84</v>
      </c>
      <c r="E197" s="463">
        <v>3115200</v>
      </c>
      <c r="F197" s="464" t="s">
        <v>165</v>
      </c>
      <c r="G197" s="460" t="s">
        <v>157</v>
      </c>
      <c r="H197" s="465" t="s">
        <v>177</v>
      </c>
      <c r="I197" s="466">
        <v>45818</v>
      </c>
      <c r="J197" s="461" t="s">
        <v>11</v>
      </c>
      <c r="K197" s="461"/>
      <c r="L197" s="464" t="s">
        <v>10</v>
      </c>
      <c r="M197" s="460">
        <v>398</v>
      </c>
      <c r="N197" s="467">
        <f>IFERROR(INDEX(Tableau6[],MATCH(Tableau3[[#This Row],[FACTURE]],Tableau6[NUM DE FACTURE],0),4),"")</f>
        <v>398</v>
      </c>
      <c r="O197" s="461" t="str">
        <f>IF(Tableau3[[#This Row],[CLIENTS]]="","",CONCATENATE(Tableau3[[#This Row],[MODE ]]," ",Tableau3[[#This Row],[ETS PAYEUR]]," ","F/",Tableau3[[#This Row],[FACTURE]]))</f>
        <v>CHEQUE ORABANK F/398</v>
      </c>
      <c r="P197" s="461"/>
      <c r="Q197">
        <f>+ROW()-ROW(Tableau3[[#Headers],[N° LIGNE_RF]])</f>
        <v>194</v>
      </c>
      <c r="R197" s="460">
        <f>IF(Tableau3[[#This Row],[REFERENCE ]]="","",MATCH(Tableau3[[#This Row],[REFERENCE ]],Tableau3[[REFERENCE ]],0))</f>
        <v>192</v>
      </c>
      <c r="S197" s="476"/>
      <c r="T197" s="476"/>
    </row>
    <row r="198" spans="1:16381" s="1" customFormat="1" ht="10.050000000000001" customHeight="1" x14ac:dyDescent="0.2">
      <c r="A198" s="461" t="s">
        <v>100</v>
      </c>
      <c r="B198" s="461" t="s">
        <v>138</v>
      </c>
      <c r="C198" s="461" t="s">
        <v>60</v>
      </c>
      <c r="D198" s="462" t="s">
        <v>84</v>
      </c>
      <c r="E198" s="463">
        <v>9392800</v>
      </c>
      <c r="F198" s="464" t="s">
        <v>166</v>
      </c>
      <c r="G198" s="460" t="s">
        <v>157</v>
      </c>
      <c r="H198" s="465" t="s">
        <v>177</v>
      </c>
      <c r="I198" s="466">
        <v>45818</v>
      </c>
      <c r="J198" s="461" t="s">
        <v>11</v>
      </c>
      <c r="K198" s="461"/>
      <c r="L198" s="464" t="s">
        <v>10</v>
      </c>
      <c r="M198" s="460">
        <v>6</v>
      </c>
      <c r="N198" s="467">
        <f>IFERROR(INDEX(Tableau6[],MATCH(Tableau3[[#This Row],[FACTURE]],Tableau6[NUM DE FACTURE],0),4),"")</f>
        <v>6</v>
      </c>
      <c r="O198" s="461" t="str">
        <f>IF(Tableau3[[#This Row],[CLIENTS]]="","",CONCATENATE(Tableau3[[#This Row],[MODE ]]," ",Tableau3[[#This Row],[ETS PAYEUR]]," ","F/",Tableau3[[#This Row],[FACTURE]]))</f>
        <v>CHEQUE ORABANK F/6</v>
      </c>
      <c r="P198" s="461"/>
      <c r="Q198">
        <f>+ROW()-ROW(Tableau3[[#Headers],[N° LIGNE_RF]])</f>
        <v>195</v>
      </c>
      <c r="R198" s="460">
        <f>IF(Tableau3[[#This Row],[REFERENCE ]]="","",MATCH(Tableau3[[#This Row],[REFERENCE ]],Tableau3[[REFERENCE ]],0))</f>
        <v>192</v>
      </c>
      <c r="S198" s="476"/>
      <c r="T198" s="476"/>
    </row>
    <row r="199" spans="1:16381" s="1" customFormat="1" ht="10.050000000000001" customHeight="1" x14ac:dyDescent="0.2">
      <c r="A199" t="s">
        <v>100</v>
      </c>
      <c r="B199" t="s">
        <v>138</v>
      </c>
      <c r="C199" t="s">
        <v>60</v>
      </c>
      <c r="D199" s="398" t="s">
        <v>84</v>
      </c>
      <c r="E199" s="394">
        <v>5900000</v>
      </c>
      <c r="F199" s="18" t="s">
        <v>165</v>
      </c>
      <c r="G199" s="396" t="s">
        <v>157</v>
      </c>
      <c r="H199" s="100" t="s">
        <v>177</v>
      </c>
      <c r="I199" s="386">
        <v>45818</v>
      </c>
      <c r="J199" s="100" t="s">
        <v>11</v>
      </c>
      <c r="K199" s="3"/>
      <c r="L199" s="18" t="s">
        <v>10</v>
      </c>
      <c r="M199" s="6">
        <v>2</v>
      </c>
      <c r="N199" s="3">
        <f>IFERROR(INDEX(Tableau6[],MATCH(Tableau3[[#This Row],[FACTURE]],Tableau6[NUM DE FACTURE],0),4),"")</f>
        <v>2</v>
      </c>
      <c r="O199" t="str">
        <f>IF(Tableau3[[#This Row],[CLIENTS]]="","",CONCATENATE(Tableau3[[#This Row],[MODE ]]," ",Tableau3[[#This Row],[ETS PAYEUR]]," ","F/",Tableau3[[#This Row],[FACTURE]]))</f>
        <v>CHEQUE ORABANK F/2</v>
      </c>
      <c r="P199"/>
      <c r="Q199" s="6">
        <f>+ROW()-ROW(Tableau3[[#Headers],[N° LIGNE_RF]])</f>
        <v>196</v>
      </c>
      <c r="R199">
        <f>IF(Tableau3[[#This Row],[REFERENCE ]]="","",MATCH(Tableau3[[#This Row],[REFERENCE ]],Tableau3[[REFERENCE ]],0))</f>
        <v>192</v>
      </c>
      <c r="S199"/>
      <c r="T199"/>
      <c r="U199"/>
      <c r="V199" s="70"/>
      <c r="W199"/>
      <c r="X199" s="3"/>
      <c r="Y199"/>
      <c r="Z199"/>
      <c r="AA199"/>
      <c r="AB199"/>
      <c r="AC199" s="70"/>
      <c r="AD199" s="70"/>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c r="IW199"/>
      <c r="IX199"/>
      <c r="IY199"/>
      <c r="IZ199"/>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c r="KI199"/>
      <c r="KJ199"/>
      <c r="KK199"/>
      <c r="KL199"/>
      <c r="KM199"/>
      <c r="KN199"/>
      <c r="KO199"/>
      <c r="KP199"/>
      <c r="KQ199"/>
      <c r="KR199"/>
      <c r="KS199"/>
      <c r="KT199"/>
      <c r="KU199"/>
      <c r="KV199"/>
      <c r="KW199"/>
      <c r="KX199"/>
      <c r="KY199"/>
      <c r="KZ199"/>
      <c r="LA199"/>
      <c r="LB199"/>
      <c r="LC199"/>
      <c r="LD199"/>
      <c r="LE199"/>
      <c r="LF199"/>
      <c r="LG199"/>
      <c r="LH199"/>
      <c r="LI199"/>
      <c r="LJ199"/>
      <c r="LK199"/>
      <c r="LL199"/>
      <c r="LM199"/>
      <c r="LN199"/>
      <c r="LO199"/>
      <c r="LP199"/>
      <c r="LQ199"/>
      <c r="LR199"/>
      <c r="LS199"/>
      <c r="LT199"/>
      <c r="LU199"/>
      <c r="LV199"/>
      <c r="LW199"/>
      <c r="LX199"/>
      <c r="LY199"/>
      <c r="LZ199"/>
      <c r="MA199"/>
      <c r="MB199"/>
      <c r="MC199"/>
      <c r="MD199"/>
      <c r="ME199"/>
      <c r="MF199"/>
      <c r="MG199"/>
      <c r="MH199"/>
      <c r="MI199"/>
      <c r="MJ199"/>
      <c r="MK199"/>
      <c r="ML199"/>
      <c r="MM199"/>
      <c r="MN199"/>
      <c r="MO199"/>
      <c r="MP199"/>
      <c r="MQ199"/>
      <c r="MR199"/>
      <c r="MS199"/>
      <c r="MT199"/>
      <c r="MU199"/>
      <c r="MV199"/>
      <c r="MW199"/>
      <c r="MX199"/>
      <c r="MY199"/>
      <c r="MZ199"/>
      <c r="NA199"/>
      <c r="NB199"/>
      <c r="NC199"/>
      <c r="ND199"/>
      <c r="NE199"/>
      <c r="NF199"/>
      <c r="NG199"/>
      <c r="NH199"/>
      <c r="NI199"/>
      <c r="NJ199"/>
      <c r="NK199"/>
      <c r="NL199"/>
      <c r="NM199"/>
      <c r="NN199"/>
      <c r="NO199"/>
      <c r="NP199"/>
      <c r="NQ199"/>
      <c r="NR199"/>
      <c r="NS199"/>
      <c r="NT199"/>
      <c r="NU199"/>
      <c r="NV199"/>
      <c r="NW199"/>
      <c r="NX199"/>
      <c r="NY199"/>
      <c r="NZ199"/>
      <c r="OA199"/>
      <c r="OB199"/>
      <c r="OC199"/>
      <c r="OD199"/>
      <c r="OE199"/>
      <c r="OF199"/>
      <c r="OG199"/>
      <c r="OH199"/>
      <c r="OI199"/>
      <c r="OJ199"/>
      <c r="OK199"/>
      <c r="OL199"/>
      <c r="OM199"/>
      <c r="ON199"/>
      <c r="OO199"/>
      <c r="OP199"/>
      <c r="OQ199"/>
      <c r="OR199"/>
      <c r="OS199"/>
      <c r="OT199"/>
      <c r="OU199"/>
      <c r="OV199"/>
      <c r="OW199"/>
      <c r="OX199"/>
      <c r="OY199"/>
      <c r="OZ199"/>
      <c r="PA199"/>
      <c r="PB199"/>
      <c r="PC199"/>
      <c r="PD199"/>
      <c r="PE199"/>
      <c r="PF199"/>
      <c r="PG199"/>
      <c r="PH199"/>
      <c r="PI199"/>
      <c r="PJ199"/>
      <c r="PK199"/>
      <c r="PL199"/>
      <c r="PM199"/>
      <c r="PN199"/>
      <c r="PO199"/>
      <c r="PP199"/>
      <c r="PQ199"/>
      <c r="PR199"/>
      <c r="PS199"/>
      <c r="PT199"/>
      <c r="PU199"/>
      <c r="PV199"/>
      <c r="PW199"/>
      <c r="PX199"/>
      <c r="PY199"/>
      <c r="PZ199"/>
      <c r="QA199"/>
      <c r="QB199"/>
      <c r="QC199"/>
      <c r="QD199"/>
      <c r="QE199"/>
      <c r="QF199"/>
      <c r="QG199"/>
      <c r="QH199"/>
      <c r="QI199"/>
      <c r="QJ199"/>
      <c r="QK199"/>
      <c r="QL199"/>
      <c r="QM199"/>
      <c r="QN199"/>
      <c r="QO199"/>
      <c r="QP199"/>
      <c r="QQ199"/>
      <c r="QR199"/>
      <c r="QS199"/>
      <c r="QT199"/>
      <c r="QU199"/>
      <c r="QV199"/>
      <c r="QW199"/>
      <c r="QX199"/>
      <c r="QY199"/>
      <c r="QZ199"/>
      <c r="RA199"/>
      <c r="RB199"/>
      <c r="RC199"/>
      <c r="RD199"/>
      <c r="RE199"/>
      <c r="RF199"/>
      <c r="RG199"/>
      <c r="RH199"/>
      <c r="RI199"/>
      <c r="RJ199"/>
      <c r="RK199"/>
      <c r="RL199"/>
      <c r="RM199"/>
      <c r="RN199"/>
      <c r="RO199"/>
      <c r="RP199"/>
      <c r="RQ199"/>
      <c r="RR199"/>
      <c r="RS199"/>
      <c r="RT199"/>
      <c r="RU199"/>
      <c r="RV199"/>
      <c r="RW199"/>
      <c r="RX199"/>
      <c r="RY199"/>
      <c r="RZ199"/>
      <c r="SA199"/>
      <c r="SB199"/>
      <c r="SC199"/>
      <c r="SD199"/>
      <c r="SE199"/>
      <c r="SF199"/>
      <c r="SG199"/>
      <c r="SH199"/>
      <c r="SI199"/>
      <c r="SJ199"/>
      <c r="SK199"/>
      <c r="SL199"/>
      <c r="SM199"/>
      <c r="SN199"/>
      <c r="SO199"/>
      <c r="SP199"/>
      <c r="SQ199"/>
      <c r="SR199"/>
      <c r="SS199"/>
      <c r="ST199"/>
      <c r="SU199"/>
      <c r="SV199"/>
      <c r="SW199"/>
      <c r="SX199"/>
      <c r="SY199"/>
      <c r="SZ199"/>
      <c r="TA199"/>
      <c r="TB199"/>
      <c r="TC199"/>
      <c r="TD199"/>
      <c r="TE199"/>
      <c r="TF199"/>
      <c r="TG199"/>
      <c r="TH199"/>
      <c r="TI199"/>
      <c r="TJ199"/>
      <c r="TK199"/>
      <c r="TL199"/>
      <c r="TM199"/>
      <c r="TN199"/>
      <c r="TO199"/>
      <c r="TP199"/>
      <c r="TQ199"/>
      <c r="TR199"/>
      <c r="TS199"/>
      <c r="TT199"/>
      <c r="TU199"/>
      <c r="TV199"/>
      <c r="TW199"/>
      <c r="TX199"/>
      <c r="TY199"/>
      <c r="TZ199"/>
      <c r="UA199"/>
      <c r="UB199"/>
      <c r="UC199"/>
      <c r="UD199"/>
      <c r="UE199"/>
      <c r="UF199"/>
      <c r="UG199"/>
      <c r="UH199"/>
      <c r="UI199"/>
      <c r="UJ199"/>
      <c r="UK199"/>
      <c r="UL199"/>
      <c r="UM199"/>
      <c r="UN199"/>
      <c r="UO199"/>
      <c r="UP199"/>
      <c r="UQ199"/>
      <c r="UR199"/>
      <c r="US199"/>
      <c r="UT199"/>
      <c r="UU199"/>
      <c r="UV199"/>
      <c r="UW199"/>
      <c r="UX199"/>
      <c r="UY199"/>
      <c r="UZ199"/>
      <c r="VA199"/>
      <c r="VB199"/>
      <c r="VC199"/>
      <c r="VD199"/>
      <c r="VE199"/>
      <c r="VF199"/>
      <c r="VG199"/>
      <c r="VH199"/>
      <c r="VI199"/>
      <c r="VJ199"/>
      <c r="VK199"/>
      <c r="VL199"/>
      <c r="VM199"/>
      <c r="VN199"/>
      <c r="VO199"/>
      <c r="VP199"/>
      <c r="VQ199"/>
      <c r="VR199"/>
      <c r="VS199"/>
      <c r="VT199"/>
      <c r="VU199"/>
      <c r="VV199"/>
      <c r="VW199"/>
      <c r="VX199"/>
      <c r="VY199"/>
      <c r="VZ199"/>
      <c r="WA199"/>
      <c r="WB199"/>
      <c r="WC199"/>
      <c r="WD199"/>
      <c r="WE199"/>
      <c r="WF199"/>
      <c r="WG199"/>
      <c r="WH199"/>
      <c r="WI199"/>
      <c r="WJ199"/>
      <c r="WK199"/>
      <c r="WL199"/>
      <c r="WM199"/>
      <c r="WN199"/>
      <c r="WO199"/>
      <c r="WP199"/>
      <c r="WQ199"/>
      <c r="WR199"/>
      <c r="WS199"/>
      <c r="WT199"/>
      <c r="WU199"/>
      <c r="WV199"/>
      <c r="WW199"/>
      <c r="WX199"/>
      <c r="WY199"/>
      <c r="WZ199"/>
      <c r="XA199"/>
      <c r="XB199"/>
      <c r="XC199"/>
      <c r="XD199"/>
      <c r="XE199"/>
      <c r="XF199"/>
      <c r="XG199"/>
      <c r="XH199"/>
      <c r="XI199"/>
      <c r="XJ199"/>
      <c r="XK199"/>
      <c r="XL199"/>
      <c r="XM199"/>
      <c r="XN199"/>
      <c r="XO199"/>
      <c r="XP199"/>
      <c r="XQ199"/>
      <c r="XR199"/>
      <c r="XS199"/>
      <c r="XT199"/>
      <c r="XU199"/>
      <c r="XV199"/>
      <c r="XW199"/>
      <c r="XX199"/>
      <c r="XY199"/>
      <c r="XZ199"/>
      <c r="YA199"/>
      <c r="YB199"/>
      <c r="YC199"/>
      <c r="YD199"/>
      <c r="YE199"/>
      <c r="YF199"/>
      <c r="YG199"/>
      <c r="YH199"/>
      <c r="YI199"/>
      <c r="YJ199"/>
      <c r="YK199"/>
      <c r="YL199"/>
      <c r="YM199"/>
      <c r="YN199"/>
      <c r="YO199"/>
      <c r="YP199"/>
      <c r="YQ199"/>
      <c r="YR199"/>
      <c r="YS199"/>
      <c r="YT199"/>
      <c r="YU199"/>
      <c r="YV199"/>
      <c r="YW199"/>
      <c r="YX199"/>
      <c r="YY199"/>
      <c r="YZ199"/>
      <c r="ZA199"/>
      <c r="ZB199"/>
      <c r="ZC199"/>
      <c r="ZD199"/>
      <c r="ZE199"/>
      <c r="ZF199"/>
      <c r="ZG199"/>
      <c r="ZH199"/>
      <c r="ZI199"/>
      <c r="ZJ199"/>
      <c r="ZK199"/>
      <c r="ZL199"/>
      <c r="ZM199"/>
      <c r="ZN199"/>
      <c r="ZO199"/>
      <c r="ZP199"/>
      <c r="ZQ199"/>
      <c r="ZR199"/>
      <c r="ZS199"/>
      <c r="ZT199"/>
      <c r="ZU199"/>
      <c r="ZV199"/>
      <c r="ZW199"/>
      <c r="ZX199"/>
      <c r="ZY199"/>
      <c r="ZZ199"/>
      <c r="AAA199"/>
      <c r="AAB199"/>
      <c r="AAC199"/>
      <c r="AAD199"/>
      <c r="AAE199"/>
      <c r="AAF199"/>
      <c r="AAG199"/>
      <c r="AAH199"/>
      <c r="AAI199"/>
      <c r="AAJ199"/>
      <c r="AAK199"/>
      <c r="AAL199"/>
      <c r="AAM199"/>
      <c r="AAN199"/>
      <c r="AAO199"/>
      <c r="AAP199"/>
      <c r="AAQ199"/>
      <c r="AAR199"/>
      <c r="AAS199"/>
      <c r="AAT199"/>
      <c r="AAU199"/>
      <c r="AAV199"/>
      <c r="AAW199"/>
      <c r="AAX199"/>
      <c r="AAY199"/>
      <c r="AAZ199"/>
      <c r="ABA199"/>
      <c r="ABB199"/>
      <c r="ABC199"/>
      <c r="ABD199"/>
      <c r="ABE199"/>
      <c r="ABF199"/>
      <c r="ABG199"/>
      <c r="ABH199"/>
      <c r="ABI199"/>
      <c r="ABJ199"/>
      <c r="ABK199"/>
      <c r="ABL199"/>
      <c r="ABM199"/>
      <c r="ABN199"/>
      <c r="ABO199"/>
      <c r="ABP199"/>
      <c r="ABQ199"/>
      <c r="ABR199"/>
      <c r="ABS199"/>
      <c r="ABT199"/>
      <c r="ABU199"/>
      <c r="ABV199"/>
      <c r="ABW199"/>
      <c r="ABX199"/>
      <c r="ABY199"/>
      <c r="ABZ199"/>
      <c r="ACA199"/>
      <c r="ACB199"/>
      <c r="ACC199"/>
      <c r="ACD199"/>
      <c r="ACE199"/>
      <c r="ACF199"/>
      <c r="ACG199"/>
      <c r="ACH199"/>
      <c r="ACI199"/>
      <c r="ACJ199"/>
      <c r="ACK199"/>
      <c r="ACL199"/>
      <c r="ACM199"/>
      <c r="ACN199"/>
      <c r="ACO199"/>
      <c r="ACP199"/>
      <c r="ACQ199"/>
      <c r="ACR199"/>
      <c r="ACS199"/>
      <c r="ACT199"/>
      <c r="ACU199"/>
      <c r="ACV199"/>
      <c r="ACW199"/>
      <c r="ACX199"/>
      <c r="ACY199"/>
      <c r="ACZ199"/>
      <c r="ADA199"/>
      <c r="ADB199"/>
      <c r="ADC199"/>
      <c r="ADD199"/>
      <c r="ADE199"/>
      <c r="ADF199"/>
      <c r="ADG199"/>
      <c r="ADH199"/>
      <c r="ADI199"/>
      <c r="ADJ199"/>
      <c r="ADK199"/>
      <c r="ADL199"/>
      <c r="ADM199"/>
      <c r="ADN199"/>
      <c r="ADO199"/>
      <c r="ADP199"/>
      <c r="ADQ199"/>
      <c r="ADR199"/>
      <c r="ADS199"/>
      <c r="ADT199"/>
      <c r="ADU199"/>
      <c r="ADV199"/>
      <c r="ADW199"/>
      <c r="ADX199"/>
      <c r="ADY199"/>
      <c r="ADZ199"/>
      <c r="AEA199"/>
      <c r="AEB199"/>
      <c r="AEC199"/>
      <c r="AED199"/>
      <c r="AEE199"/>
      <c r="AEF199"/>
      <c r="AEG199"/>
      <c r="AEH199"/>
      <c r="AEI199"/>
      <c r="AEJ199"/>
      <c r="AEK199"/>
      <c r="AEL199"/>
      <c r="AEM199"/>
      <c r="AEN199"/>
      <c r="AEO199"/>
      <c r="AEP199"/>
      <c r="AEQ199"/>
      <c r="AER199"/>
      <c r="AES199"/>
      <c r="AET199"/>
      <c r="AEU199"/>
      <c r="AEV199"/>
      <c r="AEW199"/>
      <c r="AEX199"/>
      <c r="AEY199"/>
      <c r="AEZ199"/>
      <c r="AFA199"/>
      <c r="AFB199"/>
      <c r="AFC199"/>
      <c r="AFD199"/>
      <c r="AFE199"/>
      <c r="AFF199"/>
      <c r="AFG199"/>
      <c r="AFH199"/>
      <c r="AFI199"/>
      <c r="AFJ199"/>
      <c r="AFK199"/>
      <c r="AFL199"/>
      <c r="AFM199"/>
      <c r="AFN199"/>
      <c r="AFO199"/>
      <c r="AFP199"/>
      <c r="AFQ199"/>
      <c r="AFR199"/>
      <c r="AFS199"/>
      <c r="AFT199"/>
      <c r="AFU199"/>
      <c r="AFV199"/>
      <c r="AFW199"/>
      <c r="AFX199"/>
      <c r="AFY199"/>
      <c r="AFZ199"/>
      <c r="AGA199"/>
      <c r="AGB199"/>
      <c r="AGC199"/>
      <c r="AGD199"/>
      <c r="AGE199"/>
      <c r="AGF199"/>
      <c r="AGG199"/>
      <c r="AGH199"/>
      <c r="AGI199"/>
      <c r="AGJ199"/>
      <c r="AGK199"/>
      <c r="AGL199"/>
      <c r="AGM199"/>
      <c r="AGN199"/>
      <c r="AGO199"/>
      <c r="AGP199"/>
      <c r="AGQ199"/>
      <c r="AGR199"/>
      <c r="AGS199"/>
      <c r="AGT199"/>
      <c r="AGU199"/>
      <c r="AGV199"/>
      <c r="AGW199"/>
      <c r="AGX199"/>
      <c r="AGY199"/>
      <c r="AGZ199"/>
      <c r="AHA199"/>
      <c r="AHB199"/>
      <c r="AHC199"/>
      <c r="AHD199"/>
      <c r="AHE199"/>
      <c r="AHF199"/>
      <c r="AHG199"/>
      <c r="AHH199"/>
      <c r="AHI199"/>
      <c r="AHJ199"/>
      <c r="AHK199"/>
      <c r="AHL199"/>
      <c r="AHM199"/>
      <c r="AHN199"/>
      <c r="AHO199"/>
      <c r="AHP199"/>
      <c r="AHQ199"/>
      <c r="AHR199"/>
      <c r="AHS199"/>
      <c r="AHT199"/>
      <c r="AHU199"/>
      <c r="AHV199"/>
      <c r="AHW199"/>
      <c r="AHX199"/>
      <c r="AHY199"/>
      <c r="AHZ199"/>
      <c r="AIA199"/>
      <c r="AIB199"/>
      <c r="AIC199"/>
      <c r="AID199"/>
      <c r="AIE199"/>
      <c r="AIF199"/>
      <c r="AIG199"/>
      <c r="AIH199"/>
      <c r="AII199"/>
      <c r="AIJ199"/>
      <c r="AIK199"/>
      <c r="AIL199"/>
      <c r="AIM199"/>
      <c r="AIN199"/>
      <c r="AIO199"/>
      <c r="AIP199"/>
      <c r="AIQ199"/>
      <c r="AIR199"/>
      <c r="AIS199"/>
      <c r="AIT199"/>
      <c r="AIU199"/>
      <c r="AIV199"/>
      <c r="AIW199"/>
      <c r="AIX199"/>
      <c r="AIY199"/>
      <c r="AIZ199"/>
      <c r="AJA199"/>
      <c r="AJB199"/>
      <c r="AJC199"/>
      <c r="AJD199"/>
      <c r="AJE199"/>
      <c r="AJF199"/>
      <c r="AJG199"/>
      <c r="AJH199"/>
      <c r="AJI199"/>
      <c r="AJJ199"/>
      <c r="AJK199"/>
      <c r="AJL199"/>
      <c r="AJM199"/>
      <c r="AJN199"/>
      <c r="AJO199"/>
      <c r="AJP199"/>
      <c r="AJQ199"/>
      <c r="AJR199"/>
      <c r="AJS199"/>
      <c r="AJT199"/>
      <c r="AJU199"/>
      <c r="AJV199"/>
      <c r="AJW199"/>
      <c r="AJX199"/>
      <c r="AJY199"/>
      <c r="AJZ199"/>
      <c r="AKA199"/>
      <c r="AKB199"/>
      <c r="AKC199"/>
      <c r="AKD199"/>
      <c r="AKE199"/>
      <c r="AKF199"/>
      <c r="AKG199"/>
      <c r="AKH199"/>
      <c r="AKI199"/>
      <c r="AKJ199"/>
      <c r="AKK199"/>
      <c r="AKL199"/>
      <c r="AKM199"/>
      <c r="AKN199"/>
      <c r="AKO199"/>
      <c r="AKP199"/>
      <c r="AKQ199"/>
      <c r="AKR199"/>
      <c r="AKS199"/>
      <c r="AKT199"/>
      <c r="AKU199"/>
      <c r="AKV199"/>
      <c r="AKW199"/>
      <c r="AKX199"/>
      <c r="AKY199"/>
      <c r="AKZ199"/>
      <c r="ALA199"/>
      <c r="ALB199"/>
      <c r="ALC199"/>
      <c r="ALD199"/>
      <c r="ALE199"/>
      <c r="ALF199"/>
      <c r="ALG199"/>
      <c r="ALH199"/>
      <c r="ALI199"/>
      <c r="ALJ199"/>
      <c r="ALK199"/>
      <c r="ALL199"/>
      <c r="ALM199"/>
      <c r="ALN199"/>
      <c r="ALO199"/>
      <c r="ALP199"/>
      <c r="ALQ199"/>
      <c r="ALR199"/>
      <c r="ALS199"/>
      <c r="ALT199"/>
      <c r="ALU199"/>
      <c r="ALV199"/>
      <c r="ALW199"/>
      <c r="ALX199"/>
      <c r="ALY199"/>
      <c r="ALZ199"/>
      <c r="AMA199"/>
      <c r="AMB199"/>
      <c r="AMC199"/>
      <c r="AMD199"/>
      <c r="AME199"/>
      <c r="AMF199"/>
      <c r="AMG199"/>
      <c r="AMH199"/>
      <c r="AMI199"/>
      <c r="AMJ199"/>
      <c r="AMK199"/>
      <c r="AML199"/>
      <c r="AMM199"/>
      <c r="AMN199"/>
      <c r="AMO199"/>
      <c r="AMP199"/>
      <c r="AMQ199"/>
      <c r="AMR199"/>
      <c r="AMS199"/>
      <c r="AMT199"/>
      <c r="AMU199"/>
      <c r="AMV199"/>
      <c r="AMW199"/>
      <c r="AMX199"/>
      <c r="AMY199"/>
      <c r="AMZ199"/>
      <c r="ANA199"/>
      <c r="ANB199"/>
      <c r="ANC199"/>
      <c r="AND199"/>
      <c r="ANE199"/>
      <c r="ANF199"/>
      <c r="ANG199"/>
      <c r="ANH199"/>
      <c r="ANI199"/>
      <c r="ANJ199"/>
      <c r="ANK199"/>
      <c r="ANL199"/>
      <c r="ANM199"/>
      <c r="ANN199"/>
      <c r="ANO199"/>
      <c r="ANP199"/>
      <c r="ANQ199"/>
      <c r="ANR199"/>
      <c r="ANS199"/>
      <c r="ANT199"/>
      <c r="ANU199"/>
      <c r="ANV199"/>
      <c r="ANW199"/>
      <c r="ANX199"/>
      <c r="ANY199"/>
      <c r="ANZ199"/>
      <c r="AOA199"/>
      <c r="AOB199"/>
      <c r="AOC199"/>
      <c r="AOD199"/>
      <c r="AOE199"/>
      <c r="AOF199"/>
      <c r="AOG199"/>
      <c r="AOH199"/>
      <c r="AOI199"/>
      <c r="AOJ199"/>
      <c r="AOK199"/>
      <c r="AOL199"/>
      <c r="AOM199"/>
      <c r="AON199"/>
      <c r="AOO199"/>
      <c r="AOP199"/>
      <c r="AOQ199"/>
      <c r="AOR199"/>
      <c r="AOS199"/>
      <c r="AOT199"/>
      <c r="AOU199"/>
      <c r="AOV199"/>
      <c r="AOW199"/>
      <c r="AOX199"/>
      <c r="AOY199"/>
      <c r="AOZ199"/>
      <c r="APA199"/>
      <c r="APB199"/>
      <c r="APC199"/>
      <c r="APD199"/>
      <c r="APE199"/>
      <c r="APF199"/>
      <c r="APG199"/>
      <c r="APH199"/>
      <c r="API199"/>
      <c r="APJ199"/>
      <c r="APK199"/>
      <c r="APL199"/>
      <c r="APM199"/>
      <c r="APN199"/>
      <c r="APO199"/>
      <c r="APP199"/>
      <c r="APQ199"/>
      <c r="APR199"/>
      <c r="APS199"/>
      <c r="APT199"/>
      <c r="APU199"/>
      <c r="APV199"/>
      <c r="APW199"/>
      <c r="APX199"/>
      <c r="APY199"/>
      <c r="APZ199"/>
      <c r="AQA199"/>
      <c r="AQB199"/>
      <c r="AQC199"/>
      <c r="AQD199"/>
      <c r="AQE199"/>
      <c r="AQF199"/>
      <c r="AQG199"/>
      <c r="AQH199"/>
      <c r="AQI199"/>
      <c r="AQJ199"/>
      <c r="AQK199"/>
      <c r="AQL199"/>
      <c r="AQM199"/>
      <c r="AQN199"/>
      <c r="AQO199"/>
      <c r="AQP199"/>
      <c r="AQQ199"/>
      <c r="AQR199"/>
      <c r="AQS199"/>
      <c r="AQT199"/>
      <c r="AQU199"/>
      <c r="AQV199"/>
      <c r="AQW199"/>
      <c r="AQX199"/>
      <c r="AQY199"/>
      <c r="AQZ199"/>
      <c r="ARA199"/>
      <c r="ARB199"/>
      <c r="ARC199"/>
      <c r="ARD199"/>
      <c r="ARE199"/>
      <c r="ARF199"/>
      <c r="ARG199"/>
      <c r="ARH199"/>
      <c r="ARI199"/>
      <c r="ARJ199"/>
      <c r="ARK199"/>
      <c r="ARL199"/>
      <c r="ARM199"/>
      <c r="ARN199"/>
      <c r="ARO199"/>
      <c r="ARP199"/>
      <c r="ARQ199"/>
      <c r="ARR199"/>
      <c r="ARS199"/>
      <c r="ART199"/>
      <c r="ARU199"/>
      <c r="ARV199"/>
      <c r="ARW199"/>
      <c r="ARX199"/>
      <c r="ARY199"/>
      <c r="ARZ199"/>
      <c r="ASA199"/>
      <c r="ASB199"/>
      <c r="ASC199"/>
      <c r="ASD199"/>
      <c r="ASE199"/>
      <c r="ASF199"/>
      <c r="ASG199"/>
      <c r="ASH199"/>
      <c r="ASI199"/>
      <c r="ASJ199"/>
      <c r="ASK199"/>
      <c r="ASL199"/>
      <c r="ASM199"/>
      <c r="ASN199"/>
      <c r="ASO199"/>
      <c r="ASP199"/>
      <c r="ASQ199"/>
      <c r="ASR199"/>
      <c r="ASS199"/>
      <c r="AST199"/>
      <c r="ASU199"/>
      <c r="ASV199"/>
      <c r="ASW199"/>
      <c r="ASX199"/>
      <c r="ASY199"/>
      <c r="ASZ199"/>
      <c r="ATA199"/>
      <c r="ATB199"/>
      <c r="ATC199"/>
      <c r="ATD199"/>
      <c r="ATE199"/>
      <c r="ATF199"/>
      <c r="ATG199"/>
      <c r="ATH199"/>
      <c r="ATI199"/>
      <c r="ATJ199"/>
      <c r="ATK199"/>
      <c r="ATL199"/>
      <c r="ATM199"/>
      <c r="ATN199"/>
      <c r="ATO199"/>
      <c r="ATP199"/>
      <c r="ATQ199"/>
      <c r="ATR199"/>
      <c r="ATS199"/>
      <c r="ATT199"/>
      <c r="ATU199"/>
      <c r="ATV199"/>
      <c r="ATW199"/>
      <c r="ATX199"/>
      <c r="ATY199"/>
      <c r="ATZ199"/>
      <c r="AUA199"/>
      <c r="AUB199"/>
      <c r="AUC199"/>
      <c r="AUD199"/>
      <c r="AUE199"/>
      <c r="AUF199"/>
      <c r="AUG199"/>
      <c r="AUH199"/>
      <c r="AUI199"/>
      <c r="AUJ199"/>
      <c r="AUK199"/>
      <c r="AUL199"/>
      <c r="AUM199"/>
      <c r="AUN199"/>
      <c r="AUO199"/>
      <c r="AUP199"/>
      <c r="AUQ199"/>
      <c r="AUR199"/>
      <c r="AUS199"/>
      <c r="AUT199"/>
      <c r="AUU199"/>
      <c r="AUV199"/>
      <c r="AUW199"/>
      <c r="AUX199"/>
      <c r="AUY199"/>
      <c r="AUZ199"/>
      <c r="AVA199"/>
      <c r="AVB199"/>
      <c r="AVC199"/>
      <c r="AVD199"/>
      <c r="AVE199"/>
      <c r="AVF199"/>
      <c r="AVG199"/>
      <c r="AVH199"/>
      <c r="AVI199"/>
      <c r="AVJ199"/>
      <c r="AVK199"/>
      <c r="AVL199"/>
      <c r="AVM199"/>
      <c r="AVN199"/>
      <c r="AVO199"/>
      <c r="AVP199"/>
      <c r="AVQ199"/>
      <c r="AVR199"/>
      <c r="AVS199"/>
      <c r="AVT199"/>
      <c r="AVU199"/>
      <c r="AVV199"/>
      <c r="AVW199"/>
      <c r="AVX199"/>
      <c r="AVY199"/>
      <c r="AVZ199"/>
      <c r="AWA199"/>
      <c r="AWB199"/>
      <c r="AWC199"/>
      <c r="AWD199"/>
      <c r="AWE199"/>
      <c r="AWF199"/>
      <c r="AWG199"/>
      <c r="AWH199"/>
      <c r="AWI199"/>
      <c r="AWJ199"/>
      <c r="AWK199"/>
      <c r="AWL199"/>
      <c r="AWM199"/>
      <c r="AWN199"/>
      <c r="AWO199"/>
      <c r="AWP199"/>
      <c r="AWQ199"/>
      <c r="AWR199"/>
      <c r="AWS199"/>
      <c r="AWT199"/>
      <c r="AWU199"/>
      <c r="AWV199"/>
      <c r="AWW199"/>
      <c r="AWX199"/>
      <c r="AWY199"/>
      <c r="AWZ199"/>
      <c r="AXA199"/>
      <c r="AXB199"/>
      <c r="AXC199"/>
      <c r="AXD199"/>
      <c r="AXE199"/>
      <c r="AXF199"/>
      <c r="AXG199"/>
      <c r="AXH199"/>
      <c r="AXI199"/>
      <c r="AXJ199"/>
      <c r="AXK199"/>
      <c r="AXL199"/>
      <c r="AXM199"/>
      <c r="AXN199"/>
      <c r="AXO199"/>
      <c r="AXP199"/>
      <c r="AXQ199"/>
      <c r="AXR199"/>
      <c r="AXS199"/>
      <c r="AXT199"/>
      <c r="AXU199"/>
      <c r="AXV199"/>
      <c r="AXW199"/>
      <c r="AXX199"/>
      <c r="AXY199"/>
      <c r="AXZ199"/>
      <c r="AYA199"/>
      <c r="AYB199"/>
      <c r="AYC199"/>
      <c r="AYD199"/>
      <c r="AYE199"/>
      <c r="AYF199"/>
      <c r="AYG199"/>
      <c r="AYH199"/>
      <c r="AYI199"/>
      <c r="AYJ199"/>
      <c r="AYK199"/>
      <c r="AYL199"/>
      <c r="AYM199"/>
      <c r="AYN199"/>
      <c r="AYO199"/>
      <c r="AYP199"/>
      <c r="AYQ199"/>
      <c r="AYR199"/>
      <c r="AYS199"/>
      <c r="AYT199"/>
      <c r="AYU199"/>
      <c r="AYV199"/>
      <c r="AYW199"/>
      <c r="AYX199"/>
      <c r="AYY199"/>
      <c r="AYZ199"/>
      <c r="AZA199"/>
      <c r="AZB199"/>
      <c r="AZC199"/>
      <c r="AZD199"/>
      <c r="AZE199"/>
      <c r="AZF199"/>
      <c r="AZG199"/>
      <c r="AZH199"/>
      <c r="AZI199"/>
      <c r="AZJ199"/>
      <c r="AZK199"/>
      <c r="AZL199"/>
      <c r="AZM199"/>
      <c r="AZN199"/>
      <c r="AZO199"/>
      <c r="AZP199"/>
      <c r="AZQ199"/>
      <c r="AZR199"/>
      <c r="AZS199"/>
      <c r="AZT199"/>
      <c r="AZU199"/>
      <c r="AZV199"/>
      <c r="AZW199"/>
      <c r="AZX199"/>
      <c r="AZY199"/>
      <c r="AZZ199"/>
      <c r="BAA199"/>
      <c r="BAB199"/>
      <c r="BAC199"/>
      <c r="BAD199"/>
      <c r="BAE199"/>
      <c r="BAF199"/>
      <c r="BAG199"/>
      <c r="BAH199"/>
      <c r="BAI199"/>
      <c r="BAJ199"/>
      <c r="BAK199"/>
      <c r="BAL199"/>
      <c r="BAM199"/>
      <c r="BAN199"/>
      <c r="BAO199"/>
      <c r="BAP199"/>
      <c r="BAQ199"/>
      <c r="BAR199"/>
      <c r="BAS199"/>
      <c r="BAT199"/>
      <c r="BAU199"/>
      <c r="BAV199"/>
      <c r="BAW199"/>
      <c r="BAX199"/>
      <c r="BAY199"/>
      <c r="BAZ199"/>
      <c r="BBA199"/>
      <c r="BBB199"/>
      <c r="BBC199"/>
      <c r="BBD199"/>
      <c r="BBE199"/>
      <c r="BBF199"/>
      <c r="BBG199"/>
      <c r="BBH199"/>
      <c r="BBI199"/>
      <c r="BBJ199"/>
      <c r="BBK199"/>
      <c r="BBL199"/>
      <c r="BBM199"/>
      <c r="BBN199"/>
      <c r="BBO199"/>
      <c r="BBP199"/>
      <c r="BBQ199"/>
      <c r="BBR199"/>
      <c r="BBS199"/>
      <c r="BBT199"/>
      <c r="BBU199"/>
      <c r="BBV199"/>
      <c r="BBW199"/>
      <c r="BBX199"/>
      <c r="BBY199"/>
      <c r="BBZ199"/>
      <c r="BCA199"/>
      <c r="BCB199"/>
      <c r="BCC199"/>
      <c r="BCD199"/>
      <c r="BCE199"/>
      <c r="BCF199"/>
      <c r="BCG199"/>
      <c r="BCH199"/>
      <c r="BCI199"/>
      <c r="BCJ199"/>
      <c r="BCK199"/>
      <c r="BCL199"/>
      <c r="BCM199"/>
      <c r="BCN199"/>
      <c r="BCO199"/>
      <c r="BCP199"/>
      <c r="BCQ199"/>
      <c r="BCR199"/>
      <c r="BCS199"/>
      <c r="BCT199"/>
      <c r="BCU199"/>
      <c r="BCV199"/>
      <c r="BCW199"/>
      <c r="BCX199"/>
      <c r="BCY199"/>
      <c r="BCZ199"/>
      <c r="BDA199"/>
      <c r="BDB199"/>
      <c r="BDC199"/>
      <c r="BDD199"/>
      <c r="BDE199"/>
      <c r="BDF199"/>
      <c r="BDG199"/>
      <c r="BDH199"/>
      <c r="BDI199"/>
      <c r="BDJ199"/>
      <c r="BDK199"/>
      <c r="BDL199"/>
      <c r="BDM199"/>
      <c r="BDN199"/>
      <c r="BDO199"/>
      <c r="BDP199"/>
      <c r="BDQ199"/>
      <c r="BDR199"/>
      <c r="BDS199"/>
      <c r="BDT199"/>
      <c r="BDU199"/>
      <c r="BDV199"/>
      <c r="BDW199"/>
      <c r="BDX199"/>
      <c r="BDY199"/>
      <c r="BDZ199"/>
      <c r="BEA199"/>
      <c r="BEB199"/>
      <c r="BEC199"/>
      <c r="BED199"/>
      <c r="BEE199"/>
      <c r="BEF199"/>
      <c r="BEG199"/>
      <c r="BEH199"/>
      <c r="BEI199"/>
      <c r="BEJ199"/>
      <c r="BEK199"/>
      <c r="BEL199"/>
      <c r="BEM199"/>
      <c r="BEN199"/>
      <c r="BEO199"/>
      <c r="BEP199"/>
      <c r="BEQ199"/>
      <c r="BER199"/>
      <c r="BES199"/>
      <c r="BET199"/>
      <c r="BEU199"/>
      <c r="BEV199"/>
      <c r="BEW199"/>
      <c r="BEX199"/>
      <c r="BEY199"/>
      <c r="BEZ199"/>
      <c r="BFA199"/>
      <c r="BFB199"/>
      <c r="BFC199"/>
      <c r="BFD199"/>
      <c r="BFE199"/>
      <c r="BFF199"/>
      <c r="BFG199"/>
      <c r="BFH199"/>
      <c r="BFI199"/>
      <c r="BFJ199"/>
      <c r="BFK199"/>
      <c r="BFL199"/>
      <c r="BFM199"/>
      <c r="BFN199"/>
      <c r="BFO199"/>
      <c r="BFP199"/>
      <c r="BFQ199"/>
      <c r="BFR199"/>
      <c r="BFS199"/>
      <c r="BFT199"/>
      <c r="BFU199"/>
      <c r="BFV199"/>
      <c r="BFW199"/>
      <c r="BFX199"/>
      <c r="BFY199"/>
      <c r="BFZ199"/>
      <c r="BGA199"/>
      <c r="BGB199"/>
      <c r="BGC199"/>
      <c r="BGD199"/>
      <c r="BGE199"/>
      <c r="BGF199"/>
      <c r="BGG199"/>
      <c r="BGH199"/>
      <c r="BGI199"/>
      <c r="BGJ199"/>
      <c r="BGK199"/>
      <c r="BGL199"/>
      <c r="BGM199"/>
      <c r="BGN199"/>
      <c r="BGO199"/>
      <c r="BGP199"/>
      <c r="BGQ199"/>
      <c r="BGR199"/>
      <c r="BGS199"/>
      <c r="BGT199"/>
      <c r="BGU199"/>
      <c r="BGV199"/>
      <c r="BGW199"/>
      <c r="BGX199"/>
      <c r="BGY199"/>
      <c r="BGZ199"/>
      <c r="BHA199"/>
      <c r="BHB199"/>
      <c r="BHC199"/>
      <c r="BHD199"/>
      <c r="BHE199"/>
      <c r="BHF199"/>
      <c r="BHG199"/>
      <c r="BHH199"/>
      <c r="BHI199"/>
      <c r="BHJ199"/>
      <c r="BHK199"/>
      <c r="BHL199"/>
      <c r="BHM199"/>
      <c r="BHN199"/>
      <c r="BHO199"/>
      <c r="BHP199"/>
      <c r="BHQ199"/>
      <c r="BHR199"/>
      <c r="BHS199"/>
      <c r="BHT199"/>
      <c r="BHU199"/>
      <c r="BHV199"/>
      <c r="BHW199"/>
      <c r="BHX199"/>
      <c r="BHY199"/>
      <c r="BHZ199"/>
      <c r="BIA199"/>
      <c r="BIB199"/>
      <c r="BIC199"/>
      <c r="BID199"/>
      <c r="BIE199"/>
      <c r="BIF199"/>
      <c r="BIG199"/>
      <c r="BIH199"/>
      <c r="BII199"/>
      <c r="BIJ199"/>
      <c r="BIK199"/>
      <c r="BIL199"/>
      <c r="BIM199"/>
      <c r="BIN199"/>
      <c r="BIO199"/>
      <c r="BIP199"/>
      <c r="BIQ199"/>
      <c r="BIR199"/>
      <c r="BIS199"/>
      <c r="BIT199"/>
      <c r="BIU199"/>
      <c r="BIV199"/>
      <c r="BIW199"/>
      <c r="BIX199"/>
      <c r="BIY199"/>
      <c r="BIZ199"/>
      <c r="BJA199"/>
      <c r="BJB199"/>
      <c r="BJC199"/>
      <c r="BJD199"/>
      <c r="BJE199"/>
      <c r="BJF199"/>
      <c r="BJG199"/>
      <c r="BJH199"/>
      <c r="BJI199"/>
      <c r="BJJ199"/>
      <c r="BJK199"/>
      <c r="BJL199"/>
      <c r="BJM199"/>
      <c r="BJN199"/>
      <c r="BJO199"/>
      <c r="BJP199"/>
      <c r="BJQ199"/>
      <c r="BJR199"/>
      <c r="BJS199"/>
      <c r="BJT199"/>
      <c r="BJU199"/>
      <c r="BJV199"/>
      <c r="BJW199"/>
      <c r="BJX199"/>
      <c r="BJY199"/>
      <c r="BJZ199"/>
      <c r="BKA199"/>
      <c r="BKB199"/>
      <c r="BKC199"/>
      <c r="BKD199"/>
      <c r="BKE199"/>
      <c r="BKF199"/>
      <c r="BKG199"/>
      <c r="BKH199"/>
      <c r="BKI199"/>
      <c r="BKJ199"/>
      <c r="BKK199"/>
      <c r="BKL199"/>
      <c r="BKM199"/>
      <c r="BKN199"/>
      <c r="BKO199"/>
      <c r="BKP199"/>
      <c r="BKQ199"/>
      <c r="BKR199"/>
      <c r="BKS199"/>
      <c r="BKT199"/>
      <c r="BKU199"/>
      <c r="BKV199"/>
      <c r="BKW199"/>
      <c r="BKX199"/>
      <c r="BKY199"/>
      <c r="BKZ199"/>
      <c r="BLA199"/>
      <c r="BLB199"/>
      <c r="BLC199"/>
      <c r="BLD199"/>
      <c r="BLE199"/>
      <c r="BLF199"/>
      <c r="BLG199"/>
      <c r="BLH199"/>
      <c r="BLI199"/>
      <c r="BLJ199"/>
      <c r="BLK199"/>
      <c r="BLL199"/>
      <c r="BLM199"/>
      <c r="BLN199"/>
      <c r="BLO199"/>
      <c r="BLP199"/>
      <c r="BLQ199"/>
      <c r="BLR199"/>
      <c r="BLS199"/>
      <c r="BLT199"/>
      <c r="BLU199"/>
      <c r="BLV199"/>
      <c r="BLW199"/>
      <c r="BLX199"/>
      <c r="BLY199"/>
      <c r="BLZ199"/>
      <c r="BMA199"/>
      <c r="BMB199"/>
      <c r="BMC199"/>
      <c r="BMD199"/>
      <c r="BME199"/>
      <c r="BMF199"/>
      <c r="BMG199"/>
      <c r="BMH199"/>
      <c r="BMI199"/>
      <c r="BMJ199"/>
      <c r="BMK199"/>
      <c r="BML199"/>
      <c r="BMM199"/>
      <c r="BMN199"/>
      <c r="BMO199"/>
      <c r="BMP199"/>
      <c r="BMQ199"/>
      <c r="BMR199"/>
      <c r="BMS199"/>
      <c r="BMT199"/>
      <c r="BMU199"/>
      <c r="BMV199"/>
      <c r="BMW199"/>
      <c r="BMX199"/>
      <c r="BMY199"/>
      <c r="BMZ199"/>
      <c r="BNA199"/>
      <c r="BNB199"/>
      <c r="BNC199"/>
      <c r="BND199"/>
      <c r="BNE199"/>
      <c r="BNF199"/>
      <c r="BNG199"/>
      <c r="BNH199"/>
      <c r="BNI199"/>
      <c r="BNJ199"/>
      <c r="BNK199"/>
      <c r="BNL199"/>
      <c r="BNM199"/>
      <c r="BNN199"/>
      <c r="BNO199"/>
      <c r="BNP199"/>
      <c r="BNQ199"/>
      <c r="BNR199"/>
      <c r="BNS199"/>
      <c r="BNT199"/>
      <c r="BNU199"/>
      <c r="BNV199"/>
      <c r="BNW199"/>
      <c r="BNX199"/>
      <c r="BNY199"/>
      <c r="BNZ199"/>
      <c r="BOA199"/>
      <c r="BOB199"/>
      <c r="BOC199"/>
      <c r="BOD199"/>
      <c r="BOE199"/>
      <c r="BOF199"/>
      <c r="BOG199"/>
      <c r="BOH199"/>
      <c r="BOI199"/>
      <c r="BOJ199"/>
      <c r="BOK199"/>
      <c r="BOL199"/>
      <c r="BOM199"/>
      <c r="BON199"/>
      <c r="BOO199"/>
      <c r="BOP199"/>
      <c r="BOQ199"/>
      <c r="BOR199"/>
      <c r="BOS199"/>
      <c r="BOT199"/>
      <c r="BOU199"/>
      <c r="BOV199"/>
      <c r="BOW199"/>
      <c r="BOX199"/>
      <c r="BOY199"/>
      <c r="BOZ199"/>
      <c r="BPA199"/>
      <c r="BPB199"/>
      <c r="BPC199"/>
      <c r="BPD199"/>
      <c r="BPE199"/>
      <c r="BPF199"/>
      <c r="BPG199"/>
      <c r="BPH199"/>
      <c r="BPI199"/>
      <c r="BPJ199"/>
      <c r="BPK199"/>
      <c r="BPL199"/>
      <c r="BPM199"/>
      <c r="BPN199"/>
      <c r="BPO199"/>
      <c r="BPP199"/>
      <c r="BPQ199"/>
      <c r="BPR199"/>
      <c r="BPS199"/>
      <c r="BPT199"/>
      <c r="BPU199"/>
      <c r="BPV199"/>
      <c r="BPW199"/>
      <c r="BPX199"/>
      <c r="BPY199"/>
      <c r="BPZ199"/>
      <c r="BQA199"/>
      <c r="BQB199"/>
      <c r="BQC199"/>
      <c r="BQD199"/>
      <c r="BQE199"/>
      <c r="BQF199"/>
      <c r="BQG199"/>
      <c r="BQH199"/>
      <c r="BQI199"/>
      <c r="BQJ199"/>
      <c r="BQK199"/>
      <c r="BQL199"/>
      <c r="BQM199"/>
      <c r="BQN199"/>
      <c r="BQO199"/>
      <c r="BQP199"/>
      <c r="BQQ199"/>
      <c r="BQR199"/>
      <c r="BQS199"/>
      <c r="BQT199"/>
      <c r="BQU199"/>
      <c r="BQV199"/>
      <c r="BQW199"/>
      <c r="BQX199"/>
      <c r="BQY199"/>
      <c r="BQZ199"/>
      <c r="BRA199"/>
      <c r="BRB199"/>
      <c r="BRC199"/>
      <c r="BRD199"/>
      <c r="BRE199"/>
      <c r="BRF199"/>
      <c r="BRG199"/>
      <c r="BRH199"/>
      <c r="BRI199"/>
      <c r="BRJ199"/>
      <c r="BRK199"/>
      <c r="BRL199"/>
      <c r="BRM199"/>
      <c r="BRN199"/>
      <c r="BRO199"/>
      <c r="BRP199"/>
      <c r="BRQ199"/>
      <c r="BRR199"/>
      <c r="BRS199"/>
      <c r="BRT199"/>
      <c r="BRU199"/>
      <c r="BRV199"/>
      <c r="BRW199"/>
      <c r="BRX199"/>
      <c r="BRY199"/>
      <c r="BRZ199"/>
      <c r="BSA199"/>
      <c r="BSB199"/>
      <c r="BSC199"/>
      <c r="BSD199"/>
      <c r="BSE199"/>
      <c r="BSF199"/>
      <c r="BSG199"/>
      <c r="BSH199"/>
      <c r="BSI199"/>
      <c r="BSJ199"/>
      <c r="BSK199"/>
      <c r="BSL199"/>
      <c r="BSM199"/>
      <c r="BSN199"/>
      <c r="BSO199"/>
      <c r="BSP199"/>
      <c r="BSQ199"/>
      <c r="BSR199"/>
      <c r="BSS199"/>
      <c r="BST199"/>
      <c r="BSU199"/>
      <c r="BSV199"/>
      <c r="BSW199"/>
      <c r="BSX199"/>
      <c r="BSY199"/>
      <c r="BSZ199"/>
      <c r="BTA199"/>
      <c r="BTB199"/>
      <c r="BTC199"/>
      <c r="BTD199"/>
      <c r="BTE199"/>
      <c r="BTF199"/>
      <c r="BTG199"/>
      <c r="BTH199"/>
      <c r="BTI199"/>
      <c r="BTJ199"/>
      <c r="BTK199"/>
      <c r="BTL199"/>
      <c r="BTM199"/>
      <c r="BTN199"/>
      <c r="BTO199"/>
      <c r="BTP199"/>
      <c r="BTQ199"/>
      <c r="BTR199"/>
      <c r="BTS199"/>
      <c r="BTT199"/>
      <c r="BTU199"/>
      <c r="BTV199"/>
      <c r="BTW199"/>
      <c r="BTX199"/>
      <c r="BTY199"/>
      <c r="BTZ199"/>
      <c r="BUA199"/>
      <c r="BUB199"/>
      <c r="BUC199"/>
      <c r="BUD199"/>
      <c r="BUE199"/>
      <c r="BUF199"/>
      <c r="BUG199"/>
      <c r="BUH199"/>
      <c r="BUI199"/>
      <c r="BUJ199"/>
      <c r="BUK199"/>
      <c r="BUL199"/>
      <c r="BUM199"/>
      <c r="BUN199"/>
      <c r="BUO199"/>
      <c r="BUP199"/>
      <c r="BUQ199"/>
      <c r="BUR199"/>
      <c r="BUS199"/>
      <c r="BUT199"/>
      <c r="BUU199"/>
      <c r="BUV199"/>
      <c r="BUW199"/>
      <c r="BUX199"/>
      <c r="BUY199"/>
      <c r="BUZ199"/>
      <c r="BVA199"/>
      <c r="BVB199"/>
      <c r="BVC199"/>
      <c r="BVD199"/>
      <c r="BVE199"/>
      <c r="BVF199"/>
      <c r="BVG199"/>
      <c r="BVH199"/>
      <c r="BVI199"/>
      <c r="BVJ199"/>
      <c r="BVK199"/>
      <c r="BVL199"/>
      <c r="BVM199"/>
      <c r="BVN199"/>
      <c r="BVO199"/>
      <c r="BVP199"/>
      <c r="BVQ199"/>
      <c r="BVR199"/>
      <c r="BVS199"/>
      <c r="BVT199"/>
      <c r="BVU199"/>
      <c r="BVV199"/>
      <c r="BVW199"/>
      <c r="BVX199"/>
      <c r="BVY199"/>
      <c r="BVZ199"/>
      <c r="BWA199"/>
      <c r="BWB199"/>
      <c r="BWC199"/>
      <c r="BWD199"/>
      <c r="BWE199"/>
      <c r="BWF199"/>
      <c r="BWG199"/>
      <c r="BWH199"/>
      <c r="BWI199"/>
      <c r="BWJ199"/>
      <c r="BWK199"/>
      <c r="BWL199"/>
      <c r="BWM199"/>
      <c r="BWN199"/>
      <c r="BWO199"/>
      <c r="BWP199"/>
      <c r="BWQ199"/>
      <c r="BWR199"/>
      <c r="BWS199"/>
      <c r="BWT199"/>
      <c r="BWU199"/>
      <c r="BWV199"/>
      <c r="BWW199"/>
      <c r="BWX199"/>
      <c r="BWY199"/>
      <c r="BWZ199"/>
      <c r="BXA199"/>
      <c r="BXB199"/>
      <c r="BXC199"/>
      <c r="BXD199"/>
      <c r="BXE199"/>
      <c r="BXF199"/>
      <c r="BXG199"/>
      <c r="BXH199"/>
      <c r="BXI199"/>
      <c r="BXJ199"/>
      <c r="BXK199"/>
      <c r="BXL199"/>
      <c r="BXM199"/>
      <c r="BXN199"/>
      <c r="BXO199"/>
      <c r="BXP199"/>
      <c r="BXQ199"/>
      <c r="BXR199"/>
      <c r="BXS199"/>
      <c r="BXT199"/>
      <c r="BXU199"/>
      <c r="BXV199"/>
      <c r="BXW199"/>
      <c r="BXX199"/>
      <c r="BXY199"/>
      <c r="BXZ199"/>
      <c r="BYA199"/>
      <c r="BYB199"/>
      <c r="BYC199"/>
      <c r="BYD199"/>
      <c r="BYE199"/>
      <c r="BYF199"/>
      <c r="BYG199"/>
      <c r="BYH199"/>
      <c r="BYI199"/>
      <c r="BYJ199"/>
      <c r="BYK199"/>
      <c r="BYL199"/>
      <c r="BYM199"/>
      <c r="BYN199"/>
      <c r="BYO199"/>
      <c r="BYP199"/>
      <c r="BYQ199"/>
      <c r="BYR199"/>
      <c r="BYS199"/>
      <c r="BYT199"/>
      <c r="BYU199"/>
      <c r="BYV199"/>
      <c r="BYW199"/>
      <c r="BYX199"/>
      <c r="BYY199"/>
      <c r="BYZ199"/>
      <c r="BZA199"/>
      <c r="BZB199"/>
      <c r="BZC199"/>
      <c r="BZD199"/>
      <c r="BZE199"/>
      <c r="BZF199"/>
      <c r="BZG199"/>
      <c r="BZH199"/>
      <c r="BZI199"/>
      <c r="BZJ199"/>
      <c r="BZK199"/>
      <c r="BZL199"/>
      <c r="BZM199"/>
      <c r="BZN199"/>
      <c r="BZO199"/>
      <c r="BZP199"/>
      <c r="BZQ199"/>
      <c r="BZR199"/>
      <c r="BZS199"/>
      <c r="BZT199"/>
      <c r="BZU199"/>
      <c r="BZV199"/>
      <c r="BZW199"/>
      <c r="BZX199"/>
      <c r="BZY199"/>
      <c r="BZZ199"/>
      <c r="CAA199"/>
      <c r="CAB199"/>
      <c r="CAC199"/>
      <c r="CAD199"/>
      <c r="CAE199"/>
      <c r="CAF199"/>
      <c r="CAG199"/>
      <c r="CAH199"/>
      <c r="CAI199"/>
      <c r="CAJ199"/>
      <c r="CAK199"/>
      <c r="CAL199"/>
      <c r="CAM199"/>
      <c r="CAN199"/>
      <c r="CAO199"/>
      <c r="CAP199"/>
      <c r="CAQ199"/>
      <c r="CAR199"/>
      <c r="CAS199"/>
      <c r="CAT199"/>
      <c r="CAU199"/>
      <c r="CAV199"/>
      <c r="CAW199"/>
      <c r="CAX199"/>
      <c r="CAY199"/>
      <c r="CAZ199"/>
      <c r="CBA199"/>
      <c r="CBB199"/>
      <c r="CBC199"/>
      <c r="CBD199"/>
      <c r="CBE199"/>
      <c r="CBF199"/>
      <c r="CBG199"/>
      <c r="CBH199"/>
      <c r="CBI199"/>
      <c r="CBJ199"/>
      <c r="CBK199"/>
      <c r="CBL199"/>
      <c r="CBM199"/>
      <c r="CBN199"/>
      <c r="CBO199"/>
      <c r="CBP199"/>
      <c r="CBQ199"/>
      <c r="CBR199"/>
      <c r="CBS199"/>
      <c r="CBT199"/>
      <c r="CBU199"/>
      <c r="CBV199"/>
      <c r="CBW199"/>
      <c r="CBX199"/>
      <c r="CBY199"/>
      <c r="CBZ199"/>
      <c r="CCA199"/>
      <c r="CCB199"/>
      <c r="CCC199"/>
      <c r="CCD199"/>
      <c r="CCE199"/>
      <c r="CCF199"/>
      <c r="CCG199"/>
      <c r="CCH199"/>
      <c r="CCI199"/>
      <c r="CCJ199"/>
      <c r="CCK199"/>
      <c r="CCL199"/>
      <c r="CCM199"/>
      <c r="CCN199"/>
      <c r="CCO199"/>
      <c r="CCP199"/>
      <c r="CCQ199"/>
      <c r="CCR199"/>
      <c r="CCS199"/>
      <c r="CCT199"/>
      <c r="CCU199"/>
      <c r="CCV199"/>
      <c r="CCW199"/>
      <c r="CCX199"/>
      <c r="CCY199"/>
      <c r="CCZ199"/>
      <c r="CDA199"/>
      <c r="CDB199"/>
      <c r="CDC199"/>
      <c r="CDD199"/>
      <c r="CDE199"/>
      <c r="CDF199"/>
      <c r="CDG199"/>
      <c r="CDH199"/>
      <c r="CDI199"/>
      <c r="CDJ199"/>
      <c r="CDK199"/>
      <c r="CDL199"/>
      <c r="CDM199"/>
      <c r="CDN199"/>
      <c r="CDO199"/>
      <c r="CDP199"/>
      <c r="CDQ199"/>
      <c r="CDR199"/>
      <c r="CDS199"/>
      <c r="CDT199"/>
      <c r="CDU199"/>
      <c r="CDV199"/>
      <c r="CDW199"/>
      <c r="CDX199"/>
      <c r="CDY199"/>
      <c r="CDZ199"/>
      <c r="CEA199"/>
      <c r="CEB199"/>
      <c r="CEC199"/>
      <c r="CED199"/>
      <c r="CEE199"/>
      <c r="CEF199"/>
      <c r="CEG199"/>
      <c r="CEH199"/>
      <c r="CEI199"/>
      <c r="CEJ199"/>
      <c r="CEK199"/>
      <c r="CEL199"/>
      <c r="CEM199"/>
      <c r="CEN199"/>
      <c r="CEO199"/>
      <c r="CEP199"/>
      <c r="CEQ199"/>
      <c r="CER199"/>
      <c r="CES199"/>
      <c r="CET199"/>
      <c r="CEU199"/>
      <c r="CEV199"/>
      <c r="CEW199"/>
      <c r="CEX199"/>
      <c r="CEY199"/>
      <c r="CEZ199"/>
      <c r="CFA199"/>
      <c r="CFB199"/>
      <c r="CFC199"/>
      <c r="CFD199"/>
      <c r="CFE199"/>
      <c r="CFF199"/>
      <c r="CFG199"/>
      <c r="CFH199"/>
      <c r="CFI199"/>
      <c r="CFJ199"/>
      <c r="CFK199"/>
      <c r="CFL199"/>
      <c r="CFM199"/>
      <c r="CFN199"/>
      <c r="CFO199"/>
      <c r="CFP199"/>
      <c r="CFQ199"/>
      <c r="CFR199"/>
      <c r="CFS199"/>
      <c r="CFT199"/>
      <c r="CFU199"/>
      <c r="CFV199"/>
      <c r="CFW199"/>
      <c r="CFX199"/>
      <c r="CFY199"/>
      <c r="CFZ199"/>
      <c r="CGA199"/>
      <c r="CGB199"/>
      <c r="CGC199"/>
      <c r="CGD199"/>
      <c r="CGE199"/>
      <c r="CGF199"/>
      <c r="CGG199"/>
      <c r="CGH199"/>
      <c r="CGI199"/>
      <c r="CGJ199"/>
      <c r="CGK199"/>
      <c r="CGL199"/>
      <c r="CGM199"/>
      <c r="CGN199"/>
      <c r="CGO199"/>
      <c r="CGP199"/>
      <c r="CGQ199"/>
      <c r="CGR199"/>
      <c r="CGS199"/>
      <c r="CGT199"/>
      <c r="CGU199"/>
      <c r="CGV199"/>
      <c r="CGW199"/>
      <c r="CGX199"/>
      <c r="CGY199"/>
      <c r="CGZ199"/>
      <c r="CHA199"/>
      <c r="CHB199"/>
      <c r="CHC199"/>
      <c r="CHD199"/>
      <c r="CHE199"/>
      <c r="CHF199"/>
      <c r="CHG199"/>
      <c r="CHH199"/>
      <c r="CHI199"/>
      <c r="CHJ199"/>
      <c r="CHK199"/>
      <c r="CHL199"/>
      <c r="CHM199"/>
      <c r="CHN199"/>
      <c r="CHO199"/>
      <c r="CHP199"/>
      <c r="CHQ199"/>
      <c r="CHR199"/>
      <c r="CHS199"/>
      <c r="CHT199"/>
      <c r="CHU199"/>
      <c r="CHV199"/>
      <c r="CHW199"/>
      <c r="CHX199"/>
      <c r="CHY199"/>
      <c r="CHZ199"/>
      <c r="CIA199"/>
      <c r="CIB199"/>
      <c r="CIC199"/>
      <c r="CID199"/>
      <c r="CIE199"/>
      <c r="CIF199"/>
      <c r="CIG199"/>
      <c r="CIH199"/>
      <c r="CII199"/>
      <c r="CIJ199"/>
      <c r="CIK199"/>
      <c r="CIL199"/>
      <c r="CIM199"/>
      <c r="CIN199"/>
      <c r="CIO199"/>
      <c r="CIP199"/>
      <c r="CIQ199"/>
      <c r="CIR199"/>
      <c r="CIS199"/>
      <c r="CIT199"/>
      <c r="CIU199"/>
      <c r="CIV199"/>
      <c r="CIW199"/>
      <c r="CIX199"/>
      <c r="CIY199"/>
      <c r="CIZ199"/>
      <c r="CJA199"/>
      <c r="CJB199"/>
      <c r="CJC199"/>
      <c r="CJD199"/>
      <c r="CJE199"/>
      <c r="CJF199"/>
      <c r="CJG199"/>
      <c r="CJH199"/>
      <c r="CJI199"/>
      <c r="CJJ199"/>
      <c r="CJK199"/>
      <c r="CJL199"/>
      <c r="CJM199"/>
      <c r="CJN199"/>
      <c r="CJO199"/>
      <c r="CJP199"/>
      <c r="CJQ199"/>
      <c r="CJR199"/>
      <c r="CJS199"/>
      <c r="CJT199"/>
      <c r="CJU199"/>
      <c r="CJV199"/>
      <c r="CJW199"/>
      <c r="CJX199"/>
      <c r="CJY199"/>
      <c r="CJZ199"/>
      <c r="CKA199"/>
      <c r="CKB199"/>
      <c r="CKC199"/>
      <c r="CKD199"/>
      <c r="CKE199"/>
      <c r="CKF199"/>
      <c r="CKG199"/>
      <c r="CKH199"/>
      <c r="CKI199"/>
      <c r="CKJ199"/>
      <c r="CKK199"/>
      <c r="CKL199"/>
      <c r="CKM199"/>
      <c r="CKN199"/>
      <c r="CKO199"/>
      <c r="CKP199"/>
      <c r="CKQ199"/>
      <c r="CKR199"/>
      <c r="CKS199"/>
      <c r="CKT199"/>
      <c r="CKU199"/>
      <c r="CKV199"/>
      <c r="CKW199"/>
      <c r="CKX199"/>
      <c r="CKY199"/>
      <c r="CKZ199"/>
      <c r="CLA199"/>
      <c r="CLB199"/>
      <c r="CLC199"/>
      <c r="CLD199"/>
      <c r="CLE199"/>
      <c r="CLF199"/>
      <c r="CLG199"/>
      <c r="CLH199"/>
      <c r="CLI199"/>
      <c r="CLJ199"/>
      <c r="CLK199"/>
      <c r="CLL199"/>
      <c r="CLM199"/>
      <c r="CLN199"/>
      <c r="CLO199"/>
      <c r="CLP199"/>
      <c r="CLQ199"/>
      <c r="CLR199"/>
      <c r="CLS199"/>
      <c r="CLT199"/>
      <c r="CLU199"/>
      <c r="CLV199"/>
      <c r="CLW199"/>
      <c r="CLX199"/>
      <c r="CLY199"/>
      <c r="CLZ199"/>
      <c r="CMA199"/>
      <c r="CMB199"/>
      <c r="CMC199"/>
      <c r="CMD199"/>
      <c r="CME199"/>
      <c r="CMF199"/>
      <c r="CMG199"/>
      <c r="CMH199"/>
      <c r="CMI199"/>
      <c r="CMJ199"/>
      <c r="CMK199"/>
      <c r="CML199"/>
      <c r="CMM199"/>
      <c r="CMN199"/>
      <c r="CMO199"/>
      <c r="CMP199"/>
      <c r="CMQ199"/>
      <c r="CMR199"/>
      <c r="CMS199"/>
      <c r="CMT199"/>
      <c r="CMU199"/>
      <c r="CMV199"/>
      <c r="CMW199"/>
      <c r="CMX199"/>
      <c r="CMY199"/>
      <c r="CMZ199"/>
      <c r="CNA199"/>
      <c r="CNB199"/>
      <c r="CNC199"/>
      <c r="CND199"/>
      <c r="CNE199"/>
      <c r="CNF199"/>
      <c r="CNG199"/>
      <c r="CNH199"/>
      <c r="CNI199"/>
      <c r="CNJ199"/>
      <c r="CNK199"/>
      <c r="CNL199"/>
      <c r="CNM199"/>
      <c r="CNN199"/>
      <c r="CNO199"/>
      <c r="CNP199"/>
      <c r="CNQ199"/>
      <c r="CNR199"/>
      <c r="CNS199"/>
      <c r="CNT199"/>
      <c r="CNU199"/>
      <c r="CNV199"/>
      <c r="CNW199"/>
      <c r="CNX199"/>
      <c r="CNY199"/>
      <c r="CNZ199"/>
      <c r="COA199"/>
      <c r="COB199"/>
      <c r="COC199"/>
      <c r="COD199"/>
      <c r="COE199"/>
      <c r="COF199"/>
      <c r="COG199"/>
      <c r="COH199"/>
      <c r="COI199"/>
      <c r="COJ199"/>
      <c r="COK199"/>
      <c r="COL199"/>
      <c r="COM199"/>
      <c r="CON199"/>
      <c r="COO199"/>
      <c r="COP199"/>
      <c r="COQ199"/>
      <c r="COR199"/>
      <c r="COS199"/>
      <c r="COT199"/>
      <c r="COU199"/>
      <c r="COV199"/>
      <c r="COW199"/>
      <c r="COX199"/>
      <c r="COY199"/>
      <c r="COZ199"/>
      <c r="CPA199"/>
      <c r="CPB199"/>
      <c r="CPC199"/>
      <c r="CPD199"/>
      <c r="CPE199"/>
      <c r="CPF199"/>
      <c r="CPG199"/>
      <c r="CPH199"/>
      <c r="CPI199"/>
      <c r="CPJ199"/>
      <c r="CPK199"/>
      <c r="CPL199"/>
      <c r="CPM199"/>
      <c r="CPN199"/>
      <c r="CPO199"/>
      <c r="CPP199"/>
      <c r="CPQ199"/>
      <c r="CPR199"/>
      <c r="CPS199"/>
      <c r="CPT199"/>
      <c r="CPU199"/>
      <c r="CPV199"/>
      <c r="CPW199"/>
      <c r="CPX199"/>
      <c r="CPY199"/>
      <c r="CPZ199"/>
      <c r="CQA199"/>
      <c r="CQB199"/>
      <c r="CQC199"/>
      <c r="CQD199"/>
      <c r="CQE199"/>
      <c r="CQF199"/>
      <c r="CQG199"/>
      <c r="CQH199"/>
      <c r="CQI199"/>
      <c r="CQJ199"/>
      <c r="CQK199"/>
      <c r="CQL199"/>
      <c r="CQM199"/>
      <c r="CQN199"/>
      <c r="CQO199"/>
      <c r="CQP199"/>
      <c r="CQQ199"/>
      <c r="CQR199"/>
      <c r="CQS199"/>
      <c r="CQT199"/>
      <c r="CQU199"/>
      <c r="CQV199"/>
      <c r="CQW199"/>
      <c r="CQX199"/>
      <c r="CQY199"/>
      <c r="CQZ199"/>
      <c r="CRA199"/>
      <c r="CRB199"/>
      <c r="CRC199"/>
      <c r="CRD199"/>
      <c r="CRE199"/>
      <c r="CRF199"/>
      <c r="CRG199"/>
      <c r="CRH199"/>
      <c r="CRI199"/>
      <c r="CRJ199"/>
      <c r="CRK199"/>
      <c r="CRL199"/>
      <c r="CRM199"/>
      <c r="CRN199"/>
      <c r="CRO199"/>
      <c r="CRP199"/>
      <c r="CRQ199"/>
      <c r="CRR199"/>
      <c r="CRS199"/>
      <c r="CRT199"/>
      <c r="CRU199"/>
      <c r="CRV199"/>
      <c r="CRW199"/>
      <c r="CRX199"/>
      <c r="CRY199"/>
      <c r="CRZ199"/>
      <c r="CSA199"/>
      <c r="CSB199"/>
      <c r="CSC199"/>
      <c r="CSD199"/>
      <c r="CSE199"/>
      <c r="CSF199"/>
      <c r="CSG199"/>
      <c r="CSH199"/>
      <c r="CSI199"/>
      <c r="CSJ199"/>
      <c r="CSK199"/>
      <c r="CSL199"/>
      <c r="CSM199"/>
      <c r="CSN199"/>
      <c r="CSO199"/>
      <c r="CSP199"/>
      <c r="CSQ199"/>
      <c r="CSR199"/>
      <c r="CSS199"/>
      <c r="CST199"/>
      <c r="CSU199"/>
      <c r="CSV199"/>
      <c r="CSW199"/>
      <c r="CSX199"/>
      <c r="CSY199"/>
      <c r="CSZ199"/>
      <c r="CTA199"/>
      <c r="CTB199"/>
      <c r="CTC199"/>
      <c r="CTD199"/>
      <c r="CTE199"/>
      <c r="CTF199"/>
      <c r="CTG199"/>
      <c r="CTH199"/>
      <c r="CTI199"/>
      <c r="CTJ199"/>
      <c r="CTK199"/>
      <c r="CTL199"/>
      <c r="CTM199"/>
      <c r="CTN199"/>
      <c r="CTO199"/>
      <c r="CTP199"/>
      <c r="CTQ199"/>
      <c r="CTR199"/>
      <c r="CTS199"/>
      <c r="CTT199"/>
      <c r="CTU199"/>
      <c r="CTV199"/>
      <c r="CTW199"/>
      <c r="CTX199"/>
      <c r="CTY199"/>
      <c r="CTZ199"/>
      <c r="CUA199"/>
      <c r="CUB199"/>
      <c r="CUC199"/>
      <c r="CUD199"/>
      <c r="CUE199"/>
      <c r="CUF199"/>
      <c r="CUG199"/>
      <c r="CUH199"/>
      <c r="CUI199"/>
      <c r="CUJ199"/>
      <c r="CUK199"/>
      <c r="CUL199"/>
      <c r="CUM199"/>
      <c r="CUN199"/>
      <c r="CUO199"/>
      <c r="CUP199"/>
      <c r="CUQ199"/>
      <c r="CUR199"/>
      <c r="CUS199"/>
      <c r="CUT199"/>
      <c r="CUU199"/>
      <c r="CUV199"/>
      <c r="CUW199"/>
      <c r="CUX199"/>
      <c r="CUY199"/>
      <c r="CUZ199"/>
      <c r="CVA199"/>
      <c r="CVB199"/>
      <c r="CVC199"/>
      <c r="CVD199"/>
      <c r="CVE199"/>
      <c r="CVF199"/>
      <c r="CVG199"/>
      <c r="CVH199"/>
      <c r="CVI199"/>
      <c r="CVJ199"/>
      <c r="CVK199"/>
      <c r="CVL199"/>
      <c r="CVM199"/>
      <c r="CVN199"/>
      <c r="CVO199"/>
      <c r="CVP199"/>
      <c r="CVQ199"/>
      <c r="CVR199"/>
      <c r="CVS199"/>
      <c r="CVT199"/>
      <c r="CVU199"/>
      <c r="CVV199"/>
      <c r="CVW199"/>
      <c r="CVX199"/>
      <c r="CVY199"/>
      <c r="CVZ199"/>
      <c r="CWA199"/>
      <c r="CWB199"/>
      <c r="CWC199"/>
      <c r="CWD199"/>
      <c r="CWE199"/>
      <c r="CWF199"/>
      <c r="CWG199"/>
      <c r="CWH199"/>
      <c r="CWI199"/>
      <c r="CWJ199"/>
      <c r="CWK199"/>
      <c r="CWL199"/>
      <c r="CWM199"/>
      <c r="CWN199"/>
      <c r="CWO199"/>
      <c r="CWP199"/>
      <c r="CWQ199"/>
      <c r="CWR199"/>
      <c r="CWS199"/>
      <c r="CWT199"/>
      <c r="CWU199"/>
      <c r="CWV199"/>
      <c r="CWW199"/>
      <c r="CWX199"/>
      <c r="CWY199"/>
      <c r="CWZ199"/>
      <c r="CXA199"/>
      <c r="CXB199"/>
      <c r="CXC199"/>
      <c r="CXD199"/>
      <c r="CXE199"/>
      <c r="CXF199"/>
      <c r="CXG199"/>
      <c r="CXH199"/>
      <c r="CXI199"/>
      <c r="CXJ199"/>
      <c r="CXK199"/>
      <c r="CXL199"/>
      <c r="CXM199"/>
      <c r="CXN199"/>
      <c r="CXO199"/>
      <c r="CXP199"/>
      <c r="CXQ199"/>
      <c r="CXR199"/>
      <c r="CXS199"/>
      <c r="CXT199"/>
      <c r="CXU199"/>
      <c r="CXV199"/>
      <c r="CXW199"/>
      <c r="CXX199"/>
      <c r="CXY199"/>
      <c r="CXZ199"/>
      <c r="CYA199"/>
      <c r="CYB199"/>
      <c r="CYC199"/>
      <c r="CYD199"/>
      <c r="CYE199"/>
      <c r="CYF199"/>
      <c r="CYG199"/>
      <c r="CYH199"/>
      <c r="CYI199"/>
      <c r="CYJ199"/>
      <c r="CYK199"/>
      <c r="CYL199"/>
      <c r="CYM199"/>
      <c r="CYN199"/>
      <c r="CYO199"/>
      <c r="CYP199"/>
      <c r="CYQ199"/>
      <c r="CYR199"/>
      <c r="CYS199"/>
      <c r="CYT199"/>
      <c r="CYU199"/>
      <c r="CYV199"/>
      <c r="CYW199"/>
      <c r="CYX199"/>
      <c r="CYY199"/>
      <c r="CYZ199"/>
      <c r="CZA199"/>
      <c r="CZB199"/>
      <c r="CZC199"/>
      <c r="CZD199"/>
      <c r="CZE199"/>
      <c r="CZF199"/>
      <c r="CZG199"/>
      <c r="CZH199"/>
      <c r="CZI199"/>
      <c r="CZJ199"/>
      <c r="CZK199"/>
      <c r="CZL199"/>
      <c r="CZM199"/>
      <c r="CZN199"/>
      <c r="CZO199"/>
      <c r="CZP199"/>
      <c r="CZQ199"/>
      <c r="CZR199"/>
      <c r="CZS199"/>
      <c r="CZT199"/>
      <c r="CZU199"/>
      <c r="CZV199"/>
      <c r="CZW199"/>
      <c r="CZX199"/>
      <c r="CZY199"/>
      <c r="CZZ199"/>
      <c r="DAA199"/>
      <c r="DAB199"/>
      <c r="DAC199"/>
      <c r="DAD199"/>
      <c r="DAE199"/>
      <c r="DAF199"/>
      <c r="DAG199"/>
      <c r="DAH199"/>
      <c r="DAI199"/>
      <c r="DAJ199"/>
      <c r="DAK199"/>
      <c r="DAL199"/>
      <c r="DAM199"/>
      <c r="DAN199"/>
      <c r="DAO199"/>
      <c r="DAP199"/>
      <c r="DAQ199"/>
      <c r="DAR199"/>
      <c r="DAS199"/>
      <c r="DAT199"/>
      <c r="DAU199"/>
      <c r="DAV199"/>
      <c r="DAW199"/>
      <c r="DAX199"/>
      <c r="DAY199"/>
      <c r="DAZ199"/>
      <c r="DBA199"/>
      <c r="DBB199"/>
      <c r="DBC199"/>
      <c r="DBD199"/>
      <c r="DBE199"/>
      <c r="DBF199"/>
      <c r="DBG199"/>
      <c r="DBH199"/>
      <c r="DBI199"/>
      <c r="DBJ199"/>
      <c r="DBK199"/>
      <c r="DBL199"/>
      <c r="DBM199"/>
      <c r="DBN199"/>
      <c r="DBO199"/>
      <c r="DBP199"/>
      <c r="DBQ199"/>
      <c r="DBR199"/>
      <c r="DBS199"/>
      <c r="DBT199"/>
      <c r="DBU199"/>
      <c r="DBV199"/>
      <c r="DBW199"/>
      <c r="DBX199"/>
      <c r="DBY199"/>
      <c r="DBZ199"/>
      <c r="DCA199"/>
      <c r="DCB199"/>
      <c r="DCC199"/>
      <c r="DCD199"/>
      <c r="DCE199"/>
      <c r="DCF199"/>
      <c r="DCG199"/>
      <c r="DCH199"/>
      <c r="DCI199"/>
      <c r="DCJ199"/>
      <c r="DCK199"/>
      <c r="DCL199"/>
      <c r="DCM199"/>
      <c r="DCN199"/>
      <c r="DCO199"/>
      <c r="DCP199"/>
      <c r="DCQ199"/>
      <c r="DCR199"/>
      <c r="DCS199"/>
      <c r="DCT199"/>
      <c r="DCU199"/>
      <c r="DCV199"/>
      <c r="DCW199"/>
      <c r="DCX199"/>
      <c r="DCY199"/>
      <c r="DCZ199"/>
      <c r="DDA199"/>
      <c r="DDB199"/>
      <c r="DDC199"/>
      <c r="DDD199"/>
      <c r="DDE199"/>
      <c r="DDF199"/>
      <c r="DDG199"/>
      <c r="DDH199"/>
      <c r="DDI199"/>
      <c r="DDJ199"/>
      <c r="DDK199"/>
      <c r="DDL199"/>
      <c r="DDM199"/>
      <c r="DDN199"/>
      <c r="DDO199"/>
      <c r="DDP199"/>
      <c r="DDQ199"/>
      <c r="DDR199"/>
      <c r="DDS199"/>
      <c r="DDT199"/>
      <c r="DDU199"/>
      <c r="DDV199"/>
      <c r="DDW199"/>
      <c r="DDX199"/>
      <c r="DDY199"/>
      <c r="DDZ199"/>
      <c r="DEA199"/>
      <c r="DEB199"/>
      <c r="DEC199"/>
      <c r="DED199"/>
      <c r="DEE199"/>
      <c r="DEF199"/>
      <c r="DEG199"/>
      <c r="DEH199"/>
      <c r="DEI199"/>
      <c r="DEJ199"/>
      <c r="DEK199"/>
      <c r="DEL199"/>
      <c r="DEM199"/>
      <c r="DEN199"/>
      <c r="DEO199"/>
      <c r="DEP199"/>
      <c r="DEQ199"/>
      <c r="DER199"/>
      <c r="DES199"/>
      <c r="DET199"/>
      <c r="DEU199"/>
      <c r="DEV199"/>
      <c r="DEW199"/>
      <c r="DEX199"/>
      <c r="DEY199"/>
      <c r="DEZ199"/>
      <c r="DFA199"/>
      <c r="DFB199"/>
      <c r="DFC199"/>
      <c r="DFD199"/>
      <c r="DFE199"/>
      <c r="DFF199"/>
      <c r="DFG199"/>
      <c r="DFH199"/>
      <c r="DFI199"/>
      <c r="DFJ199"/>
      <c r="DFK199"/>
      <c r="DFL199"/>
      <c r="DFM199"/>
      <c r="DFN199"/>
      <c r="DFO199"/>
      <c r="DFP199"/>
      <c r="DFQ199"/>
      <c r="DFR199"/>
      <c r="DFS199"/>
      <c r="DFT199"/>
      <c r="DFU199"/>
      <c r="DFV199"/>
      <c r="DFW199"/>
      <c r="DFX199"/>
      <c r="DFY199"/>
      <c r="DFZ199"/>
      <c r="DGA199"/>
      <c r="DGB199"/>
      <c r="DGC199"/>
      <c r="DGD199"/>
      <c r="DGE199"/>
      <c r="DGF199"/>
      <c r="DGG199"/>
      <c r="DGH199"/>
      <c r="DGI199"/>
      <c r="DGJ199"/>
      <c r="DGK199"/>
      <c r="DGL199"/>
      <c r="DGM199"/>
      <c r="DGN199"/>
      <c r="DGO199"/>
      <c r="DGP199"/>
      <c r="DGQ199"/>
      <c r="DGR199"/>
      <c r="DGS199"/>
      <c r="DGT199"/>
      <c r="DGU199"/>
      <c r="DGV199"/>
      <c r="DGW199"/>
      <c r="DGX199"/>
      <c r="DGY199"/>
      <c r="DGZ199"/>
      <c r="DHA199"/>
      <c r="DHB199"/>
      <c r="DHC199"/>
      <c r="DHD199"/>
      <c r="DHE199"/>
      <c r="DHF199"/>
      <c r="DHG199"/>
      <c r="DHH199"/>
      <c r="DHI199"/>
      <c r="DHJ199"/>
      <c r="DHK199"/>
      <c r="DHL199"/>
      <c r="DHM199"/>
      <c r="DHN199"/>
      <c r="DHO199"/>
      <c r="DHP199"/>
      <c r="DHQ199"/>
      <c r="DHR199"/>
      <c r="DHS199"/>
      <c r="DHT199"/>
      <c r="DHU199"/>
      <c r="DHV199"/>
      <c r="DHW199"/>
      <c r="DHX199"/>
      <c r="DHY199"/>
      <c r="DHZ199"/>
      <c r="DIA199"/>
      <c r="DIB199"/>
      <c r="DIC199"/>
      <c r="DID199"/>
      <c r="DIE199"/>
      <c r="DIF199"/>
      <c r="DIG199"/>
      <c r="DIH199"/>
      <c r="DII199"/>
      <c r="DIJ199"/>
      <c r="DIK199"/>
      <c r="DIL199"/>
      <c r="DIM199"/>
      <c r="DIN199"/>
      <c r="DIO199"/>
      <c r="DIP199"/>
      <c r="DIQ199"/>
      <c r="DIR199"/>
      <c r="DIS199"/>
      <c r="DIT199"/>
      <c r="DIU199"/>
      <c r="DIV199"/>
      <c r="DIW199"/>
      <c r="DIX199"/>
      <c r="DIY199"/>
      <c r="DIZ199"/>
      <c r="DJA199"/>
      <c r="DJB199"/>
      <c r="DJC199"/>
      <c r="DJD199"/>
      <c r="DJE199"/>
      <c r="DJF199"/>
      <c r="DJG199"/>
      <c r="DJH199"/>
      <c r="DJI199"/>
      <c r="DJJ199"/>
      <c r="DJK199"/>
      <c r="DJL199"/>
      <c r="DJM199"/>
      <c r="DJN199"/>
      <c r="DJO199"/>
      <c r="DJP199"/>
      <c r="DJQ199"/>
      <c r="DJR199"/>
      <c r="DJS199"/>
      <c r="DJT199"/>
      <c r="DJU199"/>
      <c r="DJV199"/>
      <c r="DJW199"/>
      <c r="DJX199"/>
      <c r="DJY199"/>
      <c r="DJZ199"/>
      <c r="DKA199"/>
      <c r="DKB199"/>
      <c r="DKC199"/>
      <c r="DKD199"/>
      <c r="DKE199"/>
      <c r="DKF199"/>
      <c r="DKG199"/>
      <c r="DKH199"/>
      <c r="DKI199"/>
      <c r="DKJ199"/>
      <c r="DKK199"/>
      <c r="DKL199"/>
      <c r="DKM199"/>
      <c r="DKN199"/>
      <c r="DKO199"/>
      <c r="DKP199"/>
      <c r="DKQ199"/>
      <c r="DKR199"/>
      <c r="DKS199"/>
      <c r="DKT199"/>
      <c r="DKU199"/>
      <c r="DKV199"/>
      <c r="DKW199"/>
      <c r="DKX199"/>
      <c r="DKY199"/>
      <c r="DKZ199"/>
      <c r="DLA199"/>
      <c r="DLB199"/>
      <c r="DLC199"/>
      <c r="DLD199"/>
      <c r="DLE199"/>
      <c r="DLF199"/>
      <c r="DLG199"/>
      <c r="DLH199"/>
      <c r="DLI199"/>
      <c r="DLJ199"/>
      <c r="DLK199"/>
      <c r="DLL199"/>
      <c r="DLM199"/>
      <c r="DLN199"/>
      <c r="DLO199"/>
      <c r="DLP199"/>
      <c r="DLQ199"/>
      <c r="DLR199"/>
      <c r="DLS199"/>
      <c r="DLT199"/>
      <c r="DLU199"/>
      <c r="DLV199"/>
      <c r="DLW199"/>
      <c r="DLX199"/>
      <c r="DLY199"/>
      <c r="DLZ199"/>
      <c r="DMA199"/>
      <c r="DMB199"/>
      <c r="DMC199"/>
      <c r="DMD199"/>
      <c r="DME199"/>
      <c r="DMF199"/>
      <c r="DMG199"/>
      <c r="DMH199"/>
      <c r="DMI199"/>
      <c r="DMJ199"/>
      <c r="DMK199"/>
      <c r="DML199"/>
      <c r="DMM199"/>
      <c r="DMN199"/>
      <c r="DMO199"/>
      <c r="DMP199"/>
      <c r="DMQ199"/>
      <c r="DMR199"/>
      <c r="DMS199"/>
      <c r="DMT199"/>
      <c r="DMU199"/>
      <c r="DMV199"/>
      <c r="DMW199"/>
      <c r="DMX199"/>
      <c r="DMY199"/>
      <c r="DMZ199"/>
      <c r="DNA199"/>
      <c r="DNB199"/>
      <c r="DNC199"/>
      <c r="DND199"/>
      <c r="DNE199"/>
      <c r="DNF199"/>
      <c r="DNG199"/>
      <c r="DNH199"/>
      <c r="DNI199"/>
      <c r="DNJ199"/>
      <c r="DNK199"/>
      <c r="DNL199"/>
      <c r="DNM199"/>
      <c r="DNN199"/>
      <c r="DNO199"/>
      <c r="DNP199"/>
      <c r="DNQ199"/>
      <c r="DNR199"/>
      <c r="DNS199"/>
      <c r="DNT199"/>
      <c r="DNU199"/>
      <c r="DNV199"/>
      <c r="DNW199"/>
      <c r="DNX199"/>
      <c r="DNY199"/>
      <c r="DNZ199"/>
      <c r="DOA199"/>
      <c r="DOB199"/>
      <c r="DOC199"/>
      <c r="DOD199"/>
      <c r="DOE199"/>
      <c r="DOF199"/>
      <c r="DOG199"/>
      <c r="DOH199"/>
      <c r="DOI199"/>
      <c r="DOJ199"/>
      <c r="DOK199"/>
      <c r="DOL199"/>
      <c r="DOM199"/>
      <c r="DON199"/>
      <c r="DOO199"/>
      <c r="DOP199"/>
      <c r="DOQ199"/>
      <c r="DOR199"/>
      <c r="DOS199"/>
      <c r="DOT199"/>
      <c r="DOU199"/>
      <c r="DOV199"/>
      <c r="DOW199"/>
      <c r="DOX199"/>
      <c r="DOY199"/>
      <c r="DOZ199"/>
      <c r="DPA199"/>
      <c r="DPB199"/>
      <c r="DPC199"/>
      <c r="DPD199"/>
      <c r="DPE199"/>
      <c r="DPF199"/>
      <c r="DPG199"/>
      <c r="DPH199"/>
      <c r="DPI199"/>
      <c r="DPJ199"/>
      <c r="DPK199"/>
      <c r="DPL199"/>
      <c r="DPM199"/>
      <c r="DPN199"/>
      <c r="DPO199"/>
      <c r="DPP199"/>
      <c r="DPQ199"/>
      <c r="DPR199"/>
      <c r="DPS199"/>
      <c r="DPT199"/>
      <c r="DPU199"/>
      <c r="DPV199"/>
      <c r="DPW199"/>
      <c r="DPX199"/>
      <c r="DPY199"/>
      <c r="DPZ199"/>
      <c r="DQA199"/>
      <c r="DQB199"/>
      <c r="DQC199"/>
      <c r="DQD199"/>
      <c r="DQE199"/>
      <c r="DQF199"/>
      <c r="DQG199"/>
      <c r="DQH199"/>
      <c r="DQI199"/>
      <c r="DQJ199"/>
      <c r="DQK199"/>
      <c r="DQL199"/>
      <c r="DQM199"/>
      <c r="DQN199"/>
      <c r="DQO199"/>
      <c r="DQP199"/>
      <c r="DQQ199"/>
      <c r="DQR199"/>
      <c r="DQS199"/>
      <c r="DQT199"/>
      <c r="DQU199"/>
      <c r="DQV199"/>
      <c r="DQW199"/>
      <c r="DQX199"/>
      <c r="DQY199"/>
      <c r="DQZ199"/>
      <c r="DRA199"/>
      <c r="DRB199"/>
      <c r="DRC199"/>
      <c r="DRD199"/>
      <c r="DRE199"/>
      <c r="DRF199"/>
      <c r="DRG199"/>
      <c r="DRH199"/>
      <c r="DRI199"/>
      <c r="DRJ199"/>
      <c r="DRK199"/>
      <c r="DRL199"/>
      <c r="DRM199"/>
      <c r="DRN199"/>
      <c r="DRO199"/>
      <c r="DRP199"/>
      <c r="DRQ199"/>
      <c r="DRR199"/>
      <c r="DRS199"/>
      <c r="DRT199"/>
      <c r="DRU199"/>
      <c r="DRV199"/>
      <c r="DRW199"/>
      <c r="DRX199"/>
      <c r="DRY199"/>
      <c r="DRZ199"/>
      <c r="DSA199"/>
      <c r="DSB199"/>
      <c r="DSC199"/>
      <c r="DSD199"/>
      <c r="DSE199"/>
      <c r="DSF199"/>
      <c r="DSG199"/>
      <c r="DSH199"/>
      <c r="DSI199"/>
      <c r="DSJ199"/>
      <c r="DSK199"/>
      <c r="DSL199"/>
      <c r="DSM199"/>
      <c r="DSN199"/>
      <c r="DSO199"/>
      <c r="DSP199"/>
      <c r="DSQ199"/>
      <c r="DSR199"/>
      <c r="DSS199"/>
      <c r="DST199"/>
      <c r="DSU199"/>
      <c r="DSV199"/>
      <c r="DSW199"/>
      <c r="DSX199"/>
      <c r="DSY199"/>
      <c r="DSZ199"/>
      <c r="DTA199"/>
      <c r="DTB199"/>
      <c r="DTC199"/>
      <c r="DTD199"/>
      <c r="DTE199"/>
      <c r="DTF199"/>
      <c r="DTG199"/>
      <c r="DTH199"/>
      <c r="DTI199"/>
      <c r="DTJ199"/>
      <c r="DTK199"/>
      <c r="DTL199"/>
      <c r="DTM199"/>
      <c r="DTN199"/>
      <c r="DTO199"/>
      <c r="DTP199"/>
      <c r="DTQ199"/>
      <c r="DTR199"/>
      <c r="DTS199"/>
      <c r="DTT199"/>
      <c r="DTU199"/>
      <c r="DTV199"/>
      <c r="DTW199"/>
      <c r="DTX199"/>
      <c r="DTY199"/>
      <c r="DTZ199"/>
      <c r="DUA199"/>
      <c r="DUB199"/>
      <c r="DUC199"/>
      <c r="DUD199"/>
      <c r="DUE199"/>
      <c r="DUF199"/>
      <c r="DUG199"/>
      <c r="DUH199"/>
      <c r="DUI199"/>
      <c r="DUJ199"/>
      <c r="DUK199"/>
      <c r="DUL199"/>
      <c r="DUM199"/>
      <c r="DUN199"/>
      <c r="DUO199"/>
      <c r="DUP199"/>
      <c r="DUQ199"/>
      <c r="DUR199"/>
      <c r="DUS199"/>
      <c r="DUT199"/>
      <c r="DUU199"/>
      <c r="DUV199"/>
      <c r="DUW199"/>
      <c r="DUX199"/>
      <c r="DUY199"/>
      <c r="DUZ199"/>
      <c r="DVA199"/>
      <c r="DVB199"/>
      <c r="DVC199"/>
      <c r="DVD199"/>
      <c r="DVE199"/>
      <c r="DVF199"/>
      <c r="DVG199"/>
      <c r="DVH199"/>
      <c r="DVI199"/>
      <c r="DVJ199"/>
      <c r="DVK199"/>
      <c r="DVL199"/>
      <c r="DVM199"/>
      <c r="DVN199"/>
      <c r="DVO199"/>
      <c r="DVP199"/>
      <c r="DVQ199"/>
      <c r="DVR199"/>
      <c r="DVS199"/>
      <c r="DVT199"/>
      <c r="DVU199"/>
      <c r="DVV199"/>
      <c r="DVW199"/>
      <c r="DVX199"/>
      <c r="DVY199"/>
      <c r="DVZ199"/>
      <c r="DWA199"/>
      <c r="DWB199"/>
      <c r="DWC199"/>
      <c r="DWD199"/>
      <c r="DWE199"/>
      <c r="DWF199"/>
      <c r="DWG199"/>
      <c r="DWH199"/>
      <c r="DWI199"/>
      <c r="DWJ199"/>
      <c r="DWK199"/>
      <c r="DWL199"/>
      <c r="DWM199"/>
      <c r="DWN199"/>
      <c r="DWO199"/>
      <c r="DWP199"/>
      <c r="DWQ199"/>
      <c r="DWR199"/>
      <c r="DWS199"/>
      <c r="DWT199"/>
      <c r="DWU199"/>
      <c r="DWV199"/>
      <c r="DWW199"/>
      <c r="DWX199"/>
      <c r="DWY199"/>
      <c r="DWZ199"/>
      <c r="DXA199"/>
      <c r="DXB199"/>
      <c r="DXC199"/>
      <c r="DXD199"/>
      <c r="DXE199"/>
      <c r="DXF199"/>
      <c r="DXG199"/>
      <c r="DXH199"/>
      <c r="DXI199"/>
      <c r="DXJ199"/>
      <c r="DXK199"/>
      <c r="DXL199"/>
      <c r="DXM199"/>
      <c r="DXN199"/>
      <c r="DXO199"/>
      <c r="DXP199"/>
      <c r="DXQ199"/>
      <c r="DXR199"/>
      <c r="DXS199"/>
      <c r="DXT199"/>
      <c r="DXU199"/>
      <c r="DXV199"/>
      <c r="DXW199"/>
      <c r="DXX199"/>
      <c r="DXY199"/>
      <c r="DXZ199"/>
      <c r="DYA199"/>
      <c r="DYB199"/>
      <c r="DYC199"/>
      <c r="DYD199"/>
      <c r="DYE199"/>
      <c r="DYF199"/>
      <c r="DYG199"/>
      <c r="DYH199"/>
      <c r="DYI199"/>
      <c r="DYJ199"/>
      <c r="DYK199"/>
      <c r="DYL199"/>
      <c r="DYM199"/>
      <c r="DYN199"/>
      <c r="DYO199"/>
      <c r="DYP199"/>
      <c r="DYQ199"/>
      <c r="DYR199"/>
      <c r="DYS199"/>
      <c r="DYT199"/>
      <c r="DYU199"/>
      <c r="DYV199"/>
      <c r="DYW199"/>
      <c r="DYX199"/>
      <c r="DYY199"/>
      <c r="DYZ199"/>
      <c r="DZA199"/>
      <c r="DZB199"/>
      <c r="DZC199"/>
      <c r="DZD199"/>
      <c r="DZE199"/>
      <c r="DZF199"/>
      <c r="DZG199"/>
      <c r="DZH199"/>
      <c r="DZI199"/>
      <c r="DZJ199"/>
      <c r="DZK199"/>
      <c r="DZL199"/>
      <c r="DZM199"/>
      <c r="DZN199"/>
      <c r="DZO199"/>
      <c r="DZP199"/>
      <c r="DZQ199"/>
      <c r="DZR199"/>
      <c r="DZS199"/>
      <c r="DZT199"/>
      <c r="DZU199"/>
      <c r="DZV199"/>
      <c r="DZW199"/>
      <c r="DZX199"/>
      <c r="DZY199"/>
      <c r="DZZ199"/>
      <c r="EAA199"/>
      <c r="EAB199"/>
      <c r="EAC199"/>
      <c r="EAD199"/>
      <c r="EAE199"/>
      <c r="EAF199"/>
      <c r="EAG199"/>
      <c r="EAH199"/>
      <c r="EAI199"/>
      <c r="EAJ199"/>
      <c r="EAK199"/>
      <c r="EAL199"/>
      <c r="EAM199"/>
      <c r="EAN199"/>
      <c r="EAO199"/>
      <c r="EAP199"/>
      <c r="EAQ199"/>
      <c r="EAR199"/>
      <c r="EAS199"/>
      <c r="EAT199"/>
      <c r="EAU199"/>
      <c r="EAV199"/>
      <c r="EAW199"/>
      <c r="EAX199"/>
      <c r="EAY199"/>
      <c r="EAZ199"/>
      <c r="EBA199"/>
      <c r="EBB199"/>
      <c r="EBC199"/>
      <c r="EBD199"/>
      <c r="EBE199"/>
      <c r="EBF199"/>
      <c r="EBG199"/>
      <c r="EBH199"/>
      <c r="EBI199"/>
      <c r="EBJ199"/>
      <c r="EBK199"/>
      <c r="EBL199"/>
      <c r="EBM199"/>
      <c r="EBN199"/>
      <c r="EBO199"/>
      <c r="EBP199"/>
      <c r="EBQ199"/>
      <c r="EBR199"/>
      <c r="EBS199"/>
      <c r="EBT199"/>
      <c r="EBU199"/>
      <c r="EBV199"/>
      <c r="EBW199"/>
      <c r="EBX199"/>
      <c r="EBY199"/>
      <c r="EBZ199"/>
      <c r="ECA199"/>
      <c r="ECB199"/>
      <c r="ECC199"/>
      <c r="ECD199"/>
      <c r="ECE199"/>
      <c r="ECF199"/>
      <c r="ECG199"/>
      <c r="ECH199"/>
      <c r="ECI199"/>
      <c r="ECJ199"/>
      <c r="ECK199"/>
      <c r="ECL199"/>
      <c r="ECM199"/>
      <c r="ECN199"/>
      <c r="ECO199"/>
      <c r="ECP199"/>
      <c r="ECQ199"/>
      <c r="ECR199"/>
      <c r="ECS199"/>
      <c r="ECT199"/>
      <c r="ECU199"/>
      <c r="ECV199"/>
      <c r="ECW199"/>
      <c r="ECX199"/>
      <c r="ECY199"/>
      <c r="ECZ199"/>
      <c r="EDA199"/>
      <c r="EDB199"/>
      <c r="EDC199"/>
      <c r="EDD199"/>
      <c r="EDE199"/>
      <c r="EDF199"/>
      <c r="EDG199"/>
      <c r="EDH199"/>
      <c r="EDI199"/>
      <c r="EDJ199"/>
      <c r="EDK199"/>
      <c r="EDL199"/>
      <c r="EDM199"/>
      <c r="EDN199"/>
      <c r="EDO199"/>
      <c r="EDP199"/>
      <c r="EDQ199"/>
      <c r="EDR199"/>
      <c r="EDS199"/>
      <c r="EDT199"/>
      <c r="EDU199"/>
      <c r="EDV199"/>
      <c r="EDW199"/>
      <c r="EDX199"/>
      <c r="EDY199"/>
      <c r="EDZ199"/>
      <c r="EEA199"/>
      <c r="EEB199"/>
      <c r="EEC199"/>
      <c r="EED199"/>
      <c r="EEE199"/>
      <c r="EEF199"/>
      <c r="EEG199"/>
      <c r="EEH199"/>
      <c r="EEI199"/>
      <c r="EEJ199"/>
      <c r="EEK199"/>
      <c r="EEL199"/>
      <c r="EEM199"/>
      <c r="EEN199"/>
      <c r="EEO199"/>
      <c r="EEP199"/>
      <c r="EEQ199"/>
      <c r="EER199"/>
      <c r="EES199"/>
      <c r="EET199"/>
      <c r="EEU199"/>
      <c r="EEV199"/>
      <c r="EEW199"/>
      <c r="EEX199"/>
      <c r="EEY199"/>
      <c r="EEZ199"/>
      <c r="EFA199"/>
      <c r="EFB199"/>
      <c r="EFC199"/>
      <c r="EFD199"/>
      <c r="EFE199"/>
      <c r="EFF199"/>
      <c r="EFG199"/>
      <c r="EFH199"/>
      <c r="EFI199"/>
      <c r="EFJ199"/>
      <c r="EFK199"/>
      <c r="EFL199"/>
      <c r="EFM199"/>
      <c r="EFN199"/>
      <c r="EFO199"/>
      <c r="EFP199"/>
      <c r="EFQ199"/>
      <c r="EFR199"/>
      <c r="EFS199"/>
      <c r="EFT199"/>
      <c r="EFU199"/>
      <c r="EFV199"/>
      <c r="EFW199"/>
      <c r="EFX199"/>
      <c r="EFY199"/>
      <c r="EFZ199"/>
      <c r="EGA199"/>
      <c r="EGB199"/>
      <c r="EGC199"/>
      <c r="EGD199"/>
      <c r="EGE199"/>
      <c r="EGF199"/>
      <c r="EGG199"/>
      <c r="EGH199"/>
      <c r="EGI199"/>
      <c r="EGJ199"/>
      <c r="EGK199"/>
      <c r="EGL199"/>
      <c r="EGM199"/>
      <c r="EGN199"/>
      <c r="EGO199"/>
      <c r="EGP199"/>
      <c r="EGQ199"/>
      <c r="EGR199"/>
      <c r="EGS199"/>
      <c r="EGT199"/>
      <c r="EGU199"/>
      <c r="EGV199"/>
      <c r="EGW199"/>
      <c r="EGX199"/>
      <c r="EGY199"/>
      <c r="EGZ199"/>
      <c r="EHA199"/>
      <c r="EHB199"/>
      <c r="EHC199"/>
      <c r="EHD199"/>
      <c r="EHE199"/>
      <c r="EHF199"/>
      <c r="EHG199"/>
      <c r="EHH199"/>
      <c r="EHI199"/>
      <c r="EHJ199"/>
      <c r="EHK199"/>
      <c r="EHL199"/>
      <c r="EHM199"/>
      <c r="EHN199"/>
      <c r="EHO199"/>
      <c r="EHP199"/>
      <c r="EHQ199"/>
      <c r="EHR199"/>
      <c r="EHS199"/>
      <c r="EHT199"/>
      <c r="EHU199"/>
      <c r="EHV199"/>
      <c r="EHW199"/>
      <c r="EHX199"/>
      <c r="EHY199"/>
      <c r="EHZ199"/>
      <c r="EIA199"/>
      <c r="EIB199"/>
      <c r="EIC199"/>
      <c r="EID199"/>
      <c r="EIE199"/>
      <c r="EIF199"/>
      <c r="EIG199"/>
      <c r="EIH199"/>
      <c r="EII199"/>
      <c r="EIJ199"/>
      <c r="EIK199"/>
      <c r="EIL199"/>
      <c r="EIM199"/>
      <c r="EIN199"/>
      <c r="EIO199"/>
      <c r="EIP199"/>
      <c r="EIQ199"/>
      <c r="EIR199"/>
      <c r="EIS199"/>
      <c r="EIT199"/>
      <c r="EIU199"/>
      <c r="EIV199"/>
      <c r="EIW199"/>
      <c r="EIX199"/>
      <c r="EIY199"/>
      <c r="EIZ199"/>
      <c r="EJA199"/>
      <c r="EJB199"/>
      <c r="EJC199"/>
      <c r="EJD199"/>
      <c r="EJE199"/>
      <c r="EJF199"/>
      <c r="EJG199"/>
      <c r="EJH199"/>
      <c r="EJI199"/>
      <c r="EJJ199"/>
      <c r="EJK199"/>
      <c r="EJL199"/>
      <c r="EJM199"/>
      <c r="EJN199"/>
      <c r="EJO199"/>
      <c r="EJP199"/>
      <c r="EJQ199"/>
      <c r="EJR199"/>
      <c r="EJS199"/>
      <c r="EJT199"/>
      <c r="EJU199"/>
      <c r="EJV199"/>
      <c r="EJW199"/>
      <c r="EJX199"/>
      <c r="EJY199"/>
      <c r="EJZ199"/>
      <c r="EKA199"/>
      <c r="EKB199"/>
      <c r="EKC199"/>
      <c r="EKD199"/>
      <c r="EKE199"/>
      <c r="EKF199"/>
      <c r="EKG199"/>
      <c r="EKH199"/>
      <c r="EKI199"/>
      <c r="EKJ199"/>
      <c r="EKK199"/>
      <c r="EKL199"/>
      <c r="EKM199"/>
      <c r="EKN199"/>
      <c r="EKO199"/>
      <c r="EKP199"/>
      <c r="EKQ199"/>
      <c r="EKR199"/>
      <c r="EKS199"/>
      <c r="EKT199"/>
      <c r="EKU199"/>
      <c r="EKV199"/>
      <c r="EKW199"/>
      <c r="EKX199"/>
      <c r="EKY199"/>
      <c r="EKZ199"/>
      <c r="ELA199"/>
      <c r="ELB199"/>
      <c r="ELC199"/>
      <c r="ELD199"/>
      <c r="ELE199"/>
      <c r="ELF199"/>
      <c r="ELG199"/>
      <c r="ELH199"/>
      <c r="ELI199"/>
      <c r="ELJ199"/>
      <c r="ELK199"/>
      <c r="ELL199"/>
      <c r="ELM199"/>
      <c r="ELN199"/>
      <c r="ELO199"/>
      <c r="ELP199"/>
      <c r="ELQ199"/>
      <c r="ELR199"/>
      <c r="ELS199"/>
      <c r="ELT199"/>
      <c r="ELU199"/>
      <c r="ELV199"/>
      <c r="ELW199"/>
      <c r="ELX199"/>
      <c r="ELY199"/>
      <c r="ELZ199"/>
      <c r="EMA199"/>
      <c r="EMB199"/>
      <c r="EMC199"/>
      <c r="EMD199"/>
      <c r="EME199"/>
      <c r="EMF199"/>
      <c r="EMG199"/>
      <c r="EMH199"/>
      <c r="EMI199"/>
      <c r="EMJ199"/>
      <c r="EMK199"/>
      <c r="EML199"/>
      <c r="EMM199"/>
      <c r="EMN199"/>
      <c r="EMO199"/>
      <c r="EMP199"/>
      <c r="EMQ199"/>
      <c r="EMR199"/>
      <c r="EMS199"/>
      <c r="EMT199"/>
      <c r="EMU199"/>
      <c r="EMV199"/>
      <c r="EMW199"/>
      <c r="EMX199"/>
      <c r="EMY199"/>
      <c r="EMZ199"/>
      <c r="ENA199"/>
      <c r="ENB199"/>
      <c r="ENC199"/>
      <c r="END199"/>
      <c r="ENE199"/>
      <c r="ENF199"/>
      <c r="ENG199"/>
      <c r="ENH199"/>
      <c r="ENI199"/>
      <c r="ENJ199"/>
      <c r="ENK199"/>
      <c r="ENL199"/>
      <c r="ENM199"/>
      <c r="ENN199"/>
      <c r="ENO199"/>
      <c r="ENP199"/>
      <c r="ENQ199"/>
      <c r="ENR199"/>
      <c r="ENS199"/>
      <c r="ENT199"/>
      <c r="ENU199"/>
      <c r="ENV199"/>
      <c r="ENW199"/>
      <c r="ENX199"/>
      <c r="ENY199"/>
      <c r="ENZ199"/>
      <c r="EOA199"/>
      <c r="EOB199"/>
      <c r="EOC199"/>
      <c r="EOD199"/>
      <c r="EOE199"/>
      <c r="EOF199"/>
      <c r="EOG199"/>
      <c r="EOH199"/>
      <c r="EOI199"/>
      <c r="EOJ199"/>
      <c r="EOK199"/>
      <c r="EOL199"/>
      <c r="EOM199"/>
      <c r="EON199"/>
      <c r="EOO199"/>
      <c r="EOP199"/>
      <c r="EOQ199"/>
      <c r="EOR199"/>
      <c r="EOS199"/>
      <c r="EOT199"/>
      <c r="EOU199"/>
      <c r="EOV199"/>
      <c r="EOW199"/>
      <c r="EOX199"/>
      <c r="EOY199"/>
      <c r="EOZ199"/>
      <c r="EPA199"/>
      <c r="EPB199"/>
      <c r="EPC199"/>
      <c r="EPD199"/>
      <c r="EPE199"/>
      <c r="EPF199"/>
      <c r="EPG199"/>
      <c r="EPH199"/>
      <c r="EPI199"/>
      <c r="EPJ199"/>
      <c r="EPK199"/>
      <c r="EPL199"/>
      <c r="EPM199"/>
      <c r="EPN199"/>
      <c r="EPO199"/>
      <c r="EPP199"/>
      <c r="EPQ199"/>
      <c r="EPR199"/>
      <c r="EPS199"/>
      <c r="EPT199"/>
      <c r="EPU199"/>
      <c r="EPV199"/>
      <c r="EPW199"/>
      <c r="EPX199"/>
      <c r="EPY199"/>
      <c r="EPZ199"/>
      <c r="EQA199"/>
      <c r="EQB199"/>
      <c r="EQC199"/>
      <c r="EQD199"/>
      <c r="EQE199"/>
      <c r="EQF199"/>
      <c r="EQG199"/>
      <c r="EQH199"/>
      <c r="EQI199"/>
      <c r="EQJ199"/>
      <c r="EQK199"/>
      <c r="EQL199"/>
      <c r="EQM199"/>
      <c r="EQN199"/>
      <c r="EQO199"/>
      <c r="EQP199"/>
      <c r="EQQ199"/>
      <c r="EQR199"/>
      <c r="EQS199"/>
      <c r="EQT199"/>
      <c r="EQU199"/>
      <c r="EQV199"/>
      <c r="EQW199"/>
      <c r="EQX199"/>
      <c r="EQY199"/>
      <c r="EQZ199"/>
      <c r="ERA199"/>
      <c r="ERB199"/>
      <c r="ERC199"/>
      <c r="ERD199"/>
      <c r="ERE199"/>
      <c r="ERF199"/>
      <c r="ERG199"/>
      <c r="ERH199"/>
      <c r="ERI199"/>
      <c r="ERJ199"/>
      <c r="ERK199"/>
      <c r="ERL199"/>
      <c r="ERM199"/>
      <c r="ERN199"/>
      <c r="ERO199"/>
      <c r="ERP199"/>
      <c r="ERQ199"/>
      <c r="ERR199"/>
      <c r="ERS199"/>
      <c r="ERT199"/>
      <c r="ERU199"/>
      <c r="ERV199"/>
      <c r="ERW199"/>
      <c r="ERX199"/>
      <c r="ERY199"/>
      <c r="ERZ199"/>
      <c r="ESA199"/>
      <c r="ESB199"/>
      <c r="ESC199"/>
      <c r="ESD199"/>
      <c r="ESE199"/>
      <c r="ESF199"/>
      <c r="ESG199"/>
      <c r="ESH199"/>
      <c r="ESI199"/>
      <c r="ESJ199"/>
      <c r="ESK199"/>
      <c r="ESL199"/>
      <c r="ESM199"/>
      <c r="ESN199"/>
      <c r="ESO199"/>
      <c r="ESP199"/>
      <c r="ESQ199"/>
      <c r="ESR199"/>
      <c r="ESS199"/>
      <c r="EST199"/>
      <c r="ESU199"/>
      <c r="ESV199"/>
      <c r="ESW199"/>
      <c r="ESX199"/>
      <c r="ESY199"/>
      <c r="ESZ199"/>
      <c r="ETA199"/>
      <c r="ETB199"/>
      <c r="ETC199"/>
      <c r="ETD199"/>
      <c r="ETE199"/>
      <c r="ETF199"/>
      <c r="ETG199"/>
      <c r="ETH199"/>
      <c r="ETI199"/>
      <c r="ETJ199"/>
      <c r="ETK199"/>
      <c r="ETL199"/>
      <c r="ETM199"/>
      <c r="ETN199"/>
      <c r="ETO199"/>
      <c r="ETP199"/>
      <c r="ETQ199"/>
      <c r="ETR199"/>
      <c r="ETS199"/>
      <c r="ETT199"/>
      <c r="ETU199"/>
      <c r="ETV199"/>
      <c r="ETW199"/>
      <c r="ETX199"/>
      <c r="ETY199"/>
      <c r="ETZ199"/>
      <c r="EUA199"/>
      <c r="EUB199"/>
      <c r="EUC199"/>
      <c r="EUD199"/>
      <c r="EUE199"/>
      <c r="EUF199"/>
      <c r="EUG199"/>
      <c r="EUH199"/>
      <c r="EUI199"/>
      <c r="EUJ199"/>
      <c r="EUK199"/>
      <c r="EUL199"/>
      <c r="EUM199"/>
      <c r="EUN199"/>
      <c r="EUO199"/>
      <c r="EUP199"/>
      <c r="EUQ199"/>
      <c r="EUR199"/>
      <c r="EUS199"/>
      <c r="EUT199"/>
      <c r="EUU199"/>
      <c r="EUV199"/>
      <c r="EUW199"/>
      <c r="EUX199"/>
      <c r="EUY199"/>
      <c r="EUZ199"/>
      <c r="EVA199"/>
      <c r="EVB199"/>
      <c r="EVC199"/>
      <c r="EVD199"/>
      <c r="EVE199"/>
      <c r="EVF199"/>
      <c r="EVG199"/>
      <c r="EVH199"/>
      <c r="EVI199"/>
      <c r="EVJ199"/>
      <c r="EVK199"/>
      <c r="EVL199"/>
      <c r="EVM199"/>
      <c r="EVN199"/>
      <c r="EVO199"/>
      <c r="EVP199"/>
      <c r="EVQ199"/>
      <c r="EVR199"/>
      <c r="EVS199"/>
      <c r="EVT199"/>
      <c r="EVU199"/>
      <c r="EVV199"/>
      <c r="EVW199"/>
      <c r="EVX199"/>
      <c r="EVY199"/>
      <c r="EVZ199"/>
      <c r="EWA199"/>
      <c r="EWB199"/>
      <c r="EWC199"/>
      <c r="EWD199"/>
      <c r="EWE199"/>
      <c r="EWF199"/>
      <c r="EWG199"/>
      <c r="EWH199"/>
      <c r="EWI199"/>
      <c r="EWJ199"/>
      <c r="EWK199"/>
      <c r="EWL199"/>
      <c r="EWM199"/>
      <c r="EWN199"/>
      <c r="EWO199"/>
      <c r="EWP199"/>
      <c r="EWQ199"/>
      <c r="EWR199"/>
      <c r="EWS199"/>
      <c r="EWT199"/>
      <c r="EWU199"/>
      <c r="EWV199"/>
      <c r="EWW199"/>
      <c r="EWX199"/>
      <c r="EWY199"/>
      <c r="EWZ199"/>
      <c r="EXA199"/>
      <c r="EXB199"/>
      <c r="EXC199"/>
      <c r="EXD199"/>
      <c r="EXE199"/>
      <c r="EXF199"/>
      <c r="EXG199"/>
      <c r="EXH199"/>
      <c r="EXI199"/>
      <c r="EXJ199"/>
      <c r="EXK199"/>
      <c r="EXL199"/>
      <c r="EXM199"/>
      <c r="EXN199"/>
      <c r="EXO199"/>
      <c r="EXP199"/>
      <c r="EXQ199"/>
      <c r="EXR199"/>
      <c r="EXS199"/>
      <c r="EXT199"/>
      <c r="EXU199"/>
      <c r="EXV199"/>
      <c r="EXW199"/>
      <c r="EXX199"/>
      <c r="EXY199"/>
      <c r="EXZ199"/>
      <c r="EYA199"/>
      <c r="EYB199"/>
      <c r="EYC199"/>
      <c r="EYD199"/>
      <c r="EYE199"/>
      <c r="EYF199"/>
      <c r="EYG199"/>
      <c r="EYH199"/>
      <c r="EYI199"/>
      <c r="EYJ199"/>
      <c r="EYK199"/>
      <c r="EYL199"/>
      <c r="EYM199"/>
      <c r="EYN199"/>
      <c r="EYO199"/>
      <c r="EYP199"/>
      <c r="EYQ199"/>
      <c r="EYR199"/>
      <c r="EYS199"/>
      <c r="EYT199"/>
      <c r="EYU199"/>
      <c r="EYV199"/>
      <c r="EYW199"/>
      <c r="EYX199"/>
      <c r="EYY199"/>
      <c r="EYZ199"/>
      <c r="EZA199"/>
      <c r="EZB199"/>
      <c r="EZC199"/>
      <c r="EZD199"/>
      <c r="EZE199"/>
      <c r="EZF199"/>
      <c r="EZG199"/>
      <c r="EZH199"/>
      <c r="EZI199"/>
      <c r="EZJ199"/>
      <c r="EZK199"/>
      <c r="EZL199"/>
      <c r="EZM199"/>
      <c r="EZN199"/>
      <c r="EZO199"/>
      <c r="EZP199"/>
      <c r="EZQ199"/>
      <c r="EZR199"/>
      <c r="EZS199"/>
      <c r="EZT199"/>
      <c r="EZU199"/>
      <c r="EZV199"/>
      <c r="EZW199"/>
      <c r="EZX199"/>
      <c r="EZY199"/>
      <c r="EZZ199"/>
      <c r="FAA199"/>
      <c r="FAB199"/>
      <c r="FAC199"/>
      <c r="FAD199"/>
      <c r="FAE199"/>
      <c r="FAF199"/>
      <c r="FAG199"/>
      <c r="FAH199"/>
      <c r="FAI199"/>
      <c r="FAJ199"/>
      <c r="FAK199"/>
      <c r="FAL199"/>
      <c r="FAM199"/>
      <c r="FAN199"/>
      <c r="FAO199"/>
      <c r="FAP199"/>
      <c r="FAQ199"/>
      <c r="FAR199"/>
      <c r="FAS199"/>
      <c r="FAT199"/>
      <c r="FAU199"/>
      <c r="FAV199"/>
      <c r="FAW199"/>
      <c r="FAX199"/>
      <c r="FAY199"/>
      <c r="FAZ199"/>
      <c r="FBA199"/>
      <c r="FBB199"/>
      <c r="FBC199"/>
      <c r="FBD199"/>
      <c r="FBE199"/>
      <c r="FBF199"/>
      <c r="FBG199"/>
      <c r="FBH199"/>
      <c r="FBI199"/>
      <c r="FBJ199"/>
      <c r="FBK199"/>
      <c r="FBL199"/>
      <c r="FBM199"/>
      <c r="FBN199"/>
      <c r="FBO199"/>
      <c r="FBP199"/>
      <c r="FBQ199"/>
      <c r="FBR199"/>
      <c r="FBS199"/>
      <c r="FBT199"/>
      <c r="FBU199"/>
      <c r="FBV199"/>
      <c r="FBW199"/>
      <c r="FBX199"/>
      <c r="FBY199"/>
      <c r="FBZ199"/>
      <c r="FCA199"/>
      <c r="FCB199"/>
      <c r="FCC199"/>
      <c r="FCD199"/>
      <c r="FCE199"/>
      <c r="FCF199"/>
      <c r="FCG199"/>
      <c r="FCH199"/>
      <c r="FCI199"/>
      <c r="FCJ199"/>
      <c r="FCK199"/>
      <c r="FCL199"/>
      <c r="FCM199"/>
      <c r="FCN199"/>
      <c r="FCO199"/>
      <c r="FCP199"/>
      <c r="FCQ199"/>
      <c r="FCR199"/>
      <c r="FCS199"/>
      <c r="FCT199"/>
      <c r="FCU199"/>
      <c r="FCV199"/>
      <c r="FCW199"/>
      <c r="FCX199"/>
      <c r="FCY199"/>
      <c r="FCZ199"/>
      <c r="FDA199"/>
      <c r="FDB199"/>
      <c r="FDC199"/>
      <c r="FDD199"/>
      <c r="FDE199"/>
      <c r="FDF199"/>
      <c r="FDG199"/>
      <c r="FDH199"/>
      <c r="FDI199"/>
      <c r="FDJ199"/>
      <c r="FDK199"/>
      <c r="FDL199"/>
      <c r="FDM199"/>
      <c r="FDN199"/>
      <c r="FDO199"/>
      <c r="FDP199"/>
      <c r="FDQ199"/>
      <c r="FDR199"/>
      <c r="FDS199"/>
      <c r="FDT199"/>
      <c r="FDU199"/>
      <c r="FDV199"/>
      <c r="FDW199"/>
      <c r="FDX199"/>
      <c r="FDY199"/>
      <c r="FDZ199"/>
      <c r="FEA199"/>
      <c r="FEB199"/>
      <c r="FEC199"/>
      <c r="FED199"/>
      <c r="FEE199"/>
      <c r="FEF199"/>
      <c r="FEG199"/>
      <c r="FEH199"/>
      <c r="FEI199"/>
      <c r="FEJ199"/>
      <c r="FEK199"/>
      <c r="FEL199"/>
      <c r="FEM199"/>
      <c r="FEN199"/>
      <c r="FEO199"/>
      <c r="FEP199"/>
      <c r="FEQ199"/>
      <c r="FER199"/>
      <c r="FES199"/>
      <c r="FET199"/>
      <c r="FEU199"/>
      <c r="FEV199"/>
      <c r="FEW199"/>
      <c r="FEX199"/>
      <c r="FEY199"/>
      <c r="FEZ199"/>
      <c r="FFA199"/>
      <c r="FFB199"/>
      <c r="FFC199"/>
      <c r="FFD199"/>
      <c r="FFE199"/>
      <c r="FFF199"/>
      <c r="FFG199"/>
      <c r="FFH199"/>
      <c r="FFI199"/>
      <c r="FFJ199"/>
      <c r="FFK199"/>
      <c r="FFL199"/>
      <c r="FFM199"/>
      <c r="FFN199"/>
      <c r="FFO199"/>
      <c r="FFP199"/>
      <c r="FFQ199"/>
      <c r="FFR199"/>
      <c r="FFS199"/>
      <c r="FFT199"/>
      <c r="FFU199"/>
      <c r="FFV199"/>
      <c r="FFW199"/>
      <c r="FFX199"/>
      <c r="FFY199"/>
      <c r="FFZ199"/>
      <c r="FGA199"/>
      <c r="FGB199"/>
      <c r="FGC199"/>
      <c r="FGD199"/>
      <c r="FGE199"/>
      <c r="FGF199"/>
      <c r="FGG199"/>
      <c r="FGH199"/>
      <c r="FGI199"/>
      <c r="FGJ199"/>
      <c r="FGK199"/>
      <c r="FGL199"/>
      <c r="FGM199"/>
      <c r="FGN199"/>
      <c r="FGO199"/>
      <c r="FGP199"/>
      <c r="FGQ199"/>
      <c r="FGR199"/>
      <c r="FGS199"/>
      <c r="FGT199"/>
      <c r="FGU199"/>
      <c r="FGV199"/>
      <c r="FGW199"/>
      <c r="FGX199"/>
      <c r="FGY199"/>
      <c r="FGZ199"/>
      <c r="FHA199"/>
      <c r="FHB199"/>
      <c r="FHC199"/>
      <c r="FHD199"/>
      <c r="FHE199"/>
      <c r="FHF199"/>
      <c r="FHG199"/>
      <c r="FHH199"/>
      <c r="FHI199"/>
      <c r="FHJ199"/>
      <c r="FHK199"/>
      <c r="FHL199"/>
      <c r="FHM199"/>
      <c r="FHN199"/>
      <c r="FHO199"/>
      <c r="FHP199"/>
      <c r="FHQ199"/>
      <c r="FHR199"/>
      <c r="FHS199"/>
      <c r="FHT199"/>
      <c r="FHU199"/>
      <c r="FHV199"/>
      <c r="FHW199"/>
      <c r="FHX199"/>
      <c r="FHY199"/>
      <c r="FHZ199"/>
      <c r="FIA199"/>
      <c r="FIB199"/>
      <c r="FIC199"/>
      <c r="FID199"/>
      <c r="FIE199"/>
      <c r="FIF199"/>
      <c r="FIG199"/>
      <c r="FIH199"/>
      <c r="FII199"/>
      <c r="FIJ199"/>
      <c r="FIK199"/>
      <c r="FIL199"/>
      <c r="FIM199"/>
      <c r="FIN199"/>
      <c r="FIO199"/>
      <c r="FIP199"/>
      <c r="FIQ199"/>
      <c r="FIR199"/>
      <c r="FIS199"/>
      <c r="FIT199"/>
      <c r="FIU199"/>
      <c r="FIV199"/>
      <c r="FIW199"/>
      <c r="FIX199"/>
      <c r="FIY199"/>
      <c r="FIZ199"/>
      <c r="FJA199"/>
      <c r="FJB199"/>
      <c r="FJC199"/>
      <c r="FJD199"/>
      <c r="FJE199"/>
      <c r="FJF199"/>
      <c r="FJG199"/>
      <c r="FJH199"/>
      <c r="FJI199"/>
      <c r="FJJ199"/>
      <c r="FJK199"/>
      <c r="FJL199"/>
      <c r="FJM199"/>
      <c r="FJN199"/>
      <c r="FJO199"/>
      <c r="FJP199"/>
      <c r="FJQ199"/>
      <c r="FJR199"/>
      <c r="FJS199"/>
      <c r="FJT199"/>
      <c r="FJU199"/>
      <c r="FJV199"/>
      <c r="FJW199"/>
      <c r="FJX199"/>
      <c r="FJY199"/>
      <c r="FJZ199"/>
      <c r="FKA199"/>
      <c r="FKB199"/>
      <c r="FKC199"/>
      <c r="FKD199"/>
      <c r="FKE199"/>
      <c r="FKF199"/>
      <c r="FKG199"/>
      <c r="FKH199"/>
      <c r="FKI199"/>
      <c r="FKJ199"/>
      <c r="FKK199"/>
      <c r="FKL199"/>
      <c r="FKM199"/>
      <c r="FKN199"/>
      <c r="FKO199"/>
      <c r="FKP199"/>
      <c r="FKQ199"/>
      <c r="FKR199"/>
      <c r="FKS199"/>
      <c r="FKT199"/>
      <c r="FKU199"/>
      <c r="FKV199"/>
      <c r="FKW199"/>
      <c r="FKX199"/>
      <c r="FKY199"/>
      <c r="FKZ199"/>
      <c r="FLA199"/>
      <c r="FLB199"/>
      <c r="FLC199"/>
      <c r="FLD199"/>
      <c r="FLE199"/>
      <c r="FLF199"/>
      <c r="FLG199"/>
      <c r="FLH199"/>
      <c r="FLI199"/>
      <c r="FLJ199"/>
      <c r="FLK199"/>
      <c r="FLL199"/>
      <c r="FLM199"/>
      <c r="FLN199"/>
      <c r="FLO199"/>
      <c r="FLP199"/>
      <c r="FLQ199"/>
      <c r="FLR199"/>
      <c r="FLS199"/>
      <c r="FLT199"/>
      <c r="FLU199"/>
      <c r="FLV199"/>
      <c r="FLW199"/>
      <c r="FLX199"/>
      <c r="FLY199"/>
      <c r="FLZ199"/>
      <c r="FMA199"/>
      <c r="FMB199"/>
      <c r="FMC199"/>
      <c r="FMD199"/>
      <c r="FME199"/>
      <c r="FMF199"/>
      <c r="FMG199"/>
      <c r="FMH199"/>
      <c r="FMI199"/>
      <c r="FMJ199"/>
      <c r="FMK199"/>
      <c r="FML199"/>
      <c r="FMM199"/>
      <c r="FMN199"/>
      <c r="FMO199"/>
      <c r="FMP199"/>
      <c r="FMQ199"/>
      <c r="FMR199"/>
      <c r="FMS199"/>
      <c r="FMT199"/>
      <c r="FMU199"/>
      <c r="FMV199"/>
      <c r="FMW199"/>
      <c r="FMX199"/>
      <c r="FMY199"/>
      <c r="FMZ199"/>
      <c r="FNA199"/>
      <c r="FNB199"/>
      <c r="FNC199"/>
      <c r="FND199"/>
      <c r="FNE199"/>
      <c r="FNF199"/>
      <c r="FNG199"/>
      <c r="FNH199"/>
      <c r="FNI199"/>
      <c r="FNJ199"/>
      <c r="FNK199"/>
      <c r="FNL199"/>
      <c r="FNM199"/>
      <c r="FNN199"/>
      <c r="FNO199"/>
      <c r="FNP199"/>
      <c r="FNQ199"/>
      <c r="FNR199"/>
      <c r="FNS199"/>
      <c r="FNT199"/>
      <c r="FNU199"/>
      <c r="FNV199"/>
      <c r="FNW199"/>
      <c r="FNX199"/>
      <c r="FNY199"/>
      <c r="FNZ199"/>
      <c r="FOA199"/>
      <c r="FOB199"/>
      <c r="FOC199"/>
      <c r="FOD199"/>
      <c r="FOE199"/>
      <c r="FOF199"/>
      <c r="FOG199"/>
      <c r="FOH199"/>
      <c r="FOI199"/>
      <c r="FOJ199"/>
      <c r="FOK199"/>
      <c r="FOL199"/>
      <c r="FOM199"/>
      <c r="FON199"/>
      <c r="FOO199"/>
      <c r="FOP199"/>
      <c r="FOQ199"/>
      <c r="FOR199"/>
      <c r="FOS199"/>
      <c r="FOT199"/>
      <c r="FOU199"/>
      <c r="FOV199"/>
      <c r="FOW199"/>
      <c r="FOX199"/>
      <c r="FOY199"/>
      <c r="FOZ199"/>
      <c r="FPA199"/>
      <c r="FPB199"/>
      <c r="FPC199"/>
      <c r="FPD199"/>
      <c r="FPE199"/>
      <c r="FPF199"/>
      <c r="FPG199"/>
      <c r="FPH199"/>
      <c r="FPI199"/>
      <c r="FPJ199"/>
      <c r="FPK199"/>
      <c r="FPL199"/>
      <c r="FPM199"/>
      <c r="FPN199"/>
      <c r="FPO199"/>
      <c r="FPP199"/>
      <c r="FPQ199"/>
      <c r="FPR199"/>
      <c r="FPS199"/>
      <c r="FPT199"/>
      <c r="FPU199"/>
      <c r="FPV199"/>
      <c r="FPW199"/>
      <c r="FPX199"/>
      <c r="FPY199"/>
      <c r="FPZ199"/>
      <c r="FQA199"/>
      <c r="FQB199"/>
      <c r="FQC199"/>
      <c r="FQD199"/>
      <c r="FQE199"/>
      <c r="FQF199"/>
      <c r="FQG199"/>
      <c r="FQH199"/>
      <c r="FQI199"/>
      <c r="FQJ199"/>
      <c r="FQK199"/>
      <c r="FQL199"/>
      <c r="FQM199"/>
      <c r="FQN199"/>
      <c r="FQO199"/>
      <c r="FQP199"/>
      <c r="FQQ199"/>
      <c r="FQR199"/>
      <c r="FQS199"/>
      <c r="FQT199"/>
      <c r="FQU199"/>
      <c r="FQV199"/>
      <c r="FQW199"/>
      <c r="FQX199"/>
      <c r="FQY199"/>
      <c r="FQZ199"/>
      <c r="FRA199"/>
      <c r="FRB199"/>
      <c r="FRC199"/>
      <c r="FRD199"/>
      <c r="FRE199"/>
      <c r="FRF199"/>
      <c r="FRG199"/>
      <c r="FRH199"/>
      <c r="FRI199"/>
      <c r="FRJ199"/>
      <c r="FRK199"/>
      <c r="FRL199"/>
      <c r="FRM199"/>
      <c r="FRN199"/>
      <c r="FRO199"/>
      <c r="FRP199"/>
      <c r="FRQ199"/>
      <c r="FRR199"/>
      <c r="FRS199"/>
      <c r="FRT199"/>
      <c r="FRU199"/>
      <c r="FRV199"/>
      <c r="FRW199"/>
      <c r="FRX199"/>
      <c r="FRY199"/>
      <c r="FRZ199"/>
      <c r="FSA199"/>
      <c r="FSB199"/>
      <c r="FSC199"/>
      <c r="FSD199"/>
      <c r="FSE199"/>
      <c r="FSF199"/>
      <c r="FSG199"/>
      <c r="FSH199"/>
      <c r="FSI199"/>
      <c r="FSJ199"/>
      <c r="FSK199"/>
      <c r="FSL199"/>
      <c r="FSM199"/>
      <c r="FSN199"/>
      <c r="FSO199"/>
      <c r="FSP199"/>
      <c r="FSQ199"/>
      <c r="FSR199"/>
      <c r="FSS199"/>
      <c r="FST199"/>
      <c r="FSU199"/>
      <c r="FSV199"/>
      <c r="FSW199"/>
      <c r="FSX199"/>
      <c r="FSY199"/>
      <c r="FSZ199"/>
      <c r="FTA199"/>
      <c r="FTB199"/>
      <c r="FTC199"/>
      <c r="FTD199"/>
      <c r="FTE199"/>
      <c r="FTF199"/>
      <c r="FTG199"/>
      <c r="FTH199"/>
      <c r="FTI199"/>
      <c r="FTJ199"/>
      <c r="FTK199"/>
      <c r="FTL199"/>
      <c r="FTM199"/>
      <c r="FTN199"/>
      <c r="FTO199"/>
      <c r="FTP199"/>
      <c r="FTQ199"/>
      <c r="FTR199"/>
      <c r="FTS199"/>
      <c r="FTT199"/>
      <c r="FTU199"/>
      <c r="FTV199"/>
      <c r="FTW199"/>
      <c r="FTX199"/>
      <c r="FTY199"/>
      <c r="FTZ199"/>
      <c r="FUA199"/>
      <c r="FUB199"/>
      <c r="FUC199"/>
      <c r="FUD199"/>
      <c r="FUE199"/>
      <c r="FUF199"/>
      <c r="FUG199"/>
      <c r="FUH199"/>
      <c r="FUI199"/>
      <c r="FUJ199"/>
      <c r="FUK199"/>
      <c r="FUL199"/>
      <c r="FUM199"/>
      <c r="FUN199"/>
      <c r="FUO199"/>
      <c r="FUP199"/>
      <c r="FUQ199"/>
      <c r="FUR199"/>
      <c r="FUS199"/>
      <c r="FUT199"/>
      <c r="FUU199"/>
      <c r="FUV199"/>
      <c r="FUW199"/>
      <c r="FUX199"/>
      <c r="FUY199"/>
      <c r="FUZ199"/>
      <c r="FVA199"/>
      <c r="FVB199"/>
      <c r="FVC199"/>
      <c r="FVD199"/>
      <c r="FVE199"/>
      <c r="FVF199"/>
      <c r="FVG199"/>
      <c r="FVH199"/>
      <c r="FVI199"/>
      <c r="FVJ199"/>
      <c r="FVK199"/>
      <c r="FVL199"/>
      <c r="FVM199"/>
      <c r="FVN199"/>
      <c r="FVO199"/>
      <c r="FVP199"/>
      <c r="FVQ199"/>
      <c r="FVR199"/>
      <c r="FVS199"/>
      <c r="FVT199"/>
      <c r="FVU199"/>
      <c r="FVV199"/>
      <c r="FVW199"/>
      <c r="FVX199"/>
      <c r="FVY199"/>
      <c r="FVZ199"/>
      <c r="FWA199"/>
      <c r="FWB199"/>
      <c r="FWC199"/>
      <c r="FWD199"/>
      <c r="FWE199"/>
      <c r="FWF199"/>
      <c r="FWG199"/>
      <c r="FWH199"/>
      <c r="FWI199"/>
      <c r="FWJ199"/>
      <c r="FWK199"/>
      <c r="FWL199"/>
      <c r="FWM199"/>
      <c r="FWN199"/>
      <c r="FWO199"/>
      <c r="FWP199"/>
      <c r="FWQ199"/>
      <c r="FWR199"/>
      <c r="FWS199"/>
      <c r="FWT199"/>
      <c r="FWU199"/>
      <c r="FWV199"/>
      <c r="FWW199"/>
      <c r="FWX199"/>
      <c r="FWY199"/>
      <c r="FWZ199"/>
      <c r="FXA199"/>
      <c r="FXB199"/>
      <c r="FXC199"/>
      <c r="FXD199"/>
      <c r="FXE199"/>
      <c r="FXF199"/>
      <c r="FXG199"/>
      <c r="FXH199"/>
      <c r="FXI199"/>
      <c r="FXJ199"/>
      <c r="FXK199"/>
      <c r="FXL199"/>
      <c r="FXM199"/>
      <c r="FXN199"/>
      <c r="FXO199"/>
      <c r="FXP199"/>
      <c r="FXQ199"/>
      <c r="FXR199"/>
      <c r="FXS199"/>
      <c r="FXT199"/>
      <c r="FXU199"/>
      <c r="FXV199"/>
      <c r="FXW199"/>
      <c r="FXX199"/>
      <c r="FXY199"/>
      <c r="FXZ199"/>
      <c r="FYA199"/>
      <c r="FYB199"/>
      <c r="FYC199"/>
      <c r="FYD199"/>
      <c r="FYE199"/>
      <c r="FYF199"/>
      <c r="FYG199"/>
      <c r="FYH199"/>
      <c r="FYI199"/>
      <c r="FYJ199"/>
      <c r="FYK199"/>
      <c r="FYL199"/>
      <c r="FYM199"/>
      <c r="FYN199"/>
      <c r="FYO199"/>
      <c r="FYP199"/>
      <c r="FYQ199"/>
      <c r="FYR199"/>
      <c r="FYS199"/>
      <c r="FYT199"/>
      <c r="FYU199"/>
      <c r="FYV199"/>
      <c r="FYW199"/>
      <c r="FYX199"/>
      <c r="FYY199"/>
      <c r="FYZ199"/>
      <c r="FZA199"/>
      <c r="FZB199"/>
      <c r="FZC199"/>
      <c r="FZD199"/>
      <c r="FZE199"/>
      <c r="FZF199"/>
      <c r="FZG199"/>
      <c r="FZH199"/>
      <c r="FZI199"/>
      <c r="FZJ199"/>
      <c r="FZK199"/>
      <c r="FZL199"/>
      <c r="FZM199"/>
      <c r="FZN199"/>
      <c r="FZO199"/>
      <c r="FZP199"/>
      <c r="FZQ199"/>
      <c r="FZR199"/>
      <c r="FZS199"/>
      <c r="FZT199"/>
      <c r="FZU199"/>
      <c r="FZV199"/>
      <c r="FZW199"/>
      <c r="FZX199"/>
      <c r="FZY199"/>
      <c r="FZZ199"/>
      <c r="GAA199"/>
      <c r="GAB199"/>
      <c r="GAC199"/>
      <c r="GAD199"/>
      <c r="GAE199"/>
      <c r="GAF199"/>
      <c r="GAG199"/>
      <c r="GAH199"/>
      <c r="GAI199"/>
      <c r="GAJ199"/>
      <c r="GAK199"/>
      <c r="GAL199"/>
      <c r="GAM199"/>
      <c r="GAN199"/>
      <c r="GAO199"/>
      <c r="GAP199"/>
      <c r="GAQ199"/>
      <c r="GAR199"/>
      <c r="GAS199"/>
      <c r="GAT199"/>
      <c r="GAU199"/>
      <c r="GAV199"/>
      <c r="GAW199"/>
      <c r="GAX199"/>
      <c r="GAY199"/>
      <c r="GAZ199"/>
      <c r="GBA199"/>
      <c r="GBB199"/>
      <c r="GBC199"/>
      <c r="GBD199"/>
      <c r="GBE199"/>
      <c r="GBF199"/>
      <c r="GBG199"/>
      <c r="GBH199"/>
      <c r="GBI199"/>
      <c r="GBJ199"/>
      <c r="GBK199"/>
      <c r="GBL199"/>
      <c r="GBM199"/>
      <c r="GBN199"/>
      <c r="GBO199"/>
      <c r="GBP199"/>
      <c r="GBQ199"/>
      <c r="GBR199"/>
      <c r="GBS199"/>
      <c r="GBT199"/>
      <c r="GBU199"/>
      <c r="GBV199"/>
      <c r="GBW199"/>
      <c r="GBX199"/>
      <c r="GBY199"/>
      <c r="GBZ199"/>
      <c r="GCA199"/>
      <c r="GCB199"/>
      <c r="GCC199"/>
      <c r="GCD199"/>
      <c r="GCE199"/>
      <c r="GCF199"/>
      <c r="GCG199"/>
      <c r="GCH199"/>
      <c r="GCI199"/>
      <c r="GCJ199"/>
      <c r="GCK199"/>
      <c r="GCL199"/>
      <c r="GCM199"/>
      <c r="GCN199"/>
      <c r="GCO199"/>
      <c r="GCP199"/>
      <c r="GCQ199"/>
      <c r="GCR199"/>
      <c r="GCS199"/>
      <c r="GCT199"/>
      <c r="GCU199"/>
      <c r="GCV199"/>
      <c r="GCW199"/>
      <c r="GCX199"/>
      <c r="GCY199"/>
      <c r="GCZ199"/>
      <c r="GDA199"/>
      <c r="GDB199"/>
      <c r="GDC199"/>
      <c r="GDD199"/>
      <c r="GDE199"/>
      <c r="GDF199"/>
      <c r="GDG199"/>
      <c r="GDH199"/>
      <c r="GDI199"/>
      <c r="GDJ199"/>
      <c r="GDK199"/>
      <c r="GDL199"/>
      <c r="GDM199"/>
      <c r="GDN199"/>
      <c r="GDO199"/>
      <c r="GDP199"/>
      <c r="GDQ199"/>
      <c r="GDR199"/>
      <c r="GDS199"/>
      <c r="GDT199"/>
      <c r="GDU199"/>
      <c r="GDV199"/>
      <c r="GDW199"/>
      <c r="GDX199"/>
      <c r="GDY199"/>
      <c r="GDZ199"/>
      <c r="GEA199"/>
      <c r="GEB199"/>
      <c r="GEC199"/>
      <c r="GED199"/>
      <c r="GEE199"/>
      <c r="GEF199"/>
      <c r="GEG199"/>
      <c r="GEH199"/>
      <c r="GEI199"/>
      <c r="GEJ199"/>
      <c r="GEK199"/>
      <c r="GEL199"/>
      <c r="GEM199"/>
      <c r="GEN199"/>
      <c r="GEO199"/>
      <c r="GEP199"/>
      <c r="GEQ199"/>
      <c r="GER199"/>
      <c r="GES199"/>
      <c r="GET199"/>
      <c r="GEU199"/>
      <c r="GEV199"/>
      <c r="GEW199"/>
      <c r="GEX199"/>
      <c r="GEY199"/>
      <c r="GEZ199"/>
      <c r="GFA199"/>
      <c r="GFB199"/>
      <c r="GFC199"/>
      <c r="GFD199"/>
      <c r="GFE199"/>
      <c r="GFF199"/>
      <c r="GFG199"/>
      <c r="GFH199"/>
      <c r="GFI199"/>
      <c r="GFJ199"/>
      <c r="GFK199"/>
      <c r="GFL199"/>
      <c r="GFM199"/>
      <c r="GFN199"/>
      <c r="GFO199"/>
      <c r="GFP199"/>
      <c r="GFQ199"/>
      <c r="GFR199"/>
      <c r="GFS199"/>
      <c r="GFT199"/>
      <c r="GFU199"/>
      <c r="GFV199"/>
      <c r="GFW199"/>
      <c r="GFX199"/>
      <c r="GFY199"/>
      <c r="GFZ199"/>
      <c r="GGA199"/>
      <c r="GGB199"/>
      <c r="GGC199"/>
      <c r="GGD199"/>
      <c r="GGE199"/>
      <c r="GGF199"/>
      <c r="GGG199"/>
      <c r="GGH199"/>
      <c r="GGI199"/>
      <c r="GGJ199"/>
      <c r="GGK199"/>
      <c r="GGL199"/>
      <c r="GGM199"/>
      <c r="GGN199"/>
      <c r="GGO199"/>
      <c r="GGP199"/>
      <c r="GGQ199"/>
      <c r="GGR199"/>
      <c r="GGS199"/>
      <c r="GGT199"/>
      <c r="GGU199"/>
      <c r="GGV199"/>
      <c r="GGW199"/>
      <c r="GGX199"/>
      <c r="GGY199"/>
      <c r="GGZ199"/>
      <c r="GHA199"/>
      <c r="GHB199"/>
      <c r="GHC199"/>
      <c r="GHD199"/>
      <c r="GHE199"/>
      <c r="GHF199"/>
      <c r="GHG199"/>
      <c r="GHH199"/>
      <c r="GHI199"/>
      <c r="GHJ199"/>
      <c r="GHK199"/>
      <c r="GHL199"/>
      <c r="GHM199"/>
      <c r="GHN199"/>
      <c r="GHO199"/>
      <c r="GHP199"/>
      <c r="GHQ199"/>
      <c r="GHR199"/>
      <c r="GHS199"/>
      <c r="GHT199"/>
      <c r="GHU199"/>
      <c r="GHV199"/>
      <c r="GHW199"/>
      <c r="GHX199"/>
      <c r="GHY199"/>
      <c r="GHZ199"/>
      <c r="GIA199"/>
      <c r="GIB199"/>
      <c r="GIC199"/>
      <c r="GID199"/>
      <c r="GIE199"/>
      <c r="GIF199"/>
      <c r="GIG199"/>
      <c r="GIH199"/>
      <c r="GII199"/>
      <c r="GIJ199"/>
      <c r="GIK199"/>
      <c r="GIL199"/>
      <c r="GIM199"/>
      <c r="GIN199"/>
      <c r="GIO199"/>
      <c r="GIP199"/>
      <c r="GIQ199"/>
      <c r="GIR199"/>
      <c r="GIS199"/>
      <c r="GIT199"/>
      <c r="GIU199"/>
      <c r="GIV199"/>
      <c r="GIW199"/>
      <c r="GIX199"/>
      <c r="GIY199"/>
      <c r="GIZ199"/>
      <c r="GJA199"/>
      <c r="GJB199"/>
      <c r="GJC199"/>
      <c r="GJD199"/>
      <c r="GJE199"/>
      <c r="GJF199"/>
      <c r="GJG199"/>
      <c r="GJH199"/>
      <c r="GJI199"/>
      <c r="GJJ199"/>
      <c r="GJK199"/>
      <c r="GJL199"/>
      <c r="GJM199"/>
      <c r="GJN199"/>
      <c r="GJO199"/>
      <c r="GJP199"/>
      <c r="GJQ199"/>
      <c r="GJR199"/>
      <c r="GJS199"/>
      <c r="GJT199"/>
      <c r="GJU199"/>
      <c r="GJV199"/>
      <c r="GJW199"/>
      <c r="GJX199"/>
      <c r="GJY199"/>
      <c r="GJZ199"/>
      <c r="GKA199"/>
      <c r="GKB199"/>
      <c r="GKC199"/>
      <c r="GKD199"/>
      <c r="GKE199"/>
      <c r="GKF199"/>
      <c r="GKG199"/>
      <c r="GKH199"/>
      <c r="GKI199"/>
      <c r="GKJ199"/>
      <c r="GKK199"/>
      <c r="GKL199"/>
      <c r="GKM199"/>
      <c r="GKN199"/>
      <c r="GKO199"/>
      <c r="GKP199"/>
      <c r="GKQ199"/>
      <c r="GKR199"/>
      <c r="GKS199"/>
      <c r="GKT199"/>
      <c r="GKU199"/>
      <c r="GKV199"/>
      <c r="GKW199"/>
      <c r="GKX199"/>
      <c r="GKY199"/>
      <c r="GKZ199"/>
      <c r="GLA199"/>
      <c r="GLB199"/>
      <c r="GLC199"/>
      <c r="GLD199"/>
      <c r="GLE199"/>
      <c r="GLF199"/>
      <c r="GLG199"/>
      <c r="GLH199"/>
      <c r="GLI199"/>
      <c r="GLJ199"/>
      <c r="GLK199"/>
      <c r="GLL199"/>
      <c r="GLM199"/>
      <c r="GLN199"/>
      <c r="GLO199"/>
      <c r="GLP199"/>
      <c r="GLQ199"/>
      <c r="GLR199"/>
      <c r="GLS199"/>
      <c r="GLT199"/>
      <c r="GLU199"/>
      <c r="GLV199"/>
      <c r="GLW199"/>
      <c r="GLX199"/>
      <c r="GLY199"/>
      <c r="GLZ199"/>
      <c r="GMA199"/>
      <c r="GMB199"/>
      <c r="GMC199"/>
      <c r="GMD199"/>
      <c r="GME199"/>
      <c r="GMF199"/>
      <c r="GMG199"/>
      <c r="GMH199"/>
      <c r="GMI199"/>
      <c r="GMJ199"/>
      <c r="GMK199"/>
      <c r="GML199"/>
      <c r="GMM199"/>
      <c r="GMN199"/>
      <c r="GMO199"/>
      <c r="GMP199"/>
      <c r="GMQ199"/>
      <c r="GMR199"/>
      <c r="GMS199"/>
      <c r="GMT199"/>
      <c r="GMU199"/>
      <c r="GMV199"/>
      <c r="GMW199"/>
      <c r="GMX199"/>
      <c r="GMY199"/>
      <c r="GMZ199"/>
      <c r="GNA199"/>
      <c r="GNB199"/>
      <c r="GNC199"/>
      <c r="GND199"/>
      <c r="GNE199"/>
      <c r="GNF199"/>
      <c r="GNG199"/>
      <c r="GNH199"/>
      <c r="GNI199"/>
      <c r="GNJ199"/>
      <c r="GNK199"/>
      <c r="GNL199"/>
      <c r="GNM199"/>
      <c r="GNN199"/>
      <c r="GNO199"/>
      <c r="GNP199"/>
      <c r="GNQ199"/>
      <c r="GNR199"/>
      <c r="GNS199"/>
      <c r="GNT199"/>
      <c r="GNU199"/>
      <c r="GNV199"/>
      <c r="GNW199"/>
      <c r="GNX199"/>
      <c r="GNY199"/>
      <c r="GNZ199"/>
      <c r="GOA199"/>
      <c r="GOB199"/>
      <c r="GOC199"/>
      <c r="GOD199"/>
      <c r="GOE199"/>
      <c r="GOF199"/>
      <c r="GOG199"/>
      <c r="GOH199"/>
      <c r="GOI199"/>
      <c r="GOJ199"/>
      <c r="GOK199"/>
      <c r="GOL199"/>
      <c r="GOM199"/>
      <c r="GON199"/>
      <c r="GOO199"/>
      <c r="GOP199"/>
      <c r="GOQ199"/>
      <c r="GOR199"/>
      <c r="GOS199"/>
      <c r="GOT199"/>
      <c r="GOU199"/>
      <c r="GOV199"/>
      <c r="GOW199"/>
      <c r="GOX199"/>
      <c r="GOY199"/>
      <c r="GOZ199"/>
      <c r="GPA199"/>
      <c r="GPB199"/>
      <c r="GPC199"/>
      <c r="GPD199"/>
      <c r="GPE199"/>
      <c r="GPF199"/>
      <c r="GPG199"/>
      <c r="GPH199"/>
      <c r="GPI199"/>
      <c r="GPJ199"/>
      <c r="GPK199"/>
      <c r="GPL199"/>
      <c r="GPM199"/>
      <c r="GPN199"/>
      <c r="GPO199"/>
      <c r="GPP199"/>
      <c r="GPQ199"/>
      <c r="GPR199"/>
      <c r="GPS199"/>
      <c r="GPT199"/>
      <c r="GPU199"/>
      <c r="GPV199"/>
      <c r="GPW199"/>
      <c r="GPX199"/>
      <c r="GPY199"/>
      <c r="GPZ199"/>
      <c r="GQA199"/>
      <c r="GQB199"/>
      <c r="GQC199"/>
      <c r="GQD199"/>
      <c r="GQE199"/>
      <c r="GQF199"/>
      <c r="GQG199"/>
      <c r="GQH199"/>
      <c r="GQI199"/>
      <c r="GQJ199"/>
      <c r="GQK199"/>
      <c r="GQL199"/>
      <c r="GQM199"/>
      <c r="GQN199"/>
      <c r="GQO199"/>
      <c r="GQP199"/>
      <c r="GQQ199"/>
      <c r="GQR199"/>
      <c r="GQS199"/>
      <c r="GQT199"/>
      <c r="GQU199"/>
      <c r="GQV199"/>
      <c r="GQW199"/>
      <c r="GQX199"/>
      <c r="GQY199"/>
      <c r="GQZ199"/>
      <c r="GRA199"/>
      <c r="GRB199"/>
      <c r="GRC199"/>
      <c r="GRD199"/>
      <c r="GRE199"/>
      <c r="GRF199"/>
      <c r="GRG199"/>
      <c r="GRH199"/>
      <c r="GRI199"/>
      <c r="GRJ199"/>
      <c r="GRK199"/>
      <c r="GRL199"/>
      <c r="GRM199"/>
      <c r="GRN199"/>
      <c r="GRO199"/>
      <c r="GRP199"/>
      <c r="GRQ199"/>
      <c r="GRR199"/>
      <c r="GRS199"/>
      <c r="GRT199"/>
      <c r="GRU199"/>
      <c r="GRV199"/>
      <c r="GRW199"/>
      <c r="GRX199"/>
      <c r="GRY199"/>
      <c r="GRZ199"/>
      <c r="GSA199"/>
      <c r="GSB199"/>
      <c r="GSC199"/>
      <c r="GSD199"/>
      <c r="GSE199"/>
      <c r="GSF199"/>
      <c r="GSG199"/>
      <c r="GSH199"/>
      <c r="GSI199"/>
      <c r="GSJ199"/>
      <c r="GSK199"/>
      <c r="GSL199"/>
      <c r="GSM199"/>
      <c r="GSN199"/>
      <c r="GSO199"/>
      <c r="GSP199"/>
      <c r="GSQ199"/>
      <c r="GSR199"/>
      <c r="GSS199"/>
      <c r="GST199"/>
      <c r="GSU199"/>
      <c r="GSV199"/>
      <c r="GSW199"/>
      <c r="GSX199"/>
      <c r="GSY199"/>
      <c r="GSZ199"/>
      <c r="GTA199"/>
      <c r="GTB199"/>
      <c r="GTC199"/>
      <c r="GTD199"/>
      <c r="GTE199"/>
      <c r="GTF199"/>
      <c r="GTG199"/>
      <c r="GTH199"/>
      <c r="GTI199"/>
      <c r="GTJ199"/>
      <c r="GTK199"/>
      <c r="GTL199"/>
      <c r="GTM199"/>
      <c r="GTN199"/>
      <c r="GTO199"/>
      <c r="GTP199"/>
      <c r="GTQ199"/>
      <c r="GTR199"/>
      <c r="GTS199"/>
      <c r="GTT199"/>
      <c r="GTU199"/>
      <c r="GTV199"/>
      <c r="GTW199"/>
      <c r="GTX199"/>
      <c r="GTY199"/>
      <c r="GTZ199"/>
      <c r="GUA199"/>
      <c r="GUB199"/>
      <c r="GUC199"/>
      <c r="GUD199"/>
      <c r="GUE199"/>
      <c r="GUF199"/>
      <c r="GUG199"/>
      <c r="GUH199"/>
      <c r="GUI199"/>
      <c r="GUJ199"/>
      <c r="GUK199"/>
      <c r="GUL199"/>
      <c r="GUM199"/>
      <c r="GUN199"/>
      <c r="GUO199"/>
      <c r="GUP199"/>
      <c r="GUQ199"/>
      <c r="GUR199"/>
      <c r="GUS199"/>
      <c r="GUT199"/>
      <c r="GUU199"/>
      <c r="GUV199"/>
      <c r="GUW199"/>
      <c r="GUX199"/>
      <c r="GUY199"/>
      <c r="GUZ199"/>
      <c r="GVA199"/>
      <c r="GVB199"/>
      <c r="GVC199"/>
      <c r="GVD199"/>
      <c r="GVE199"/>
      <c r="GVF199"/>
      <c r="GVG199"/>
      <c r="GVH199"/>
      <c r="GVI199"/>
      <c r="GVJ199"/>
      <c r="GVK199"/>
      <c r="GVL199"/>
      <c r="GVM199"/>
      <c r="GVN199"/>
      <c r="GVO199"/>
      <c r="GVP199"/>
      <c r="GVQ199"/>
      <c r="GVR199"/>
      <c r="GVS199"/>
      <c r="GVT199"/>
      <c r="GVU199"/>
      <c r="GVV199"/>
      <c r="GVW199"/>
      <c r="GVX199"/>
      <c r="GVY199"/>
      <c r="GVZ199"/>
      <c r="GWA199"/>
      <c r="GWB199"/>
      <c r="GWC199"/>
      <c r="GWD199"/>
      <c r="GWE199"/>
      <c r="GWF199"/>
      <c r="GWG199"/>
      <c r="GWH199"/>
      <c r="GWI199"/>
      <c r="GWJ199"/>
      <c r="GWK199"/>
      <c r="GWL199"/>
      <c r="GWM199"/>
      <c r="GWN199"/>
      <c r="GWO199"/>
      <c r="GWP199"/>
      <c r="GWQ199"/>
      <c r="GWR199"/>
      <c r="GWS199"/>
      <c r="GWT199"/>
      <c r="GWU199"/>
      <c r="GWV199"/>
      <c r="GWW199"/>
      <c r="GWX199"/>
      <c r="GWY199"/>
      <c r="GWZ199"/>
      <c r="GXA199"/>
      <c r="GXB199"/>
      <c r="GXC199"/>
      <c r="GXD199"/>
      <c r="GXE199"/>
      <c r="GXF199"/>
      <c r="GXG199"/>
      <c r="GXH199"/>
      <c r="GXI199"/>
      <c r="GXJ199"/>
      <c r="GXK199"/>
      <c r="GXL199"/>
      <c r="GXM199"/>
      <c r="GXN199"/>
      <c r="GXO199"/>
      <c r="GXP199"/>
      <c r="GXQ199"/>
      <c r="GXR199"/>
      <c r="GXS199"/>
      <c r="GXT199"/>
      <c r="GXU199"/>
      <c r="GXV199"/>
      <c r="GXW199"/>
      <c r="GXX199"/>
      <c r="GXY199"/>
      <c r="GXZ199"/>
      <c r="GYA199"/>
      <c r="GYB199"/>
      <c r="GYC199"/>
      <c r="GYD199"/>
      <c r="GYE199"/>
      <c r="GYF199"/>
      <c r="GYG199"/>
      <c r="GYH199"/>
      <c r="GYI199"/>
      <c r="GYJ199"/>
      <c r="GYK199"/>
      <c r="GYL199"/>
      <c r="GYM199"/>
      <c r="GYN199"/>
      <c r="GYO199"/>
      <c r="GYP199"/>
      <c r="GYQ199"/>
      <c r="GYR199"/>
      <c r="GYS199"/>
      <c r="GYT199"/>
      <c r="GYU199"/>
      <c r="GYV199"/>
      <c r="GYW199"/>
      <c r="GYX199"/>
      <c r="GYY199"/>
      <c r="GYZ199"/>
      <c r="GZA199"/>
      <c r="GZB199"/>
      <c r="GZC199"/>
      <c r="GZD199"/>
      <c r="GZE199"/>
      <c r="GZF199"/>
      <c r="GZG199"/>
      <c r="GZH199"/>
      <c r="GZI199"/>
      <c r="GZJ199"/>
      <c r="GZK199"/>
      <c r="GZL199"/>
      <c r="GZM199"/>
      <c r="GZN199"/>
      <c r="GZO199"/>
      <c r="GZP199"/>
      <c r="GZQ199"/>
      <c r="GZR199"/>
      <c r="GZS199"/>
      <c r="GZT199"/>
      <c r="GZU199"/>
      <c r="GZV199"/>
      <c r="GZW199"/>
      <c r="GZX199"/>
      <c r="GZY199"/>
      <c r="GZZ199"/>
      <c r="HAA199"/>
      <c r="HAB199"/>
      <c r="HAC199"/>
      <c r="HAD199"/>
      <c r="HAE199"/>
      <c r="HAF199"/>
      <c r="HAG199"/>
      <c r="HAH199"/>
      <c r="HAI199"/>
      <c r="HAJ199"/>
      <c r="HAK199"/>
      <c r="HAL199"/>
      <c r="HAM199"/>
      <c r="HAN199"/>
      <c r="HAO199"/>
      <c r="HAP199"/>
      <c r="HAQ199"/>
      <c r="HAR199"/>
      <c r="HAS199"/>
      <c r="HAT199"/>
      <c r="HAU199"/>
      <c r="HAV199"/>
      <c r="HAW199"/>
      <c r="HAX199"/>
      <c r="HAY199"/>
      <c r="HAZ199"/>
      <c r="HBA199"/>
      <c r="HBB199"/>
      <c r="HBC199"/>
      <c r="HBD199"/>
      <c r="HBE199"/>
      <c r="HBF199"/>
      <c r="HBG199"/>
      <c r="HBH199"/>
      <c r="HBI199"/>
      <c r="HBJ199"/>
      <c r="HBK199"/>
      <c r="HBL199"/>
      <c r="HBM199"/>
      <c r="HBN199"/>
      <c r="HBO199"/>
      <c r="HBP199"/>
      <c r="HBQ199"/>
      <c r="HBR199"/>
      <c r="HBS199"/>
      <c r="HBT199"/>
      <c r="HBU199"/>
      <c r="HBV199"/>
      <c r="HBW199"/>
      <c r="HBX199"/>
      <c r="HBY199"/>
      <c r="HBZ199"/>
      <c r="HCA199"/>
      <c r="HCB199"/>
      <c r="HCC199"/>
      <c r="HCD199"/>
      <c r="HCE199"/>
      <c r="HCF199"/>
      <c r="HCG199"/>
      <c r="HCH199"/>
      <c r="HCI199"/>
      <c r="HCJ199"/>
      <c r="HCK199"/>
      <c r="HCL199"/>
      <c r="HCM199"/>
      <c r="HCN199"/>
      <c r="HCO199"/>
      <c r="HCP199"/>
      <c r="HCQ199"/>
      <c r="HCR199"/>
      <c r="HCS199"/>
      <c r="HCT199"/>
      <c r="HCU199"/>
      <c r="HCV199"/>
      <c r="HCW199"/>
      <c r="HCX199"/>
      <c r="HCY199"/>
      <c r="HCZ199"/>
      <c r="HDA199"/>
      <c r="HDB199"/>
      <c r="HDC199"/>
      <c r="HDD199"/>
      <c r="HDE199"/>
      <c r="HDF199"/>
      <c r="HDG199"/>
      <c r="HDH199"/>
      <c r="HDI199"/>
      <c r="HDJ199"/>
      <c r="HDK199"/>
      <c r="HDL199"/>
      <c r="HDM199"/>
      <c r="HDN199"/>
      <c r="HDO199"/>
      <c r="HDP199"/>
      <c r="HDQ199"/>
      <c r="HDR199"/>
      <c r="HDS199"/>
      <c r="HDT199"/>
      <c r="HDU199"/>
      <c r="HDV199"/>
      <c r="HDW199"/>
      <c r="HDX199"/>
      <c r="HDY199"/>
      <c r="HDZ199"/>
      <c r="HEA199"/>
      <c r="HEB199"/>
      <c r="HEC199"/>
      <c r="HED199"/>
      <c r="HEE199"/>
      <c r="HEF199"/>
      <c r="HEG199"/>
      <c r="HEH199"/>
      <c r="HEI199"/>
      <c r="HEJ199"/>
      <c r="HEK199"/>
      <c r="HEL199"/>
      <c r="HEM199"/>
      <c r="HEN199"/>
      <c r="HEO199"/>
      <c r="HEP199"/>
      <c r="HEQ199"/>
      <c r="HER199"/>
      <c r="HES199"/>
      <c r="HET199"/>
      <c r="HEU199"/>
      <c r="HEV199"/>
      <c r="HEW199"/>
      <c r="HEX199"/>
      <c r="HEY199"/>
      <c r="HEZ199"/>
      <c r="HFA199"/>
      <c r="HFB199"/>
      <c r="HFC199"/>
      <c r="HFD199"/>
      <c r="HFE199"/>
      <c r="HFF199"/>
      <c r="HFG199"/>
      <c r="HFH199"/>
      <c r="HFI199"/>
      <c r="HFJ199"/>
      <c r="HFK199"/>
      <c r="HFL199"/>
      <c r="HFM199"/>
      <c r="HFN199"/>
      <c r="HFO199"/>
      <c r="HFP199"/>
      <c r="HFQ199"/>
      <c r="HFR199"/>
      <c r="HFS199"/>
      <c r="HFT199"/>
      <c r="HFU199"/>
      <c r="HFV199"/>
      <c r="HFW199"/>
      <c r="HFX199"/>
      <c r="HFY199"/>
      <c r="HFZ199"/>
      <c r="HGA199"/>
      <c r="HGB199"/>
      <c r="HGC199"/>
      <c r="HGD199"/>
      <c r="HGE199"/>
      <c r="HGF199"/>
      <c r="HGG199"/>
      <c r="HGH199"/>
      <c r="HGI199"/>
      <c r="HGJ199"/>
      <c r="HGK199"/>
      <c r="HGL199"/>
      <c r="HGM199"/>
      <c r="HGN199"/>
      <c r="HGO199"/>
      <c r="HGP199"/>
      <c r="HGQ199"/>
      <c r="HGR199"/>
      <c r="HGS199"/>
      <c r="HGT199"/>
      <c r="HGU199"/>
      <c r="HGV199"/>
      <c r="HGW199"/>
      <c r="HGX199"/>
      <c r="HGY199"/>
      <c r="HGZ199"/>
      <c r="HHA199"/>
      <c r="HHB199"/>
      <c r="HHC199"/>
      <c r="HHD199"/>
      <c r="HHE199"/>
      <c r="HHF199"/>
      <c r="HHG199"/>
      <c r="HHH199"/>
      <c r="HHI199"/>
      <c r="HHJ199"/>
      <c r="HHK199"/>
      <c r="HHL199"/>
      <c r="HHM199"/>
      <c r="HHN199"/>
      <c r="HHO199"/>
      <c r="HHP199"/>
      <c r="HHQ199"/>
      <c r="HHR199"/>
      <c r="HHS199"/>
      <c r="HHT199"/>
      <c r="HHU199"/>
      <c r="HHV199"/>
      <c r="HHW199"/>
      <c r="HHX199"/>
      <c r="HHY199"/>
      <c r="HHZ199"/>
      <c r="HIA199"/>
      <c r="HIB199"/>
      <c r="HIC199"/>
      <c r="HID199"/>
      <c r="HIE199"/>
      <c r="HIF199"/>
      <c r="HIG199"/>
      <c r="HIH199"/>
      <c r="HII199"/>
      <c r="HIJ199"/>
      <c r="HIK199"/>
      <c r="HIL199"/>
      <c r="HIM199"/>
      <c r="HIN199"/>
      <c r="HIO199"/>
      <c r="HIP199"/>
      <c r="HIQ199"/>
      <c r="HIR199"/>
      <c r="HIS199"/>
      <c r="HIT199"/>
      <c r="HIU199"/>
      <c r="HIV199"/>
      <c r="HIW199"/>
      <c r="HIX199"/>
      <c r="HIY199"/>
      <c r="HIZ199"/>
      <c r="HJA199"/>
      <c r="HJB199"/>
      <c r="HJC199"/>
      <c r="HJD199"/>
      <c r="HJE199"/>
      <c r="HJF199"/>
      <c r="HJG199"/>
      <c r="HJH199"/>
      <c r="HJI199"/>
      <c r="HJJ199"/>
      <c r="HJK199"/>
      <c r="HJL199"/>
      <c r="HJM199"/>
      <c r="HJN199"/>
      <c r="HJO199"/>
      <c r="HJP199"/>
      <c r="HJQ199"/>
      <c r="HJR199"/>
      <c r="HJS199"/>
      <c r="HJT199"/>
      <c r="HJU199"/>
      <c r="HJV199"/>
      <c r="HJW199"/>
      <c r="HJX199"/>
      <c r="HJY199"/>
      <c r="HJZ199"/>
      <c r="HKA199"/>
      <c r="HKB199"/>
      <c r="HKC199"/>
      <c r="HKD199"/>
      <c r="HKE199"/>
      <c r="HKF199"/>
      <c r="HKG199"/>
      <c r="HKH199"/>
      <c r="HKI199"/>
      <c r="HKJ199"/>
      <c r="HKK199"/>
      <c r="HKL199"/>
      <c r="HKM199"/>
      <c r="HKN199"/>
      <c r="HKO199"/>
      <c r="HKP199"/>
      <c r="HKQ199"/>
      <c r="HKR199"/>
      <c r="HKS199"/>
      <c r="HKT199"/>
      <c r="HKU199"/>
      <c r="HKV199"/>
      <c r="HKW199"/>
      <c r="HKX199"/>
      <c r="HKY199"/>
      <c r="HKZ199"/>
      <c r="HLA199"/>
      <c r="HLB199"/>
      <c r="HLC199"/>
      <c r="HLD199"/>
      <c r="HLE199"/>
      <c r="HLF199"/>
      <c r="HLG199"/>
      <c r="HLH199"/>
      <c r="HLI199"/>
      <c r="HLJ199"/>
      <c r="HLK199"/>
      <c r="HLL199"/>
      <c r="HLM199"/>
      <c r="HLN199"/>
      <c r="HLO199"/>
      <c r="HLP199"/>
      <c r="HLQ199"/>
      <c r="HLR199"/>
      <c r="HLS199"/>
      <c r="HLT199"/>
      <c r="HLU199"/>
      <c r="HLV199"/>
      <c r="HLW199"/>
      <c r="HLX199"/>
      <c r="HLY199"/>
      <c r="HLZ199"/>
      <c r="HMA199"/>
      <c r="HMB199"/>
      <c r="HMC199"/>
      <c r="HMD199"/>
      <c r="HME199"/>
      <c r="HMF199"/>
      <c r="HMG199"/>
      <c r="HMH199"/>
      <c r="HMI199"/>
      <c r="HMJ199"/>
      <c r="HMK199"/>
      <c r="HML199"/>
      <c r="HMM199"/>
      <c r="HMN199"/>
      <c r="HMO199"/>
      <c r="HMP199"/>
      <c r="HMQ199"/>
      <c r="HMR199"/>
      <c r="HMS199"/>
      <c r="HMT199"/>
      <c r="HMU199"/>
      <c r="HMV199"/>
      <c r="HMW199"/>
      <c r="HMX199"/>
      <c r="HMY199"/>
      <c r="HMZ199"/>
      <c r="HNA199"/>
      <c r="HNB199"/>
      <c r="HNC199"/>
      <c r="HND199"/>
      <c r="HNE199"/>
      <c r="HNF199"/>
      <c r="HNG199"/>
      <c r="HNH199"/>
      <c r="HNI199"/>
      <c r="HNJ199"/>
      <c r="HNK199"/>
      <c r="HNL199"/>
      <c r="HNM199"/>
      <c r="HNN199"/>
      <c r="HNO199"/>
      <c r="HNP199"/>
      <c r="HNQ199"/>
      <c r="HNR199"/>
      <c r="HNS199"/>
      <c r="HNT199"/>
      <c r="HNU199"/>
      <c r="HNV199"/>
      <c r="HNW199"/>
      <c r="HNX199"/>
      <c r="HNY199"/>
      <c r="HNZ199"/>
      <c r="HOA199"/>
      <c r="HOB199"/>
      <c r="HOC199"/>
      <c r="HOD199"/>
      <c r="HOE199"/>
      <c r="HOF199"/>
      <c r="HOG199"/>
      <c r="HOH199"/>
      <c r="HOI199"/>
      <c r="HOJ199"/>
      <c r="HOK199"/>
      <c r="HOL199"/>
      <c r="HOM199"/>
      <c r="HON199"/>
      <c r="HOO199"/>
      <c r="HOP199"/>
      <c r="HOQ199"/>
      <c r="HOR199"/>
      <c r="HOS199"/>
      <c r="HOT199"/>
      <c r="HOU199"/>
      <c r="HOV199"/>
      <c r="HOW199"/>
      <c r="HOX199"/>
      <c r="HOY199"/>
      <c r="HOZ199"/>
      <c r="HPA199"/>
      <c r="HPB199"/>
      <c r="HPC199"/>
      <c r="HPD199"/>
      <c r="HPE199"/>
      <c r="HPF199"/>
      <c r="HPG199"/>
      <c r="HPH199"/>
      <c r="HPI199"/>
      <c r="HPJ199"/>
      <c r="HPK199"/>
      <c r="HPL199"/>
      <c r="HPM199"/>
      <c r="HPN199"/>
      <c r="HPO199"/>
      <c r="HPP199"/>
      <c r="HPQ199"/>
      <c r="HPR199"/>
      <c r="HPS199"/>
      <c r="HPT199"/>
      <c r="HPU199"/>
      <c r="HPV199"/>
      <c r="HPW199"/>
      <c r="HPX199"/>
      <c r="HPY199"/>
      <c r="HPZ199"/>
      <c r="HQA199"/>
      <c r="HQB199"/>
      <c r="HQC199"/>
      <c r="HQD199"/>
      <c r="HQE199"/>
      <c r="HQF199"/>
      <c r="HQG199"/>
      <c r="HQH199"/>
      <c r="HQI199"/>
      <c r="HQJ199"/>
      <c r="HQK199"/>
      <c r="HQL199"/>
      <c r="HQM199"/>
      <c r="HQN199"/>
      <c r="HQO199"/>
      <c r="HQP199"/>
      <c r="HQQ199"/>
      <c r="HQR199"/>
      <c r="HQS199"/>
      <c r="HQT199"/>
      <c r="HQU199"/>
      <c r="HQV199"/>
      <c r="HQW199"/>
      <c r="HQX199"/>
      <c r="HQY199"/>
      <c r="HQZ199"/>
      <c r="HRA199"/>
      <c r="HRB199"/>
      <c r="HRC199"/>
      <c r="HRD199"/>
      <c r="HRE199"/>
      <c r="HRF199"/>
      <c r="HRG199"/>
      <c r="HRH199"/>
      <c r="HRI199"/>
      <c r="HRJ199"/>
      <c r="HRK199"/>
      <c r="HRL199"/>
      <c r="HRM199"/>
      <c r="HRN199"/>
      <c r="HRO199"/>
      <c r="HRP199"/>
      <c r="HRQ199"/>
      <c r="HRR199"/>
      <c r="HRS199"/>
      <c r="HRT199"/>
      <c r="HRU199"/>
      <c r="HRV199"/>
      <c r="HRW199"/>
      <c r="HRX199"/>
      <c r="HRY199"/>
      <c r="HRZ199"/>
      <c r="HSA199"/>
      <c r="HSB199"/>
      <c r="HSC199"/>
      <c r="HSD199"/>
      <c r="HSE199"/>
      <c r="HSF199"/>
      <c r="HSG199"/>
      <c r="HSH199"/>
      <c r="HSI199"/>
      <c r="HSJ199"/>
      <c r="HSK199"/>
      <c r="HSL199"/>
      <c r="HSM199"/>
      <c r="HSN199"/>
      <c r="HSO199"/>
      <c r="HSP199"/>
      <c r="HSQ199"/>
      <c r="HSR199"/>
      <c r="HSS199"/>
      <c r="HST199"/>
      <c r="HSU199"/>
      <c r="HSV199"/>
      <c r="HSW199"/>
      <c r="HSX199"/>
      <c r="HSY199"/>
      <c r="HSZ199"/>
      <c r="HTA199"/>
      <c r="HTB199"/>
      <c r="HTC199"/>
      <c r="HTD199"/>
      <c r="HTE199"/>
      <c r="HTF199"/>
      <c r="HTG199"/>
      <c r="HTH199"/>
      <c r="HTI199"/>
      <c r="HTJ199"/>
      <c r="HTK199"/>
      <c r="HTL199"/>
      <c r="HTM199"/>
      <c r="HTN199"/>
      <c r="HTO199"/>
      <c r="HTP199"/>
      <c r="HTQ199"/>
      <c r="HTR199"/>
      <c r="HTS199"/>
      <c r="HTT199"/>
      <c r="HTU199"/>
      <c r="HTV199"/>
      <c r="HTW199"/>
      <c r="HTX199"/>
      <c r="HTY199"/>
      <c r="HTZ199"/>
      <c r="HUA199"/>
      <c r="HUB199"/>
      <c r="HUC199"/>
      <c r="HUD199"/>
      <c r="HUE199"/>
      <c r="HUF199"/>
      <c r="HUG199"/>
      <c r="HUH199"/>
      <c r="HUI199"/>
      <c r="HUJ199"/>
      <c r="HUK199"/>
      <c r="HUL199"/>
      <c r="HUM199"/>
      <c r="HUN199"/>
      <c r="HUO199"/>
      <c r="HUP199"/>
      <c r="HUQ199"/>
      <c r="HUR199"/>
      <c r="HUS199"/>
      <c r="HUT199"/>
      <c r="HUU199"/>
      <c r="HUV199"/>
      <c r="HUW199"/>
      <c r="HUX199"/>
      <c r="HUY199"/>
      <c r="HUZ199"/>
      <c r="HVA199"/>
      <c r="HVB199"/>
      <c r="HVC199"/>
      <c r="HVD199"/>
      <c r="HVE199"/>
      <c r="HVF199"/>
      <c r="HVG199"/>
      <c r="HVH199"/>
      <c r="HVI199"/>
      <c r="HVJ199"/>
      <c r="HVK199"/>
      <c r="HVL199"/>
      <c r="HVM199"/>
      <c r="HVN199"/>
      <c r="HVO199"/>
      <c r="HVP199"/>
      <c r="HVQ199"/>
      <c r="HVR199"/>
      <c r="HVS199"/>
      <c r="HVT199"/>
      <c r="HVU199"/>
      <c r="HVV199"/>
      <c r="HVW199"/>
      <c r="HVX199"/>
      <c r="HVY199"/>
      <c r="HVZ199"/>
      <c r="HWA199"/>
      <c r="HWB199"/>
      <c r="HWC199"/>
      <c r="HWD199"/>
      <c r="HWE199"/>
      <c r="HWF199"/>
      <c r="HWG199"/>
      <c r="HWH199"/>
      <c r="HWI199"/>
      <c r="HWJ199"/>
      <c r="HWK199"/>
      <c r="HWL199"/>
      <c r="HWM199"/>
      <c r="HWN199"/>
      <c r="HWO199"/>
      <c r="HWP199"/>
      <c r="HWQ199"/>
      <c r="HWR199"/>
      <c r="HWS199"/>
      <c r="HWT199"/>
      <c r="HWU199"/>
      <c r="HWV199"/>
      <c r="HWW199"/>
      <c r="HWX199"/>
      <c r="HWY199"/>
      <c r="HWZ199"/>
      <c r="HXA199"/>
      <c r="HXB199"/>
      <c r="HXC199"/>
      <c r="HXD199"/>
      <c r="HXE199"/>
      <c r="HXF199"/>
      <c r="HXG199"/>
      <c r="HXH199"/>
      <c r="HXI199"/>
      <c r="HXJ199"/>
      <c r="HXK199"/>
      <c r="HXL199"/>
      <c r="HXM199"/>
      <c r="HXN199"/>
      <c r="HXO199"/>
      <c r="HXP199"/>
      <c r="HXQ199"/>
      <c r="HXR199"/>
      <c r="HXS199"/>
      <c r="HXT199"/>
      <c r="HXU199"/>
      <c r="HXV199"/>
      <c r="HXW199"/>
      <c r="HXX199"/>
      <c r="HXY199"/>
      <c r="HXZ199"/>
      <c r="HYA199"/>
      <c r="HYB199"/>
      <c r="HYC199"/>
      <c r="HYD199"/>
      <c r="HYE199"/>
      <c r="HYF199"/>
      <c r="HYG199"/>
      <c r="HYH199"/>
      <c r="HYI199"/>
      <c r="HYJ199"/>
      <c r="HYK199"/>
      <c r="HYL199"/>
      <c r="HYM199"/>
      <c r="HYN199"/>
      <c r="HYO199"/>
      <c r="HYP199"/>
      <c r="HYQ199"/>
      <c r="HYR199"/>
      <c r="HYS199"/>
      <c r="HYT199"/>
      <c r="HYU199"/>
      <c r="HYV199"/>
      <c r="HYW199"/>
      <c r="HYX199"/>
      <c r="HYY199"/>
      <c r="HYZ199"/>
      <c r="HZA199"/>
      <c r="HZB199"/>
      <c r="HZC199"/>
      <c r="HZD199"/>
      <c r="HZE199"/>
      <c r="HZF199"/>
      <c r="HZG199"/>
      <c r="HZH199"/>
      <c r="HZI199"/>
      <c r="HZJ199"/>
      <c r="HZK199"/>
      <c r="HZL199"/>
      <c r="HZM199"/>
      <c r="HZN199"/>
      <c r="HZO199"/>
      <c r="HZP199"/>
      <c r="HZQ199"/>
      <c r="HZR199"/>
      <c r="HZS199"/>
      <c r="HZT199"/>
      <c r="HZU199"/>
      <c r="HZV199"/>
      <c r="HZW199"/>
      <c r="HZX199"/>
      <c r="HZY199"/>
      <c r="HZZ199"/>
      <c r="IAA199"/>
      <c r="IAB199"/>
      <c r="IAC199"/>
      <c r="IAD199"/>
      <c r="IAE199"/>
      <c r="IAF199"/>
      <c r="IAG199"/>
      <c r="IAH199"/>
      <c r="IAI199"/>
      <c r="IAJ199"/>
      <c r="IAK199"/>
      <c r="IAL199"/>
      <c r="IAM199"/>
      <c r="IAN199"/>
      <c r="IAO199"/>
      <c r="IAP199"/>
      <c r="IAQ199"/>
      <c r="IAR199"/>
      <c r="IAS199"/>
      <c r="IAT199"/>
      <c r="IAU199"/>
      <c r="IAV199"/>
      <c r="IAW199"/>
      <c r="IAX199"/>
      <c r="IAY199"/>
      <c r="IAZ199"/>
      <c r="IBA199"/>
      <c r="IBB199"/>
      <c r="IBC199"/>
      <c r="IBD199"/>
      <c r="IBE199"/>
      <c r="IBF199"/>
      <c r="IBG199"/>
      <c r="IBH199"/>
      <c r="IBI199"/>
      <c r="IBJ199"/>
      <c r="IBK199"/>
      <c r="IBL199"/>
      <c r="IBM199"/>
      <c r="IBN199"/>
      <c r="IBO199"/>
      <c r="IBP199"/>
      <c r="IBQ199"/>
      <c r="IBR199"/>
      <c r="IBS199"/>
      <c r="IBT199"/>
      <c r="IBU199"/>
      <c r="IBV199"/>
      <c r="IBW199"/>
      <c r="IBX199"/>
      <c r="IBY199"/>
      <c r="IBZ199"/>
      <c r="ICA199"/>
      <c r="ICB199"/>
      <c r="ICC199"/>
      <c r="ICD199"/>
      <c r="ICE199"/>
      <c r="ICF199"/>
      <c r="ICG199"/>
      <c r="ICH199"/>
      <c r="ICI199"/>
      <c r="ICJ199"/>
      <c r="ICK199"/>
      <c r="ICL199"/>
      <c r="ICM199"/>
      <c r="ICN199"/>
      <c r="ICO199"/>
      <c r="ICP199"/>
      <c r="ICQ199"/>
      <c r="ICR199"/>
      <c r="ICS199"/>
      <c r="ICT199"/>
      <c r="ICU199"/>
      <c r="ICV199"/>
      <c r="ICW199"/>
      <c r="ICX199"/>
      <c r="ICY199"/>
      <c r="ICZ199"/>
      <c r="IDA199"/>
      <c r="IDB199"/>
      <c r="IDC199"/>
      <c r="IDD199"/>
      <c r="IDE199"/>
      <c r="IDF199"/>
      <c r="IDG199"/>
      <c r="IDH199"/>
      <c r="IDI199"/>
      <c r="IDJ199"/>
      <c r="IDK199"/>
      <c r="IDL199"/>
      <c r="IDM199"/>
      <c r="IDN199"/>
      <c r="IDO199"/>
      <c r="IDP199"/>
      <c r="IDQ199"/>
      <c r="IDR199"/>
      <c r="IDS199"/>
      <c r="IDT199"/>
      <c r="IDU199"/>
      <c r="IDV199"/>
      <c r="IDW199"/>
      <c r="IDX199"/>
      <c r="IDY199"/>
      <c r="IDZ199"/>
      <c r="IEA199"/>
      <c r="IEB199"/>
      <c r="IEC199"/>
      <c r="IED199"/>
      <c r="IEE199"/>
      <c r="IEF199"/>
      <c r="IEG199"/>
      <c r="IEH199"/>
      <c r="IEI199"/>
      <c r="IEJ199"/>
      <c r="IEK199"/>
      <c r="IEL199"/>
      <c r="IEM199"/>
      <c r="IEN199"/>
      <c r="IEO199"/>
      <c r="IEP199"/>
      <c r="IEQ199"/>
      <c r="IER199"/>
      <c r="IES199"/>
      <c r="IET199"/>
      <c r="IEU199"/>
      <c r="IEV199"/>
      <c r="IEW199"/>
      <c r="IEX199"/>
      <c r="IEY199"/>
      <c r="IEZ199"/>
      <c r="IFA199"/>
      <c r="IFB199"/>
      <c r="IFC199"/>
      <c r="IFD199"/>
      <c r="IFE199"/>
      <c r="IFF199"/>
      <c r="IFG199"/>
      <c r="IFH199"/>
      <c r="IFI199"/>
      <c r="IFJ199"/>
      <c r="IFK199"/>
      <c r="IFL199"/>
      <c r="IFM199"/>
      <c r="IFN199"/>
      <c r="IFO199"/>
      <c r="IFP199"/>
      <c r="IFQ199"/>
      <c r="IFR199"/>
      <c r="IFS199"/>
      <c r="IFT199"/>
      <c r="IFU199"/>
      <c r="IFV199"/>
      <c r="IFW199"/>
      <c r="IFX199"/>
      <c r="IFY199"/>
      <c r="IFZ199"/>
      <c r="IGA199"/>
      <c r="IGB199"/>
      <c r="IGC199"/>
      <c r="IGD199"/>
      <c r="IGE199"/>
      <c r="IGF199"/>
      <c r="IGG199"/>
      <c r="IGH199"/>
      <c r="IGI199"/>
      <c r="IGJ199"/>
      <c r="IGK199"/>
      <c r="IGL199"/>
      <c r="IGM199"/>
      <c r="IGN199"/>
      <c r="IGO199"/>
      <c r="IGP199"/>
      <c r="IGQ199"/>
      <c r="IGR199"/>
      <c r="IGS199"/>
      <c r="IGT199"/>
      <c r="IGU199"/>
      <c r="IGV199"/>
      <c r="IGW199"/>
      <c r="IGX199"/>
      <c r="IGY199"/>
      <c r="IGZ199"/>
      <c r="IHA199"/>
      <c r="IHB199"/>
      <c r="IHC199"/>
      <c r="IHD199"/>
      <c r="IHE199"/>
      <c r="IHF199"/>
      <c r="IHG199"/>
      <c r="IHH199"/>
      <c r="IHI199"/>
      <c r="IHJ199"/>
      <c r="IHK199"/>
      <c r="IHL199"/>
      <c r="IHM199"/>
      <c r="IHN199"/>
      <c r="IHO199"/>
      <c r="IHP199"/>
      <c r="IHQ199"/>
      <c r="IHR199"/>
      <c r="IHS199"/>
      <c r="IHT199"/>
      <c r="IHU199"/>
      <c r="IHV199"/>
      <c r="IHW199"/>
      <c r="IHX199"/>
      <c r="IHY199"/>
      <c r="IHZ199"/>
      <c r="IIA199"/>
      <c r="IIB199"/>
      <c r="IIC199"/>
      <c r="IID199"/>
      <c r="IIE199"/>
      <c r="IIF199"/>
      <c r="IIG199"/>
      <c r="IIH199"/>
      <c r="III199"/>
      <c r="IIJ199"/>
      <c r="IIK199"/>
      <c r="IIL199"/>
      <c r="IIM199"/>
      <c r="IIN199"/>
      <c r="IIO199"/>
      <c r="IIP199"/>
      <c r="IIQ199"/>
      <c r="IIR199"/>
      <c r="IIS199"/>
      <c r="IIT199"/>
      <c r="IIU199"/>
      <c r="IIV199"/>
      <c r="IIW199"/>
      <c r="IIX199"/>
      <c r="IIY199"/>
      <c r="IIZ199"/>
      <c r="IJA199"/>
      <c r="IJB199"/>
      <c r="IJC199"/>
      <c r="IJD199"/>
      <c r="IJE199"/>
      <c r="IJF199"/>
      <c r="IJG199"/>
      <c r="IJH199"/>
      <c r="IJI199"/>
      <c r="IJJ199"/>
      <c r="IJK199"/>
      <c r="IJL199"/>
      <c r="IJM199"/>
      <c r="IJN199"/>
      <c r="IJO199"/>
      <c r="IJP199"/>
      <c r="IJQ199"/>
      <c r="IJR199"/>
      <c r="IJS199"/>
      <c r="IJT199"/>
      <c r="IJU199"/>
      <c r="IJV199"/>
      <c r="IJW199"/>
      <c r="IJX199"/>
      <c r="IJY199"/>
      <c r="IJZ199"/>
      <c r="IKA199"/>
      <c r="IKB199"/>
      <c r="IKC199"/>
      <c r="IKD199"/>
      <c r="IKE199"/>
      <c r="IKF199"/>
      <c r="IKG199"/>
      <c r="IKH199"/>
      <c r="IKI199"/>
      <c r="IKJ199"/>
      <c r="IKK199"/>
      <c r="IKL199"/>
      <c r="IKM199"/>
      <c r="IKN199"/>
      <c r="IKO199"/>
      <c r="IKP199"/>
      <c r="IKQ199"/>
      <c r="IKR199"/>
      <c r="IKS199"/>
      <c r="IKT199"/>
      <c r="IKU199"/>
      <c r="IKV199"/>
      <c r="IKW199"/>
      <c r="IKX199"/>
      <c r="IKY199"/>
      <c r="IKZ199"/>
      <c r="ILA199"/>
      <c r="ILB199"/>
      <c r="ILC199"/>
      <c r="ILD199"/>
      <c r="ILE199"/>
      <c r="ILF199"/>
      <c r="ILG199"/>
      <c r="ILH199"/>
      <c r="ILI199"/>
      <c r="ILJ199"/>
      <c r="ILK199"/>
      <c r="ILL199"/>
      <c r="ILM199"/>
      <c r="ILN199"/>
      <c r="ILO199"/>
      <c r="ILP199"/>
      <c r="ILQ199"/>
      <c r="ILR199"/>
      <c r="ILS199"/>
      <c r="ILT199"/>
      <c r="ILU199"/>
      <c r="ILV199"/>
      <c r="ILW199"/>
      <c r="ILX199"/>
      <c r="ILY199"/>
      <c r="ILZ199"/>
      <c r="IMA199"/>
      <c r="IMB199"/>
      <c r="IMC199"/>
      <c r="IMD199"/>
      <c r="IME199"/>
      <c r="IMF199"/>
      <c r="IMG199"/>
      <c r="IMH199"/>
      <c r="IMI199"/>
      <c r="IMJ199"/>
      <c r="IMK199"/>
      <c r="IML199"/>
      <c r="IMM199"/>
      <c r="IMN199"/>
      <c r="IMO199"/>
      <c r="IMP199"/>
      <c r="IMQ199"/>
      <c r="IMR199"/>
      <c r="IMS199"/>
      <c r="IMT199"/>
      <c r="IMU199"/>
      <c r="IMV199"/>
      <c r="IMW199"/>
      <c r="IMX199"/>
      <c r="IMY199"/>
      <c r="IMZ199"/>
      <c r="INA199"/>
      <c r="INB199"/>
      <c r="INC199"/>
      <c r="IND199"/>
      <c r="INE199"/>
      <c r="INF199"/>
      <c r="ING199"/>
      <c r="INH199"/>
      <c r="INI199"/>
      <c r="INJ199"/>
      <c r="INK199"/>
      <c r="INL199"/>
      <c r="INM199"/>
      <c r="INN199"/>
      <c r="INO199"/>
      <c r="INP199"/>
      <c r="INQ199"/>
      <c r="INR199"/>
      <c r="INS199"/>
      <c r="INT199"/>
      <c r="INU199"/>
      <c r="INV199"/>
      <c r="INW199"/>
      <c r="INX199"/>
      <c r="INY199"/>
      <c r="INZ199"/>
      <c r="IOA199"/>
      <c r="IOB199"/>
      <c r="IOC199"/>
      <c r="IOD199"/>
      <c r="IOE199"/>
      <c r="IOF199"/>
      <c r="IOG199"/>
      <c r="IOH199"/>
      <c r="IOI199"/>
      <c r="IOJ199"/>
      <c r="IOK199"/>
      <c r="IOL199"/>
      <c r="IOM199"/>
      <c r="ION199"/>
      <c r="IOO199"/>
      <c r="IOP199"/>
      <c r="IOQ199"/>
      <c r="IOR199"/>
      <c r="IOS199"/>
      <c r="IOT199"/>
      <c r="IOU199"/>
      <c r="IOV199"/>
      <c r="IOW199"/>
      <c r="IOX199"/>
      <c r="IOY199"/>
      <c r="IOZ199"/>
      <c r="IPA199"/>
      <c r="IPB199"/>
      <c r="IPC199"/>
      <c r="IPD199"/>
      <c r="IPE199"/>
      <c r="IPF199"/>
      <c r="IPG199"/>
      <c r="IPH199"/>
      <c r="IPI199"/>
      <c r="IPJ199"/>
      <c r="IPK199"/>
      <c r="IPL199"/>
      <c r="IPM199"/>
      <c r="IPN199"/>
      <c r="IPO199"/>
      <c r="IPP199"/>
      <c r="IPQ199"/>
      <c r="IPR199"/>
      <c r="IPS199"/>
      <c r="IPT199"/>
      <c r="IPU199"/>
      <c r="IPV199"/>
      <c r="IPW199"/>
      <c r="IPX199"/>
      <c r="IPY199"/>
      <c r="IPZ199"/>
      <c r="IQA199"/>
      <c r="IQB199"/>
      <c r="IQC199"/>
      <c r="IQD199"/>
      <c r="IQE199"/>
      <c r="IQF199"/>
      <c r="IQG199"/>
      <c r="IQH199"/>
      <c r="IQI199"/>
      <c r="IQJ199"/>
      <c r="IQK199"/>
      <c r="IQL199"/>
      <c r="IQM199"/>
      <c r="IQN199"/>
      <c r="IQO199"/>
      <c r="IQP199"/>
      <c r="IQQ199"/>
      <c r="IQR199"/>
      <c r="IQS199"/>
      <c r="IQT199"/>
      <c r="IQU199"/>
      <c r="IQV199"/>
      <c r="IQW199"/>
      <c r="IQX199"/>
      <c r="IQY199"/>
      <c r="IQZ199"/>
      <c r="IRA199"/>
      <c r="IRB199"/>
      <c r="IRC199"/>
      <c r="IRD199"/>
      <c r="IRE199"/>
      <c r="IRF199"/>
      <c r="IRG199"/>
      <c r="IRH199"/>
      <c r="IRI199"/>
      <c r="IRJ199"/>
      <c r="IRK199"/>
      <c r="IRL199"/>
      <c r="IRM199"/>
      <c r="IRN199"/>
      <c r="IRO199"/>
      <c r="IRP199"/>
      <c r="IRQ199"/>
      <c r="IRR199"/>
      <c r="IRS199"/>
      <c r="IRT199"/>
      <c r="IRU199"/>
      <c r="IRV199"/>
      <c r="IRW199"/>
      <c r="IRX199"/>
      <c r="IRY199"/>
      <c r="IRZ199"/>
      <c r="ISA199"/>
      <c r="ISB199"/>
      <c r="ISC199"/>
      <c r="ISD199"/>
      <c r="ISE199"/>
      <c r="ISF199"/>
      <c r="ISG199"/>
      <c r="ISH199"/>
      <c r="ISI199"/>
      <c r="ISJ199"/>
      <c r="ISK199"/>
      <c r="ISL199"/>
      <c r="ISM199"/>
      <c r="ISN199"/>
      <c r="ISO199"/>
      <c r="ISP199"/>
      <c r="ISQ199"/>
      <c r="ISR199"/>
      <c r="ISS199"/>
      <c r="IST199"/>
      <c r="ISU199"/>
      <c r="ISV199"/>
      <c r="ISW199"/>
      <c r="ISX199"/>
      <c r="ISY199"/>
      <c r="ISZ199"/>
      <c r="ITA199"/>
      <c r="ITB199"/>
      <c r="ITC199"/>
      <c r="ITD199"/>
      <c r="ITE199"/>
      <c r="ITF199"/>
      <c r="ITG199"/>
      <c r="ITH199"/>
      <c r="ITI199"/>
      <c r="ITJ199"/>
      <c r="ITK199"/>
      <c r="ITL199"/>
      <c r="ITM199"/>
      <c r="ITN199"/>
      <c r="ITO199"/>
      <c r="ITP199"/>
      <c r="ITQ199"/>
      <c r="ITR199"/>
      <c r="ITS199"/>
      <c r="ITT199"/>
      <c r="ITU199"/>
      <c r="ITV199"/>
      <c r="ITW199"/>
      <c r="ITX199"/>
      <c r="ITY199"/>
      <c r="ITZ199"/>
      <c r="IUA199"/>
      <c r="IUB199"/>
      <c r="IUC199"/>
      <c r="IUD199"/>
      <c r="IUE199"/>
      <c r="IUF199"/>
      <c r="IUG199"/>
      <c r="IUH199"/>
      <c r="IUI199"/>
      <c r="IUJ199"/>
      <c r="IUK199"/>
      <c r="IUL199"/>
      <c r="IUM199"/>
      <c r="IUN199"/>
      <c r="IUO199"/>
      <c r="IUP199"/>
      <c r="IUQ199"/>
      <c r="IUR199"/>
      <c r="IUS199"/>
      <c r="IUT199"/>
      <c r="IUU199"/>
      <c r="IUV199"/>
      <c r="IUW199"/>
      <c r="IUX199"/>
      <c r="IUY199"/>
      <c r="IUZ199"/>
      <c r="IVA199"/>
      <c r="IVB199"/>
      <c r="IVC199"/>
      <c r="IVD199"/>
      <c r="IVE199"/>
      <c r="IVF199"/>
      <c r="IVG199"/>
      <c r="IVH199"/>
      <c r="IVI199"/>
      <c r="IVJ199"/>
      <c r="IVK199"/>
      <c r="IVL199"/>
      <c r="IVM199"/>
      <c r="IVN199"/>
      <c r="IVO199"/>
      <c r="IVP199"/>
      <c r="IVQ199"/>
      <c r="IVR199"/>
      <c r="IVS199"/>
      <c r="IVT199"/>
      <c r="IVU199"/>
      <c r="IVV199"/>
      <c r="IVW199"/>
      <c r="IVX199"/>
      <c r="IVY199"/>
      <c r="IVZ199"/>
      <c r="IWA199"/>
      <c r="IWB199"/>
      <c r="IWC199"/>
      <c r="IWD199"/>
      <c r="IWE199"/>
      <c r="IWF199"/>
      <c r="IWG199"/>
      <c r="IWH199"/>
      <c r="IWI199"/>
      <c r="IWJ199"/>
      <c r="IWK199"/>
      <c r="IWL199"/>
      <c r="IWM199"/>
      <c r="IWN199"/>
      <c r="IWO199"/>
      <c r="IWP199"/>
      <c r="IWQ199"/>
      <c r="IWR199"/>
      <c r="IWS199"/>
      <c r="IWT199"/>
      <c r="IWU199"/>
      <c r="IWV199"/>
      <c r="IWW199"/>
      <c r="IWX199"/>
      <c r="IWY199"/>
      <c r="IWZ199"/>
      <c r="IXA199"/>
      <c r="IXB199"/>
      <c r="IXC199"/>
      <c r="IXD199"/>
      <c r="IXE199"/>
      <c r="IXF199"/>
      <c r="IXG199"/>
      <c r="IXH199"/>
      <c r="IXI199"/>
      <c r="IXJ199"/>
      <c r="IXK199"/>
      <c r="IXL199"/>
      <c r="IXM199"/>
      <c r="IXN199"/>
      <c r="IXO199"/>
      <c r="IXP199"/>
      <c r="IXQ199"/>
      <c r="IXR199"/>
      <c r="IXS199"/>
      <c r="IXT199"/>
      <c r="IXU199"/>
      <c r="IXV199"/>
      <c r="IXW199"/>
      <c r="IXX199"/>
      <c r="IXY199"/>
      <c r="IXZ199"/>
      <c r="IYA199"/>
      <c r="IYB199"/>
      <c r="IYC199"/>
      <c r="IYD199"/>
      <c r="IYE199"/>
      <c r="IYF199"/>
      <c r="IYG199"/>
      <c r="IYH199"/>
      <c r="IYI199"/>
      <c r="IYJ199"/>
      <c r="IYK199"/>
      <c r="IYL199"/>
      <c r="IYM199"/>
      <c r="IYN199"/>
      <c r="IYO199"/>
      <c r="IYP199"/>
      <c r="IYQ199"/>
      <c r="IYR199"/>
      <c r="IYS199"/>
      <c r="IYT199"/>
      <c r="IYU199"/>
      <c r="IYV199"/>
      <c r="IYW199"/>
      <c r="IYX199"/>
      <c r="IYY199"/>
      <c r="IYZ199"/>
      <c r="IZA199"/>
      <c r="IZB199"/>
      <c r="IZC199"/>
      <c r="IZD199"/>
      <c r="IZE199"/>
      <c r="IZF199"/>
      <c r="IZG199"/>
      <c r="IZH199"/>
      <c r="IZI199"/>
      <c r="IZJ199"/>
      <c r="IZK199"/>
      <c r="IZL199"/>
      <c r="IZM199"/>
      <c r="IZN199"/>
      <c r="IZO199"/>
      <c r="IZP199"/>
      <c r="IZQ199"/>
      <c r="IZR199"/>
      <c r="IZS199"/>
      <c r="IZT199"/>
      <c r="IZU199"/>
      <c r="IZV199"/>
      <c r="IZW199"/>
      <c r="IZX199"/>
      <c r="IZY199"/>
      <c r="IZZ199"/>
      <c r="JAA199"/>
      <c r="JAB199"/>
      <c r="JAC199"/>
      <c r="JAD199"/>
      <c r="JAE199"/>
      <c r="JAF199"/>
      <c r="JAG199"/>
      <c r="JAH199"/>
      <c r="JAI199"/>
      <c r="JAJ199"/>
      <c r="JAK199"/>
      <c r="JAL199"/>
      <c r="JAM199"/>
      <c r="JAN199"/>
      <c r="JAO199"/>
      <c r="JAP199"/>
      <c r="JAQ199"/>
      <c r="JAR199"/>
      <c r="JAS199"/>
      <c r="JAT199"/>
      <c r="JAU199"/>
      <c r="JAV199"/>
      <c r="JAW199"/>
      <c r="JAX199"/>
      <c r="JAY199"/>
      <c r="JAZ199"/>
      <c r="JBA199"/>
      <c r="JBB199"/>
      <c r="JBC199"/>
      <c r="JBD199"/>
      <c r="JBE199"/>
      <c r="JBF199"/>
      <c r="JBG199"/>
      <c r="JBH199"/>
      <c r="JBI199"/>
      <c r="JBJ199"/>
      <c r="JBK199"/>
      <c r="JBL199"/>
      <c r="JBM199"/>
      <c r="JBN199"/>
      <c r="JBO199"/>
      <c r="JBP199"/>
      <c r="JBQ199"/>
      <c r="JBR199"/>
      <c r="JBS199"/>
      <c r="JBT199"/>
      <c r="JBU199"/>
      <c r="JBV199"/>
      <c r="JBW199"/>
      <c r="JBX199"/>
      <c r="JBY199"/>
      <c r="JBZ199"/>
      <c r="JCA199"/>
      <c r="JCB199"/>
      <c r="JCC199"/>
      <c r="JCD199"/>
      <c r="JCE199"/>
      <c r="JCF199"/>
      <c r="JCG199"/>
      <c r="JCH199"/>
      <c r="JCI199"/>
      <c r="JCJ199"/>
      <c r="JCK199"/>
      <c r="JCL199"/>
      <c r="JCM199"/>
      <c r="JCN199"/>
      <c r="JCO199"/>
      <c r="JCP199"/>
      <c r="JCQ199"/>
      <c r="JCR199"/>
      <c r="JCS199"/>
      <c r="JCT199"/>
      <c r="JCU199"/>
      <c r="JCV199"/>
      <c r="JCW199"/>
      <c r="JCX199"/>
      <c r="JCY199"/>
      <c r="JCZ199"/>
      <c r="JDA199"/>
      <c r="JDB199"/>
      <c r="JDC199"/>
      <c r="JDD199"/>
      <c r="JDE199"/>
      <c r="JDF199"/>
      <c r="JDG199"/>
      <c r="JDH199"/>
      <c r="JDI199"/>
      <c r="JDJ199"/>
      <c r="JDK199"/>
      <c r="JDL199"/>
      <c r="JDM199"/>
      <c r="JDN199"/>
      <c r="JDO199"/>
      <c r="JDP199"/>
      <c r="JDQ199"/>
      <c r="JDR199"/>
      <c r="JDS199"/>
      <c r="JDT199"/>
      <c r="JDU199"/>
      <c r="JDV199"/>
      <c r="JDW199"/>
      <c r="JDX199"/>
      <c r="JDY199"/>
      <c r="JDZ199"/>
      <c r="JEA199"/>
      <c r="JEB199"/>
      <c r="JEC199"/>
      <c r="JED199"/>
      <c r="JEE199"/>
      <c r="JEF199"/>
      <c r="JEG199"/>
      <c r="JEH199"/>
      <c r="JEI199"/>
      <c r="JEJ199"/>
      <c r="JEK199"/>
      <c r="JEL199"/>
      <c r="JEM199"/>
      <c r="JEN199"/>
      <c r="JEO199"/>
      <c r="JEP199"/>
      <c r="JEQ199"/>
      <c r="JER199"/>
      <c r="JES199"/>
      <c r="JET199"/>
      <c r="JEU199"/>
      <c r="JEV199"/>
      <c r="JEW199"/>
      <c r="JEX199"/>
      <c r="JEY199"/>
      <c r="JEZ199"/>
      <c r="JFA199"/>
      <c r="JFB199"/>
      <c r="JFC199"/>
      <c r="JFD199"/>
      <c r="JFE199"/>
      <c r="JFF199"/>
      <c r="JFG199"/>
      <c r="JFH199"/>
      <c r="JFI199"/>
      <c r="JFJ199"/>
      <c r="JFK199"/>
      <c r="JFL199"/>
      <c r="JFM199"/>
      <c r="JFN199"/>
      <c r="JFO199"/>
      <c r="JFP199"/>
      <c r="JFQ199"/>
      <c r="JFR199"/>
      <c r="JFS199"/>
      <c r="JFT199"/>
      <c r="JFU199"/>
      <c r="JFV199"/>
      <c r="JFW199"/>
      <c r="JFX199"/>
      <c r="JFY199"/>
      <c r="JFZ199"/>
      <c r="JGA199"/>
      <c r="JGB199"/>
      <c r="JGC199"/>
      <c r="JGD199"/>
      <c r="JGE199"/>
      <c r="JGF199"/>
      <c r="JGG199"/>
      <c r="JGH199"/>
      <c r="JGI199"/>
      <c r="JGJ199"/>
      <c r="JGK199"/>
      <c r="JGL199"/>
      <c r="JGM199"/>
      <c r="JGN199"/>
      <c r="JGO199"/>
      <c r="JGP199"/>
      <c r="JGQ199"/>
      <c r="JGR199"/>
      <c r="JGS199"/>
      <c r="JGT199"/>
      <c r="JGU199"/>
      <c r="JGV199"/>
      <c r="JGW199"/>
      <c r="JGX199"/>
      <c r="JGY199"/>
      <c r="JGZ199"/>
      <c r="JHA199"/>
      <c r="JHB199"/>
      <c r="JHC199"/>
      <c r="JHD199"/>
      <c r="JHE199"/>
      <c r="JHF199"/>
      <c r="JHG199"/>
      <c r="JHH199"/>
      <c r="JHI199"/>
      <c r="JHJ199"/>
      <c r="JHK199"/>
      <c r="JHL199"/>
      <c r="JHM199"/>
      <c r="JHN199"/>
      <c r="JHO199"/>
      <c r="JHP199"/>
      <c r="JHQ199"/>
      <c r="JHR199"/>
      <c r="JHS199"/>
      <c r="JHT199"/>
      <c r="JHU199"/>
      <c r="JHV199"/>
      <c r="JHW199"/>
      <c r="JHX199"/>
      <c r="JHY199"/>
      <c r="JHZ199"/>
      <c r="JIA199"/>
      <c r="JIB199"/>
      <c r="JIC199"/>
      <c r="JID199"/>
      <c r="JIE199"/>
      <c r="JIF199"/>
      <c r="JIG199"/>
      <c r="JIH199"/>
      <c r="JII199"/>
      <c r="JIJ199"/>
      <c r="JIK199"/>
      <c r="JIL199"/>
      <c r="JIM199"/>
      <c r="JIN199"/>
      <c r="JIO199"/>
      <c r="JIP199"/>
      <c r="JIQ199"/>
      <c r="JIR199"/>
      <c r="JIS199"/>
      <c r="JIT199"/>
      <c r="JIU199"/>
      <c r="JIV199"/>
      <c r="JIW199"/>
      <c r="JIX199"/>
      <c r="JIY199"/>
      <c r="JIZ199"/>
      <c r="JJA199"/>
      <c r="JJB199"/>
      <c r="JJC199"/>
      <c r="JJD199"/>
      <c r="JJE199"/>
      <c r="JJF199"/>
      <c r="JJG199"/>
      <c r="JJH199"/>
      <c r="JJI199"/>
      <c r="JJJ199"/>
      <c r="JJK199"/>
      <c r="JJL199"/>
      <c r="JJM199"/>
      <c r="JJN199"/>
      <c r="JJO199"/>
      <c r="JJP199"/>
      <c r="JJQ199"/>
      <c r="JJR199"/>
      <c r="JJS199"/>
      <c r="JJT199"/>
      <c r="JJU199"/>
      <c r="JJV199"/>
      <c r="JJW199"/>
      <c r="JJX199"/>
      <c r="JJY199"/>
      <c r="JJZ199"/>
      <c r="JKA199"/>
      <c r="JKB199"/>
      <c r="JKC199"/>
      <c r="JKD199"/>
      <c r="JKE199"/>
      <c r="JKF199"/>
      <c r="JKG199"/>
      <c r="JKH199"/>
      <c r="JKI199"/>
      <c r="JKJ199"/>
      <c r="JKK199"/>
      <c r="JKL199"/>
      <c r="JKM199"/>
      <c r="JKN199"/>
      <c r="JKO199"/>
      <c r="JKP199"/>
      <c r="JKQ199"/>
      <c r="JKR199"/>
      <c r="JKS199"/>
      <c r="JKT199"/>
      <c r="JKU199"/>
      <c r="JKV199"/>
      <c r="JKW199"/>
      <c r="JKX199"/>
      <c r="JKY199"/>
      <c r="JKZ199"/>
      <c r="JLA199"/>
      <c r="JLB199"/>
      <c r="JLC199"/>
      <c r="JLD199"/>
      <c r="JLE199"/>
      <c r="JLF199"/>
      <c r="JLG199"/>
      <c r="JLH199"/>
      <c r="JLI199"/>
      <c r="JLJ199"/>
      <c r="JLK199"/>
      <c r="JLL199"/>
      <c r="JLM199"/>
      <c r="JLN199"/>
      <c r="JLO199"/>
      <c r="JLP199"/>
      <c r="JLQ199"/>
      <c r="JLR199"/>
      <c r="JLS199"/>
      <c r="JLT199"/>
      <c r="JLU199"/>
      <c r="JLV199"/>
      <c r="JLW199"/>
      <c r="JLX199"/>
      <c r="JLY199"/>
      <c r="JLZ199"/>
      <c r="JMA199"/>
      <c r="JMB199"/>
      <c r="JMC199"/>
      <c r="JMD199"/>
      <c r="JME199"/>
      <c r="JMF199"/>
      <c r="JMG199"/>
      <c r="JMH199"/>
      <c r="JMI199"/>
      <c r="JMJ199"/>
      <c r="JMK199"/>
      <c r="JML199"/>
      <c r="JMM199"/>
      <c r="JMN199"/>
      <c r="JMO199"/>
      <c r="JMP199"/>
      <c r="JMQ199"/>
      <c r="JMR199"/>
      <c r="JMS199"/>
      <c r="JMT199"/>
      <c r="JMU199"/>
      <c r="JMV199"/>
      <c r="JMW199"/>
      <c r="JMX199"/>
      <c r="JMY199"/>
      <c r="JMZ199"/>
      <c r="JNA199"/>
      <c r="JNB199"/>
      <c r="JNC199"/>
      <c r="JND199"/>
      <c r="JNE199"/>
      <c r="JNF199"/>
      <c r="JNG199"/>
      <c r="JNH199"/>
      <c r="JNI199"/>
      <c r="JNJ199"/>
      <c r="JNK199"/>
      <c r="JNL199"/>
      <c r="JNM199"/>
      <c r="JNN199"/>
      <c r="JNO199"/>
      <c r="JNP199"/>
      <c r="JNQ199"/>
      <c r="JNR199"/>
      <c r="JNS199"/>
      <c r="JNT199"/>
      <c r="JNU199"/>
      <c r="JNV199"/>
      <c r="JNW199"/>
      <c r="JNX199"/>
      <c r="JNY199"/>
      <c r="JNZ199"/>
      <c r="JOA199"/>
      <c r="JOB199"/>
      <c r="JOC199"/>
      <c r="JOD199"/>
      <c r="JOE199"/>
      <c r="JOF199"/>
      <c r="JOG199"/>
      <c r="JOH199"/>
      <c r="JOI199"/>
      <c r="JOJ199"/>
      <c r="JOK199"/>
      <c r="JOL199"/>
      <c r="JOM199"/>
      <c r="JON199"/>
      <c r="JOO199"/>
      <c r="JOP199"/>
      <c r="JOQ199"/>
      <c r="JOR199"/>
      <c r="JOS199"/>
      <c r="JOT199"/>
      <c r="JOU199"/>
      <c r="JOV199"/>
      <c r="JOW199"/>
      <c r="JOX199"/>
      <c r="JOY199"/>
      <c r="JOZ199"/>
      <c r="JPA199"/>
      <c r="JPB199"/>
      <c r="JPC199"/>
      <c r="JPD199"/>
      <c r="JPE199"/>
      <c r="JPF199"/>
      <c r="JPG199"/>
      <c r="JPH199"/>
      <c r="JPI199"/>
      <c r="JPJ199"/>
      <c r="JPK199"/>
      <c r="JPL199"/>
      <c r="JPM199"/>
      <c r="JPN199"/>
      <c r="JPO199"/>
      <c r="JPP199"/>
      <c r="JPQ199"/>
      <c r="JPR199"/>
      <c r="JPS199"/>
      <c r="JPT199"/>
      <c r="JPU199"/>
      <c r="JPV199"/>
      <c r="JPW199"/>
      <c r="JPX199"/>
      <c r="JPY199"/>
      <c r="JPZ199"/>
      <c r="JQA199"/>
      <c r="JQB199"/>
      <c r="JQC199"/>
      <c r="JQD199"/>
      <c r="JQE199"/>
      <c r="JQF199"/>
      <c r="JQG199"/>
      <c r="JQH199"/>
      <c r="JQI199"/>
      <c r="JQJ199"/>
      <c r="JQK199"/>
      <c r="JQL199"/>
      <c r="JQM199"/>
      <c r="JQN199"/>
      <c r="JQO199"/>
      <c r="JQP199"/>
      <c r="JQQ199"/>
      <c r="JQR199"/>
      <c r="JQS199"/>
      <c r="JQT199"/>
      <c r="JQU199"/>
      <c r="JQV199"/>
      <c r="JQW199"/>
      <c r="JQX199"/>
      <c r="JQY199"/>
      <c r="JQZ199"/>
      <c r="JRA199"/>
      <c r="JRB199"/>
      <c r="JRC199"/>
      <c r="JRD199"/>
      <c r="JRE199"/>
      <c r="JRF199"/>
      <c r="JRG199"/>
      <c r="JRH199"/>
      <c r="JRI199"/>
      <c r="JRJ199"/>
      <c r="JRK199"/>
      <c r="JRL199"/>
      <c r="JRM199"/>
      <c r="JRN199"/>
      <c r="JRO199"/>
      <c r="JRP199"/>
      <c r="JRQ199"/>
      <c r="JRR199"/>
      <c r="JRS199"/>
      <c r="JRT199"/>
      <c r="JRU199"/>
      <c r="JRV199"/>
      <c r="JRW199"/>
      <c r="JRX199"/>
      <c r="JRY199"/>
      <c r="JRZ199"/>
      <c r="JSA199"/>
      <c r="JSB199"/>
      <c r="JSC199"/>
      <c r="JSD199"/>
      <c r="JSE199"/>
      <c r="JSF199"/>
      <c r="JSG199"/>
      <c r="JSH199"/>
      <c r="JSI199"/>
      <c r="JSJ199"/>
      <c r="JSK199"/>
      <c r="JSL199"/>
      <c r="JSM199"/>
      <c r="JSN199"/>
      <c r="JSO199"/>
      <c r="JSP199"/>
      <c r="JSQ199"/>
      <c r="JSR199"/>
      <c r="JSS199"/>
      <c r="JST199"/>
      <c r="JSU199"/>
      <c r="JSV199"/>
      <c r="JSW199"/>
      <c r="JSX199"/>
      <c r="JSY199"/>
      <c r="JSZ199"/>
      <c r="JTA199"/>
      <c r="JTB199"/>
      <c r="JTC199"/>
      <c r="JTD199"/>
      <c r="JTE199"/>
      <c r="JTF199"/>
      <c r="JTG199"/>
      <c r="JTH199"/>
      <c r="JTI199"/>
      <c r="JTJ199"/>
      <c r="JTK199"/>
      <c r="JTL199"/>
      <c r="JTM199"/>
      <c r="JTN199"/>
      <c r="JTO199"/>
      <c r="JTP199"/>
      <c r="JTQ199"/>
      <c r="JTR199"/>
      <c r="JTS199"/>
      <c r="JTT199"/>
      <c r="JTU199"/>
      <c r="JTV199"/>
      <c r="JTW199"/>
      <c r="JTX199"/>
      <c r="JTY199"/>
      <c r="JTZ199"/>
      <c r="JUA199"/>
      <c r="JUB199"/>
      <c r="JUC199"/>
      <c r="JUD199"/>
      <c r="JUE199"/>
      <c r="JUF199"/>
      <c r="JUG199"/>
      <c r="JUH199"/>
      <c r="JUI199"/>
      <c r="JUJ199"/>
      <c r="JUK199"/>
      <c r="JUL199"/>
      <c r="JUM199"/>
      <c r="JUN199"/>
      <c r="JUO199"/>
      <c r="JUP199"/>
      <c r="JUQ199"/>
      <c r="JUR199"/>
      <c r="JUS199"/>
      <c r="JUT199"/>
      <c r="JUU199"/>
      <c r="JUV199"/>
      <c r="JUW199"/>
      <c r="JUX199"/>
      <c r="JUY199"/>
      <c r="JUZ199"/>
      <c r="JVA199"/>
      <c r="JVB199"/>
      <c r="JVC199"/>
      <c r="JVD199"/>
      <c r="JVE199"/>
      <c r="JVF199"/>
      <c r="JVG199"/>
      <c r="JVH199"/>
      <c r="JVI199"/>
      <c r="JVJ199"/>
      <c r="JVK199"/>
      <c r="JVL199"/>
      <c r="JVM199"/>
      <c r="JVN199"/>
      <c r="JVO199"/>
      <c r="JVP199"/>
      <c r="JVQ199"/>
      <c r="JVR199"/>
      <c r="JVS199"/>
      <c r="JVT199"/>
      <c r="JVU199"/>
      <c r="JVV199"/>
      <c r="JVW199"/>
      <c r="JVX199"/>
      <c r="JVY199"/>
      <c r="JVZ199"/>
      <c r="JWA199"/>
      <c r="JWB199"/>
      <c r="JWC199"/>
      <c r="JWD199"/>
      <c r="JWE199"/>
      <c r="JWF199"/>
      <c r="JWG199"/>
      <c r="JWH199"/>
      <c r="JWI199"/>
      <c r="JWJ199"/>
      <c r="JWK199"/>
      <c r="JWL199"/>
      <c r="JWM199"/>
      <c r="JWN199"/>
      <c r="JWO199"/>
      <c r="JWP199"/>
      <c r="JWQ199"/>
      <c r="JWR199"/>
      <c r="JWS199"/>
      <c r="JWT199"/>
      <c r="JWU199"/>
      <c r="JWV199"/>
      <c r="JWW199"/>
      <c r="JWX199"/>
      <c r="JWY199"/>
      <c r="JWZ199"/>
      <c r="JXA199"/>
      <c r="JXB199"/>
      <c r="JXC199"/>
      <c r="JXD199"/>
      <c r="JXE199"/>
      <c r="JXF199"/>
      <c r="JXG199"/>
      <c r="JXH199"/>
      <c r="JXI199"/>
      <c r="JXJ199"/>
      <c r="JXK199"/>
      <c r="JXL199"/>
      <c r="JXM199"/>
      <c r="JXN199"/>
      <c r="JXO199"/>
      <c r="JXP199"/>
      <c r="JXQ199"/>
      <c r="JXR199"/>
      <c r="JXS199"/>
      <c r="JXT199"/>
      <c r="JXU199"/>
      <c r="JXV199"/>
      <c r="JXW199"/>
      <c r="JXX199"/>
      <c r="JXY199"/>
      <c r="JXZ199"/>
      <c r="JYA199"/>
      <c r="JYB199"/>
      <c r="JYC199"/>
      <c r="JYD199"/>
      <c r="JYE199"/>
      <c r="JYF199"/>
      <c r="JYG199"/>
      <c r="JYH199"/>
      <c r="JYI199"/>
      <c r="JYJ199"/>
      <c r="JYK199"/>
      <c r="JYL199"/>
      <c r="JYM199"/>
      <c r="JYN199"/>
      <c r="JYO199"/>
      <c r="JYP199"/>
      <c r="JYQ199"/>
      <c r="JYR199"/>
      <c r="JYS199"/>
      <c r="JYT199"/>
      <c r="JYU199"/>
      <c r="JYV199"/>
      <c r="JYW199"/>
      <c r="JYX199"/>
      <c r="JYY199"/>
      <c r="JYZ199"/>
      <c r="JZA199"/>
      <c r="JZB199"/>
      <c r="JZC199"/>
      <c r="JZD199"/>
      <c r="JZE199"/>
      <c r="JZF199"/>
      <c r="JZG199"/>
      <c r="JZH199"/>
      <c r="JZI199"/>
      <c r="JZJ199"/>
      <c r="JZK199"/>
      <c r="JZL199"/>
      <c r="JZM199"/>
      <c r="JZN199"/>
      <c r="JZO199"/>
      <c r="JZP199"/>
      <c r="JZQ199"/>
      <c r="JZR199"/>
      <c r="JZS199"/>
      <c r="JZT199"/>
      <c r="JZU199"/>
      <c r="JZV199"/>
      <c r="JZW199"/>
      <c r="JZX199"/>
      <c r="JZY199"/>
      <c r="JZZ199"/>
      <c r="KAA199"/>
      <c r="KAB199"/>
      <c r="KAC199"/>
      <c r="KAD199"/>
      <c r="KAE199"/>
      <c r="KAF199"/>
      <c r="KAG199"/>
      <c r="KAH199"/>
      <c r="KAI199"/>
      <c r="KAJ199"/>
      <c r="KAK199"/>
      <c r="KAL199"/>
      <c r="KAM199"/>
      <c r="KAN199"/>
      <c r="KAO199"/>
      <c r="KAP199"/>
      <c r="KAQ199"/>
      <c r="KAR199"/>
      <c r="KAS199"/>
      <c r="KAT199"/>
      <c r="KAU199"/>
      <c r="KAV199"/>
      <c r="KAW199"/>
      <c r="KAX199"/>
      <c r="KAY199"/>
      <c r="KAZ199"/>
      <c r="KBA199"/>
      <c r="KBB199"/>
      <c r="KBC199"/>
      <c r="KBD199"/>
      <c r="KBE199"/>
      <c r="KBF199"/>
      <c r="KBG199"/>
      <c r="KBH199"/>
      <c r="KBI199"/>
      <c r="KBJ199"/>
      <c r="KBK199"/>
      <c r="KBL199"/>
      <c r="KBM199"/>
      <c r="KBN199"/>
      <c r="KBO199"/>
      <c r="KBP199"/>
      <c r="KBQ199"/>
      <c r="KBR199"/>
      <c r="KBS199"/>
      <c r="KBT199"/>
      <c r="KBU199"/>
      <c r="KBV199"/>
      <c r="KBW199"/>
      <c r="KBX199"/>
      <c r="KBY199"/>
      <c r="KBZ199"/>
      <c r="KCA199"/>
      <c r="KCB199"/>
      <c r="KCC199"/>
      <c r="KCD199"/>
      <c r="KCE199"/>
      <c r="KCF199"/>
      <c r="KCG199"/>
      <c r="KCH199"/>
      <c r="KCI199"/>
      <c r="KCJ199"/>
      <c r="KCK199"/>
      <c r="KCL199"/>
      <c r="KCM199"/>
      <c r="KCN199"/>
      <c r="KCO199"/>
      <c r="KCP199"/>
      <c r="KCQ199"/>
      <c r="KCR199"/>
      <c r="KCS199"/>
      <c r="KCT199"/>
      <c r="KCU199"/>
      <c r="KCV199"/>
      <c r="KCW199"/>
      <c r="KCX199"/>
      <c r="KCY199"/>
      <c r="KCZ199"/>
      <c r="KDA199"/>
      <c r="KDB199"/>
      <c r="KDC199"/>
      <c r="KDD199"/>
      <c r="KDE199"/>
      <c r="KDF199"/>
      <c r="KDG199"/>
      <c r="KDH199"/>
      <c r="KDI199"/>
      <c r="KDJ199"/>
      <c r="KDK199"/>
      <c r="KDL199"/>
      <c r="KDM199"/>
      <c r="KDN199"/>
      <c r="KDO199"/>
      <c r="KDP199"/>
      <c r="KDQ199"/>
      <c r="KDR199"/>
      <c r="KDS199"/>
      <c r="KDT199"/>
      <c r="KDU199"/>
      <c r="KDV199"/>
      <c r="KDW199"/>
      <c r="KDX199"/>
      <c r="KDY199"/>
      <c r="KDZ199"/>
      <c r="KEA199"/>
      <c r="KEB199"/>
      <c r="KEC199"/>
      <c r="KED199"/>
      <c r="KEE199"/>
      <c r="KEF199"/>
      <c r="KEG199"/>
      <c r="KEH199"/>
      <c r="KEI199"/>
      <c r="KEJ199"/>
      <c r="KEK199"/>
      <c r="KEL199"/>
      <c r="KEM199"/>
      <c r="KEN199"/>
      <c r="KEO199"/>
      <c r="KEP199"/>
      <c r="KEQ199"/>
      <c r="KER199"/>
      <c r="KES199"/>
      <c r="KET199"/>
      <c r="KEU199"/>
      <c r="KEV199"/>
      <c r="KEW199"/>
      <c r="KEX199"/>
      <c r="KEY199"/>
      <c r="KEZ199"/>
      <c r="KFA199"/>
      <c r="KFB199"/>
      <c r="KFC199"/>
      <c r="KFD199"/>
      <c r="KFE199"/>
      <c r="KFF199"/>
      <c r="KFG199"/>
      <c r="KFH199"/>
      <c r="KFI199"/>
      <c r="KFJ199"/>
      <c r="KFK199"/>
      <c r="KFL199"/>
      <c r="KFM199"/>
      <c r="KFN199"/>
      <c r="KFO199"/>
      <c r="KFP199"/>
      <c r="KFQ199"/>
      <c r="KFR199"/>
      <c r="KFS199"/>
      <c r="KFT199"/>
      <c r="KFU199"/>
      <c r="KFV199"/>
      <c r="KFW199"/>
      <c r="KFX199"/>
      <c r="KFY199"/>
      <c r="KFZ199"/>
      <c r="KGA199"/>
      <c r="KGB199"/>
      <c r="KGC199"/>
      <c r="KGD199"/>
      <c r="KGE199"/>
      <c r="KGF199"/>
      <c r="KGG199"/>
      <c r="KGH199"/>
      <c r="KGI199"/>
      <c r="KGJ199"/>
      <c r="KGK199"/>
      <c r="KGL199"/>
      <c r="KGM199"/>
      <c r="KGN199"/>
      <c r="KGO199"/>
      <c r="KGP199"/>
      <c r="KGQ199"/>
      <c r="KGR199"/>
      <c r="KGS199"/>
      <c r="KGT199"/>
      <c r="KGU199"/>
      <c r="KGV199"/>
      <c r="KGW199"/>
      <c r="KGX199"/>
      <c r="KGY199"/>
      <c r="KGZ199"/>
      <c r="KHA199"/>
      <c r="KHB199"/>
      <c r="KHC199"/>
      <c r="KHD199"/>
      <c r="KHE199"/>
      <c r="KHF199"/>
      <c r="KHG199"/>
      <c r="KHH199"/>
      <c r="KHI199"/>
      <c r="KHJ199"/>
      <c r="KHK199"/>
      <c r="KHL199"/>
      <c r="KHM199"/>
      <c r="KHN199"/>
      <c r="KHO199"/>
      <c r="KHP199"/>
      <c r="KHQ199"/>
      <c r="KHR199"/>
      <c r="KHS199"/>
      <c r="KHT199"/>
      <c r="KHU199"/>
      <c r="KHV199"/>
      <c r="KHW199"/>
      <c r="KHX199"/>
      <c r="KHY199"/>
      <c r="KHZ199"/>
      <c r="KIA199"/>
      <c r="KIB199"/>
      <c r="KIC199"/>
      <c r="KID199"/>
      <c r="KIE199"/>
      <c r="KIF199"/>
      <c r="KIG199"/>
      <c r="KIH199"/>
      <c r="KII199"/>
      <c r="KIJ199"/>
      <c r="KIK199"/>
      <c r="KIL199"/>
      <c r="KIM199"/>
      <c r="KIN199"/>
      <c r="KIO199"/>
      <c r="KIP199"/>
      <c r="KIQ199"/>
      <c r="KIR199"/>
      <c r="KIS199"/>
      <c r="KIT199"/>
      <c r="KIU199"/>
      <c r="KIV199"/>
      <c r="KIW199"/>
      <c r="KIX199"/>
      <c r="KIY199"/>
      <c r="KIZ199"/>
      <c r="KJA199"/>
      <c r="KJB199"/>
      <c r="KJC199"/>
      <c r="KJD199"/>
      <c r="KJE199"/>
      <c r="KJF199"/>
      <c r="KJG199"/>
      <c r="KJH199"/>
      <c r="KJI199"/>
      <c r="KJJ199"/>
      <c r="KJK199"/>
      <c r="KJL199"/>
      <c r="KJM199"/>
      <c r="KJN199"/>
      <c r="KJO199"/>
      <c r="KJP199"/>
      <c r="KJQ199"/>
      <c r="KJR199"/>
      <c r="KJS199"/>
      <c r="KJT199"/>
      <c r="KJU199"/>
      <c r="KJV199"/>
      <c r="KJW199"/>
      <c r="KJX199"/>
      <c r="KJY199"/>
      <c r="KJZ199"/>
      <c r="KKA199"/>
      <c r="KKB199"/>
      <c r="KKC199"/>
      <c r="KKD199"/>
      <c r="KKE199"/>
      <c r="KKF199"/>
      <c r="KKG199"/>
      <c r="KKH199"/>
      <c r="KKI199"/>
      <c r="KKJ199"/>
      <c r="KKK199"/>
      <c r="KKL199"/>
      <c r="KKM199"/>
      <c r="KKN199"/>
      <c r="KKO199"/>
      <c r="KKP199"/>
      <c r="KKQ199"/>
      <c r="KKR199"/>
      <c r="KKS199"/>
      <c r="KKT199"/>
      <c r="KKU199"/>
      <c r="KKV199"/>
      <c r="KKW199"/>
      <c r="KKX199"/>
      <c r="KKY199"/>
      <c r="KKZ199"/>
      <c r="KLA199"/>
      <c r="KLB199"/>
      <c r="KLC199"/>
      <c r="KLD199"/>
      <c r="KLE199"/>
      <c r="KLF199"/>
      <c r="KLG199"/>
      <c r="KLH199"/>
      <c r="KLI199"/>
      <c r="KLJ199"/>
      <c r="KLK199"/>
      <c r="KLL199"/>
      <c r="KLM199"/>
      <c r="KLN199"/>
      <c r="KLO199"/>
      <c r="KLP199"/>
      <c r="KLQ199"/>
      <c r="KLR199"/>
      <c r="KLS199"/>
      <c r="KLT199"/>
      <c r="KLU199"/>
      <c r="KLV199"/>
      <c r="KLW199"/>
      <c r="KLX199"/>
      <c r="KLY199"/>
      <c r="KLZ199"/>
      <c r="KMA199"/>
      <c r="KMB199"/>
      <c r="KMC199"/>
      <c r="KMD199"/>
      <c r="KME199"/>
      <c r="KMF199"/>
      <c r="KMG199"/>
      <c r="KMH199"/>
      <c r="KMI199"/>
      <c r="KMJ199"/>
      <c r="KMK199"/>
      <c r="KML199"/>
      <c r="KMM199"/>
      <c r="KMN199"/>
      <c r="KMO199"/>
      <c r="KMP199"/>
      <c r="KMQ199"/>
      <c r="KMR199"/>
      <c r="KMS199"/>
      <c r="KMT199"/>
      <c r="KMU199"/>
      <c r="KMV199"/>
      <c r="KMW199"/>
      <c r="KMX199"/>
      <c r="KMY199"/>
      <c r="KMZ199"/>
      <c r="KNA199"/>
      <c r="KNB199"/>
      <c r="KNC199"/>
      <c r="KND199"/>
      <c r="KNE199"/>
      <c r="KNF199"/>
      <c r="KNG199"/>
      <c r="KNH199"/>
      <c r="KNI199"/>
      <c r="KNJ199"/>
      <c r="KNK199"/>
      <c r="KNL199"/>
      <c r="KNM199"/>
      <c r="KNN199"/>
      <c r="KNO199"/>
      <c r="KNP199"/>
      <c r="KNQ199"/>
      <c r="KNR199"/>
      <c r="KNS199"/>
      <c r="KNT199"/>
      <c r="KNU199"/>
      <c r="KNV199"/>
      <c r="KNW199"/>
      <c r="KNX199"/>
      <c r="KNY199"/>
      <c r="KNZ199"/>
      <c r="KOA199"/>
      <c r="KOB199"/>
      <c r="KOC199"/>
      <c r="KOD199"/>
      <c r="KOE199"/>
      <c r="KOF199"/>
      <c r="KOG199"/>
      <c r="KOH199"/>
      <c r="KOI199"/>
      <c r="KOJ199"/>
      <c r="KOK199"/>
      <c r="KOL199"/>
      <c r="KOM199"/>
      <c r="KON199"/>
      <c r="KOO199"/>
      <c r="KOP199"/>
      <c r="KOQ199"/>
      <c r="KOR199"/>
      <c r="KOS199"/>
      <c r="KOT199"/>
      <c r="KOU199"/>
      <c r="KOV199"/>
      <c r="KOW199"/>
      <c r="KOX199"/>
      <c r="KOY199"/>
      <c r="KOZ199"/>
      <c r="KPA199"/>
      <c r="KPB199"/>
      <c r="KPC199"/>
      <c r="KPD199"/>
      <c r="KPE199"/>
      <c r="KPF199"/>
      <c r="KPG199"/>
      <c r="KPH199"/>
      <c r="KPI199"/>
      <c r="KPJ199"/>
      <c r="KPK199"/>
      <c r="KPL199"/>
      <c r="KPM199"/>
      <c r="KPN199"/>
      <c r="KPO199"/>
      <c r="KPP199"/>
      <c r="KPQ199"/>
      <c r="KPR199"/>
      <c r="KPS199"/>
      <c r="KPT199"/>
      <c r="KPU199"/>
      <c r="KPV199"/>
      <c r="KPW199"/>
      <c r="KPX199"/>
      <c r="KPY199"/>
      <c r="KPZ199"/>
      <c r="KQA199"/>
      <c r="KQB199"/>
      <c r="KQC199"/>
      <c r="KQD199"/>
      <c r="KQE199"/>
      <c r="KQF199"/>
      <c r="KQG199"/>
      <c r="KQH199"/>
      <c r="KQI199"/>
      <c r="KQJ199"/>
      <c r="KQK199"/>
      <c r="KQL199"/>
      <c r="KQM199"/>
      <c r="KQN199"/>
      <c r="KQO199"/>
      <c r="KQP199"/>
      <c r="KQQ199"/>
      <c r="KQR199"/>
      <c r="KQS199"/>
      <c r="KQT199"/>
      <c r="KQU199"/>
      <c r="KQV199"/>
      <c r="KQW199"/>
      <c r="KQX199"/>
      <c r="KQY199"/>
      <c r="KQZ199"/>
      <c r="KRA199"/>
      <c r="KRB199"/>
      <c r="KRC199"/>
      <c r="KRD199"/>
      <c r="KRE199"/>
      <c r="KRF199"/>
      <c r="KRG199"/>
      <c r="KRH199"/>
      <c r="KRI199"/>
      <c r="KRJ199"/>
      <c r="KRK199"/>
      <c r="KRL199"/>
      <c r="KRM199"/>
      <c r="KRN199"/>
      <c r="KRO199"/>
      <c r="KRP199"/>
      <c r="KRQ199"/>
      <c r="KRR199"/>
      <c r="KRS199"/>
      <c r="KRT199"/>
      <c r="KRU199"/>
      <c r="KRV199"/>
      <c r="KRW199"/>
      <c r="KRX199"/>
      <c r="KRY199"/>
      <c r="KRZ199"/>
      <c r="KSA199"/>
      <c r="KSB199"/>
      <c r="KSC199"/>
      <c r="KSD199"/>
      <c r="KSE199"/>
      <c r="KSF199"/>
      <c r="KSG199"/>
      <c r="KSH199"/>
      <c r="KSI199"/>
      <c r="KSJ199"/>
      <c r="KSK199"/>
      <c r="KSL199"/>
      <c r="KSM199"/>
      <c r="KSN199"/>
      <c r="KSO199"/>
      <c r="KSP199"/>
      <c r="KSQ199"/>
      <c r="KSR199"/>
      <c r="KSS199"/>
      <c r="KST199"/>
      <c r="KSU199"/>
      <c r="KSV199"/>
      <c r="KSW199"/>
      <c r="KSX199"/>
      <c r="KSY199"/>
      <c r="KSZ199"/>
      <c r="KTA199"/>
      <c r="KTB199"/>
      <c r="KTC199"/>
      <c r="KTD199"/>
      <c r="KTE199"/>
      <c r="KTF199"/>
      <c r="KTG199"/>
      <c r="KTH199"/>
      <c r="KTI199"/>
      <c r="KTJ199"/>
      <c r="KTK199"/>
      <c r="KTL199"/>
      <c r="KTM199"/>
      <c r="KTN199"/>
      <c r="KTO199"/>
      <c r="KTP199"/>
      <c r="KTQ199"/>
      <c r="KTR199"/>
      <c r="KTS199"/>
      <c r="KTT199"/>
      <c r="KTU199"/>
      <c r="KTV199"/>
      <c r="KTW199"/>
      <c r="KTX199"/>
      <c r="KTY199"/>
      <c r="KTZ199"/>
      <c r="KUA199"/>
      <c r="KUB199"/>
      <c r="KUC199"/>
      <c r="KUD199"/>
      <c r="KUE199"/>
      <c r="KUF199"/>
      <c r="KUG199"/>
      <c r="KUH199"/>
      <c r="KUI199"/>
      <c r="KUJ199"/>
      <c r="KUK199"/>
      <c r="KUL199"/>
      <c r="KUM199"/>
      <c r="KUN199"/>
      <c r="KUO199"/>
      <c r="KUP199"/>
      <c r="KUQ199"/>
      <c r="KUR199"/>
      <c r="KUS199"/>
      <c r="KUT199"/>
      <c r="KUU199"/>
      <c r="KUV199"/>
      <c r="KUW199"/>
      <c r="KUX199"/>
      <c r="KUY199"/>
      <c r="KUZ199"/>
      <c r="KVA199"/>
      <c r="KVB199"/>
      <c r="KVC199"/>
      <c r="KVD199"/>
      <c r="KVE199"/>
      <c r="KVF199"/>
      <c r="KVG199"/>
      <c r="KVH199"/>
      <c r="KVI199"/>
      <c r="KVJ199"/>
      <c r="KVK199"/>
      <c r="KVL199"/>
      <c r="KVM199"/>
      <c r="KVN199"/>
      <c r="KVO199"/>
      <c r="KVP199"/>
      <c r="KVQ199"/>
      <c r="KVR199"/>
      <c r="KVS199"/>
      <c r="KVT199"/>
      <c r="KVU199"/>
      <c r="KVV199"/>
      <c r="KVW199"/>
      <c r="KVX199"/>
      <c r="KVY199"/>
      <c r="KVZ199"/>
      <c r="KWA199"/>
      <c r="KWB199"/>
      <c r="KWC199"/>
      <c r="KWD199"/>
      <c r="KWE199"/>
      <c r="KWF199"/>
      <c r="KWG199"/>
      <c r="KWH199"/>
      <c r="KWI199"/>
      <c r="KWJ199"/>
      <c r="KWK199"/>
      <c r="KWL199"/>
      <c r="KWM199"/>
      <c r="KWN199"/>
      <c r="KWO199"/>
      <c r="KWP199"/>
      <c r="KWQ199"/>
      <c r="KWR199"/>
      <c r="KWS199"/>
      <c r="KWT199"/>
      <c r="KWU199"/>
      <c r="KWV199"/>
      <c r="KWW199"/>
      <c r="KWX199"/>
      <c r="KWY199"/>
      <c r="KWZ199"/>
      <c r="KXA199"/>
      <c r="KXB199"/>
      <c r="KXC199"/>
      <c r="KXD199"/>
      <c r="KXE199"/>
      <c r="KXF199"/>
      <c r="KXG199"/>
      <c r="KXH199"/>
      <c r="KXI199"/>
      <c r="KXJ199"/>
      <c r="KXK199"/>
      <c r="KXL199"/>
      <c r="KXM199"/>
      <c r="KXN199"/>
      <c r="KXO199"/>
      <c r="KXP199"/>
      <c r="KXQ199"/>
      <c r="KXR199"/>
      <c r="KXS199"/>
      <c r="KXT199"/>
      <c r="KXU199"/>
      <c r="KXV199"/>
      <c r="KXW199"/>
      <c r="KXX199"/>
      <c r="KXY199"/>
      <c r="KXZ199"/>
      <c r="KYA199"/>
      <c r="KYB199"/>
      <c r="KYC199"/>
      <c r="KYD199"/>
      <c r="KYE199"/>
      <c r="KYF199"/>
      <c r="KYG199"/>
      <c r="KYH199"/>
      <c r="KYI199"/>
      <c r="KYJ199"/>
      <c r="KYK199"/>
      <c r="KYL199"/>
      <c r="KYM199"/>
      <c r="KYN199"/>
      <c r="KYO199"/>
      <c r="KYP199"/>
      <c r="KYQ199"/>
      <c r="KYR199"/>
      <c r="KYS199"/>
      <c r="KYT199"/>
      <c r="KYU199"/>
      <c r="KYV199"/>
      <c r="KYW199"/>
      <c r="KYX199"/>
      <c r="KYY199"/>
      <c r="KYZ199"/>
      <c r="KZA199"/>
      <c r="KZB199"/>
      <c r="KZC199"/>
      <c r="KZD199"/>
      <c r="KZE199"/>
      <c r="KZF199"/>
      <c r="KZG199"/>
      <c r="KZH199"/>
      <c r="KZI199"/>
      <c r="KZJ199"/>
      <c r="KZK199"/>
      <c r="KZL199"/>
      <c r="KZM199"/>
      <c r="KZN199"/>
      <c r="KZO199"/>
      <c r="KZP199"/>
      <c r="KZQ199"/>
      <c r="KZR199"/>
      <c r="KZS199"/>
      <c r="KZT199"/>
      <c r="KZU199"/>
      <c r="KZV199"/>
      <c r="KZW199"/>
      <c r="KZX199"/>
      <c r="KZY199"/>
      <c r="KZZ199"/>
      <c r="LAA199"/>
      <c r="LAB199"/>
      <c r="LAC199"/>
      <c r="LAD199"/>
      <c r="LAE199"/>
      <c r="LAF199"/>
      <c r="LAG199"/>
      <c r="LAH199"/>
      <c r="LAI199"/>
      <c r="LAJ199"/>
      <c r="LAK199"/>
      <c r="LAL199"/>
      <c r="LAM199"/>
      <c r="LAN199"/>
      <c r="LAO199"/>
      <c r="LAP199"/>
      <c r="LAQ199"/>
      <c r="LAR199"/>
      <c r="LAS199"/>
      <c r="LAT199"/>
      <c r="LAU199"/>
      <c r="LAV199"/>
      <c r="LAW199"/>
      <c r="LAX199"/>
      <c r="LAY199"/>
      <c r="LAZ199"/>
      <c r="LBA199"/>
      <c r="LBB199"/>
      <c r="LBC199"/>
      <c r="LBD199"/>
      <c r="LBE199"/>
      <c r="LBF199"/>
      <c r="LBG199"/>
      <c r="LBH199"/>
      <c r="LBI199"/>
      <c r="LBJ199"/>
      <c r="LBK199"/>
      <c r="LBL199"/>
      <c r="LBM199"/>
      <c r="LBN199"/>
      <c r="LBO199"/>
      <c r="LBP199"/>
      <c r="LBQ199"/>
      <c r="LBR199"/>
      <c r="LBS199"/>
      <c r="LBT199"/>
      <c r="LBU199"/>
      <c r="LBV199"/>
      <c r="LBW199"/>
      <c r="LBX199"/>
      <c r="LBY199"/>
      <c r="LBZ199"/>
      <c r="LCA199"/>
      <c r="LCB199"/>
      <c r="LCC199"/>
      <c r="LCD199"/>
      <c r="LCE199"/>
      <c r="LCF199"/>
      <c r="LCG199"/>
      <c r="LCH199"/>
      <c r="LCI199"/>
      <c r="LCJ199"/>
      <c r="LCK199"/>
      <c r="LCL199"/>
      <c r="LCM199"/>
      <c r="LCN199"/>
      <c r="LCO199"/>
      <c r="LCP199"/>
      <c r="LCQ199"/>
      <c r="LCR199"/>
      <c r="LCS199"/>
      <c r="LCT199"/>
      <c r="LCU199"/>
      <c r="LCV199"/>
      <c r="LCW199"/>
      <c r="LCX199"/>
      <c r="LCY199"/>
      <c r="LCZ199"/>
      <c r="LDA199"/>
      <c r="LDB199"/>
      <c r="LDC199"/>
      <c r="LDD199"/>
      <c r="LDE199"/>
      <c r="LDF199"/>
      <c r="LDG199"/>
      <c r="LDH199"/>
      <c r="LDI199"/>
      <c r="LDJ199"/>
      <c r="LDK199"/>
      <c r="LDL199"/>
      <c r="LDM199"/>
      <c r="LDN199"/>
      <c r="LDO199"/>
      <c r="LDP199"/>
      <c r="LDQ199"/>
      <c r="LDR199"/>
      <c r="LDS199"/>
      <c r="LDT199"/>
      <c r="LDU199"/>
      <c r="LDV199"/>
      <c r="LDW199"/>
      <c r="LDX199"/>
      <c r="LDY199"/>
      <c r="LDZ199"/>
      <c r="LEA199"/>
      <c r="LEB199"/>
      <c r="LEC199"/>
      <c r="LED199"/>
      <c r="LEE199"/>
      <c r="LEF199"/>
      <c r="LEG199"/>
      <c r="LEH199"/>
      <c r="LEI199"/>
      <c r="LEJ199"/>
      <c r="LEK199"/>
      <c r="LEL199"/>
      <c r="LEM199"/>
      <c r="LEN199"/>
      <c r="LEO199"/>
      <c r="LEP199"/>
      <c r="LEQ199"/>
      <c r="LER199"/>
      <c r="LES199"/>
      <c r="LET199"/>
      <c r="LEU199"/>
      <c r="LEV199"/>
      <c r="LEW199"/>
      <c r="LEX199"/>
      <c r="LEY199"/>
      <c r="LEZ199"/>
      <c r="LFA199"/>
      <c r="LFB199"/>
      <c r="LFC199"/>
      <c r="LFD199"/>
      <c r="LFE199"/>
      <c r="LFF199"/>
      <c r="LFG199"/>
      <c r="LFH199"/>
      <c r="LFI199"/>
      <c r="LFJ199"/>
      <c r="LFK199"/>
      <c r="LFL199"/>
      <c r="LFM199"/>
      <c r="LFN199"/>
      <c r="LFO199"/>
      <c r="LFP199"/>
      <c r="LFQ199"/>
      <c r="LFR199"/>
      <c r="LFS199"/>
      <c r="LFT199"/>
      <c r="LFU199"/>
      <c r="LFV199"/>
      <c r="LFW199"/>
      <c r="LFX199"/>
      <c r="LFY199"/>
      <c r="LFZ199"/>
      <c r="LGA199"/>
      <c r="LGB199"/>
      <c r="LGC199"/>
      <c r="LGD199"/>
      <c r="LGE199"/>
      <c r="LGF199"/>
      <c r="LGG199"/>
      <c r="LGH199"/>
      <c r="LGI199"/>
      <c r="LGJ199"/>
      <c r="LGK199"/>
      <c r="LGL199"/>
      <c r="LGM199"/>
      <c r="LGN199"/>
      <c r="LGO199"/>
      <c r="LGP199"/>
      <c r="LGQ199"/>
      <c r="LGR199"/>
      <c r="LGS199"/>
      <c r="LGT199"/>
      <c r="LGU199"/>
      <c r="LGV199"/>
      <c r="LGW199"/>
      <c r="LGX199"/>
      <c r="LGY199"/>
      <c r="LGZ199"/>
      <c r="LHA199"/>
      <c r="LHB199"/>
      <c r="LHC199"/>
      <c r="LHD199"/>
      <c r="LHE199"/>
      <c r="LHF199"/>
      <c r="LHG199"/>
      <c r="LHH199"/>
      <c r="LHI199"/>
      <c r="LHJ199"/>
      <c r="LHK199"/>
      <c r="LHL199"/>
      <c r="LHM199"/>
      <c r="LHN199"/>
      <c r="LHO199"/>
      <c r="LHP199"/>
      <c r="LHQ199"/>
      <c r="LHR199"/>
      <c r="LHS199"/>
      <c r="LHT199"/>
      <c r="LHU199"/>
      <c r="LHV199"/>
      <c r="LHW199"/>
      <c r="LHX199"/>
      <c r="LHY199"/>
      <c r="LHZ199"/>
      <c r="LIA199"/>
      <c r="LIB199"/>
      <c r="LIC199"/>
      <c r="LID199"/>
      <c r="LIE199"/>
      <c r="LIF199"/>
      <c r="LIG199"/>
      <c r="LIH199"/>
      <c r="LII199"/>
      <c r="LIJ199"/>
      <c r="LIK199"/>
      <c r="LIL199"/>
      <c r="LIM199"/>
      <c r="LIN199"/>
      <c r="LIO199"/>
      <c r="LIP199"/>
      <c r="LIQ199"/>
      <c r="LIR199"/>
      <c r="LIS199"/>
      <c r="LIT199"/>
      <c r="LIU199"/>
      <c r="LIV199"/>
      <c r="LIW199"/>
      <c r="LIX199"/>
      <c r="LIY199"/>
      <c r="LIZ199"/>
      <c r="LJA199"/>
      <c r="LJB199"/>
      <c r="LJC199"/>
      <c r="LJD199"/>
      <c r="LJE199"/>
      <c r="LJF199"/>
      <c r="LJG199"/>
      <c r="LJH199"/>
      <c r="LJI199"/>
      <c r="LJJ199"/>
      <c r="LJK199"/>
      <c r="LJL199"/>
      <c r="LJM199"/>
      <c r="LJN199"/>
      <c r="LJO199"/>
      <c r="LJP199"/>
      <c r="LJQ199"/>
      <c r="LJR199"/>
      <c r="LJS199"/>
      <c r="LJT199"/>
      <c r="LJU199"/>
      <c r="LJV199"/>
      <c r="LJW199"/>
      <c r="LJX199"/>
      <c r="LJY199"/>
      <c r="LJZ199"/>
      <c r="LKA199"/>
      <c r="LKB199"/>
      <c r="LKC199"/>
      <c r="LKD199"/>
      <c r="LKE199"/>
      <c r="LKF199"/>
      <c r="LKG199"/>
      <c r="LKH199"/>
      <c r="LKI199"/>
      <c r="LKJ199"/>
      <c r="LKK199"/>
      <c r="LKL199"/>
      <c r="LKM199"/>
      <c r="LKN199"/>
      <c r="LKO199"/>
      <c r="LKP199"/>
      <c r="LKQ199"/>
      <c r="LKR199"/>
      <c r="LKS199"/>
      <c r="LKT199"/>
      <c r="LKU199"/>
      <c r="LKV199"/>
      <c r="LKW199"/>
      <c r="LKX199"/>
      <c r="LKY199"/>
      <c r="LKZ199"/>
      <c r="LLA199"/>
      <c r="LLB199"/>
      <c r="LLC199"/>
      <c r="LLD199"/>
      <c r="LLE199"/>
      <c r="LLF199"/>
      <c r="LLG199"/>
      <c r="LLH199"/>
      <c r="LLI199"/>
      <c r="LLJ199"/>
      <c r="LLK199"/>
      <c r="LLL199"/>
      <c r="LLM199"/>
      <c r="LLN199"/>
      <c r="LLO199"/>
      <c r="LLP199"/>
      <c r="LLQ199"/>
      <c r="LLR199"/>
      <c r="LLS199"/>
      <c r="LLT199"/>
      <c r="LLU199"/>
      <c r="LLV199"/>
      <c r="LLW199"/>
      <c r="LLX199"/>
      <c r="LLY199"/>
      <c r="LLZ199"/>
      <c r="LMA199"/>
      <c r="LMB199"/>
      <c r="LMC199"/>
      <c r="LMD199"/>
      <c r="LME199"/>
      <c r="LMF199"/>
      <c r="LMG199"/>
      <c r="LMH199"/>
      <c r="LMI199"/>
      <c r="LMJ199"/>
      <c r="LMK199"/>
      <c r="LML199"/>
      <c r="LMM199"/>
      <c r="LMN199"/>
      <c r="LMO199"/>
      <c r="LMP199"/>
      <c r="LMQ199"/>
      <c r="LMR199"/>
      <c r="LMS199"/>
      <c r="LMT199"/>
      <c r="LMU199"/>
      <c r="LMV199"/>
      <c r="LMW199"/>
      <c r="LMX199"/>
      <c r="LMY199"/>
      <c r="LMZ199"/>
      <c r="LNA199"/>
      <c r="LNB199"/>
      <c r="LNC199"/>
      <c r="LND199"/>
      <c r="LNE199"/>
      <c r="LNF199"/>
      <c r="LNG199"/>
      <c r="LNH199"/>
      <c r="LNI199"/>
      <c r="LNJ199"/>
      <c r="LNK199"/>
      <c r="LNL199"/>
      <c r="LNM199"/>
      <c r="LNN199"/>
      <c r="LNO199"/>
      <c r="LNP199"/>
      <c r="LNQ199"/>
      <c r="LNR199"/>
      <c r="LNS199"/>
      <c r="LNT199"/>
      <c r="LNU199"/>
      <c r="LNV199"/>
      <c r="LNW199"/>
      <c r="LNX199"/>
      <c r="LNY199"/>
      <c r="LNZ199"/>
      <c r="LOA199"/>
      <c r="LOB199"/>
      <c r="LOC199"/>
      <c r="LOD199"/>
      <c r="LOE199"/>
      <c r="LOF199"/>
      <c r="LOG199"/>
      <c r="LOH199"/>
      <c r="LOI199"/>
      <c r="LOJ199"/>
      <c r="LOK199"/>
      <c r="LOL199"/>
      <c r="LOM199"/>
      <c r="LON199"/>
      <c r="LOO199"/>
      <c r="LOP199"/>
      <c r="LOQ199"/>
      <c r="LOR199"/>
      <c r="LOS199"/>
      <c r="LOT199"/>
      <c r="LOU199"/>
      <c r="LOV199"/>
      <c r="LOW199"/>
      <c r="LOX199"/>
      <c r="LOY199"/>
      <c r="LOZ199"/>
      <c r="LPA199"/>
      <c r="LPB199"/>
      <c r="LPC199"/>
      <c r="LPD199"/>
      <c r="LPE199"/>
      <c r="LPF199"/>
      <c r="LPG199"/>
      <c r="LPH199"/>
      <c r="LPI199"/>
      <c r="LPJ199"/>
      <c r="LPK199"/>
      <c r="LPL199"/>
      <c r="LPM199"/>
      <c r="LPN199"/>
      <c r="LPO199"/>
      <c r="LPP199"/>
      <c r="LPQ199"/>
      <c r="LPR199"/>
      <c r="LPS199"/>
      <c r="LPT199"/>
      <c r="LPU199"/>
      <c r="LPV199"/>
      <c r="LPW199"/>
      <c r="LPX199"/>
      <c r="LPY199"/>
      <c r="LPZ199"/>
      <c r="LQA199"/>
      <c r="LQB199"/>
      <c r="LQC199"/>
      <c r="LQD199"/>
      <c r="LQE199"/>
      <c r="LQF199"/>
      <c r="LQG199"/>
      <c r="LQH199"/>
      <c r="LQI199"/>
      <c r="LQJ199"/>
      <c r="LQK199"/>
      <c r="LQL199"/>
      <c r="LQM199"/>
      <c r="LQN199"/>
      <c r="LQO199"/>
      <c r="LQP199"/>
      <c r="LQQ199"/>
      <c r="LQR199"/>
      <c r="LQS199"/>
      <c r="LQT199"/>
      <c r="LQU199"/>
      <c r="LQV199"/>
      <c r="LQW199"/>
      <c r="LQX199"/>
      <c r="LQY199"/>
      <c r="LQZ199"/>
      <c r="LRA199"/>
      <c r="LRB199"/>
      <c r="LRC199"/>
      <c r="LRD199"/>
      <c r="LRE199"/>
      <c r="LRF199"/>
      <c r="LRG199"/>
      <c r="LRH199"/>
      <c r="LRI199"/>
      <c r="LRJ199"/>
      <c r="LRK199"/>
      <c r="LRL199"/>
      <c r="LRM199"/>
      <c r="LRN199"/>
      <c r="LRO199"/>
      <c r="LRP199"/>
      <c r="LRQ199"/>
      <c r="LRR199"/>
      <c r="LRS199"/>
      <c r="LRT199"/>
      <c r="LRU199"/>
      <c r="LRV199"/>
      <c r="LRW199"/>
      <c r="LRX199"/>
      <c r="LRY199"/>
      <c r="LRZ199"/>
      <c r="LSA199"/>
      <c r="LSB199"/>
      <c r="LSC199"/>
      <c r="LSD199"/>
      <c r="LSE199"/>
      <c r="LSF199"/>
      <c r="LSG199"/>
      <c r="LSH199"/>
      <c r="LSI199"/>
      <c r="LSJ199"/>
      <c r="LSK199"/>
      <c r="LSL199"/>
      <c r="LSM199"/>
      <c r="LSN199"/>
      <c r="LSO199"/>
      <c r="LSP199"/>
      <c r="LSQ199"/>
      <c r="LSR199"/>
      <c r="LSS199"/>
      <c r="LST199"/>
      <c r="LSU199"/>
      <c r="LSV199"/>
      <c r="LSW199"/>
      <c r="LSX199"/>
      <c r="LSY199"/>
      <c r="LSZ199"/>
      <c r="LTA199"/>
      <c r="LTB199"/>
      <c r="LTC199"/>
      <c r="LTD199"/>
      <c r="LTE199"/>
      <c r="LTF199"/>
      <c r="LTG199"/>
      <c r="LTH199"/>
      <c r="LTI199"/>
      <c r="LTJ199"/>
      <c r="LTK199"/>
      <c r="LTL199"/>
      <c r="LTM199"/>
      <c r="LTN199"/>
      <c r="LTO199"/>
      <c r="LTP199"/>
      <c r="LTQ199"/>
      <c r="LTR199"/>
      <c r="LTS199"/>
      <c r="LTT199"/>
      <c r="LTU199"/>
      <c r="LTV199"/>
      <c r="LTW199"/>
      <c r="LTX199"/>
      <c r="LTY199"/>
      <c r="LTZ199"/>
      <c r="LUA199"/>
      <c r="LUB199"/>
      <c r="LUC199"/>
      <c r="LUD199"/>
      <c r="LUE199"/>
      <c r="LUF199"/>
      <c r="LUG199"/>
      <c r="LUH199"/>
      <c r="LUI199"/>
      <c r="LUJ199"/>
      <c r="LUK199"/>
      <c r="LUL199"/>
      <c r="LUM199"/>
      <c r="LUN199"/>
      <c r="LUO199"/>
      <c r="LUP199"/>
      <c r="LUQ199"/>
      <c r="LUR199"/>
      <c r="LUS199"/>
      <c r="LUT199"/>
      <c r="LUU199"/>
      <c r="LUV199"/>
      <c r="LUW199"/>
      <c r="LUX199"/>
      <c r="LUY199"/>
      <c r="LUZ199"/>
      <c r="LVA199"/>
      <c r="LVB199"/>
      <c r="LVC199"/>
      <c r="LVD199"/>
      <c r="LVE199"/>
      <c r="LVF199"/>
      <c r="LVG199"/>
      <c r="LVH199"/>
      <c r="LVI199"/>
      <c r="LVJ199"/>
      <c r="LVK199"/>
      <c r="LVL199"/>
      <c r="LVM199"/>
      <c r="LVN199"/>
      <c r="LVO199"/>
      <c r="LVP199"/>
      <c r="LVQ199"/>
      <c r="LVR199"/>
      <c r="LVS199"/>
      <c r="LVT199"/>
      <c r="LVU199"/>
      <c r="LVV199"/>
      <c r="LVW199"/>
      <c r="LVX199"/>
      <c r="LVY199"/>
      <c r="LVZ199"/>
      <c r="LWA199"/>
      <c r="LWB199"/>
      <c r="LWC199"/>
      <c r="LWD199"/>
      <c r="LWE199"/>
      <c r="LWF199"/>
      <c r="LWG199"/>
      <c r="LWH199"/>
      <c r="LWI199"/>
      <c r="LWJ199"/>
      <c r="LWK199"/>
      <c r="LWL199"/>
      <c r="LWM199"/>
      <c r="LWN199"/>
      <c r="LWO199"/>
      <c r="LWP199"/>
      <c r="LWQ199"/>
      <c r="LWR199"/>
      <c r="LWS199"/>
      <c r="LWT199"/>
      <c r="LWU199"/>
      <c r="LWV199"/>
      <c r="LWW199"/>
      <c r="LWX199"/>
      <c r="LWY199"/>
      <c r="LWZ199"/>
      <c r="LXA199"/>
      <c r="LXB199"/>
      <c r="LXC199"/>
      <c r="LXD199"/>
      <c r="LXE199"/>
      <c r="LXF199"/>
      <c r="LXG199"/>
      <c r="LXH199"/>
      <c r="LXI199"/>
      <c r="LXJ199"/>
      <c r="LXK199"/>
      <c r="LXL199"/>
      <c r="LXM199"/>
      <c r="LXN199"/>
      <c r="LXO199"/>
      <c r="LXP199"/>
      <c r="LXQ199"/>
      <c r="LXR199"/>
      <c r="LXS199"/>
      <c r="LXT199"/>
      <c r="LXU199"/>
      <c r="LXV199"/>
      <c r="LXW199"/>
      <c r="LXX199"/>
      <c r="LXY199"/>
      <c r="LXZ199"/>
      <c r="LYA199"/>
      <c r="LYB199"/>
      <c r="LYC199"/>
      <c r="LYD199"/>
      <c r="LYE199"/>
      <c r="LYF199"/>
      <c r="LYG199"/>
      <c r="LYH199"/>
      <c r="LYI199"/>
      <c r="LYJ199"/>
      <c r="LYK199"/>
      <c r="LYL199"/>
      <c r="LYM199"/>
      <c r="LYN199"/>
      <c r="LYO199"/>
      <c r="LYP199"/>
      <c r="LYQ199"/>
      <c r="LYR199"/>
      <c r="LYS199"/>
      <c r="LYT199"/>
      <c r="LYU199"/>
      <c r="LYV199"/>
      <c r="LYW199"/>
      <c r="LYX199"/>
      <c r="LYY199"/>
      <c r="LYZ199"/>
      <c r="LZA199"/>
      <c r="LZB199"/>
      <c r="LZC199"/>
      <c r="LZD199"/>
      <c r="LZE199"/>
      <c r="LZF199"/>
      <c r="LZG199"/>
      <c r="LZH199"/>
      <c r="LZI199"/>
      <c r="LZJ199"/>
      <c r="LZK199"/>
      <c r="LZL199"/>
      <c r="LZM199"/>
      <c r="LZN199"/>
      <c r="LZO199"/>
      <c r="LZP199"/>
      <c r="LZQ199"/>
      <c r="LZR199"/>
      <c r="LZS199"/>
      <c r="LZT199"/>
      <c r="LZU199"/>
      <c r="LZV199"/>
      <c r="LZW199"/>
      <c r="LZX199"/>
      <c r="LZY199"/>
      <c r="LZZ199"/>
      <c r="MAA199"/>
      <c r="MAB199"/>
      <c r="MAC199"/>
      <c r="MAD199"/>
      <c r="MAE199"/>
      <c r="MAF199"/>
      <c r="MAG199"/>
      <c r="MAH199"/>
      <c r="MAI199"/>
      <c r="MAJ199"/>
      <c r="MAK199"/>
      <c r="MAL199"/>
      <c r="MAM199"/>
      <c r="MAN199"/>
      <c r="MAO199"/>
      <c r="MAP199"/>
      <c r="MAQ199"/>
      <c r="MAR199"/>
      <c r="MAS199"/>
      <c r="MAT199"/>
      <c r="MAU199"/>
      <c r="MAV199"/>
      <c r="MAW199"/>
      <c r="MAX199"/>
      <c r="MAY199"/>
      <c r="MAZ199"/>
      <c r="MBA199"/>
      <c r="MBB199"/>
      <c r="MBC199"/>
      <c r="MBD199"/>
      <c r="MBE199"/>
      <c r="MBF199"/>
      <c r="MBG199"/>
      <c r="MBH199"/>
      <c r="MBI199"/>
      <c r="MBJ199"/>
      <c r="MBK199"/>
      <c r="MBL199"/>
      <c r="MBM199"/>
      <c r="MBN199"/>
      <c r="MBO199"/>
      <c r="MBP199"/>
      <c r="MBQ199"/>
      <c r="MBR199"/>
      <c r="MBS199"/>
      <c r="MBT199"/>
      <c r="MBU199"/>
      <c r="MBV199"/>
      <c r="MBW199"/>
      <c r="MBX199"/>
      <c r="MBY199"/>
      <c r="MBZ199"/>
      <c r="MCA199"/>
      <c r="MCB199"/>
      <c r="MCC199"/>
      <c r="MCD199"/>
      <c r="MCE199"/>
      <c r="MCF199"/>
      <c r="MCG199"/>
      <c r="MCH199"/>
      <c r="MCI199"/>
      <c r="MCJ199"/>
      <c r="MCK199"/>
      <c r="MCL199"/>
      <c r="MCM199"/>
      <c r="MCN199"/>
      <c r="MCO199"/>
      <c r="MCP199"/>
      <c r="MCQ199"/>
      <c r="MCR199"/>
      <c r="MCS199"/>
      <c r="MCT199"/>
      <c r="MCU199"/>
      <c r="MCV199"/>
      <c r="MCW199"/>
      <c r="MCX199"/>
      <c r="MCY199"/>
      <c r="MCZ199"/>
      <c r="MDA199"/>
      <c r="MDB199"/>
      <c r="MDC199"/>
      <c r="MDD199"/>
      <c r="MDE199"/>
      <c r="MDF199"/>
      <c r="MDG199"/>
      <c r="MDH199"/>
      <c r="MDI199"/>
      <c r="MDJ199"/>
      <c r="MDK199"/>
      <c r="MDL199"/>
      <c r="MDM199"/>
      <c r="MDN199"/>
      <c r="MDO199"/>
      <c r="MDP199"/>
      <c r="MDQ199"/>
      <c r="MDR199"/>
      <c r="MDS199"/>
      <c r="MDT199"/>
      <c r="MDU199"/>
      <c r="MDV199"/>
      <c r="MDW199"/>
      <c r="MDX199"/>
      <c r="MDY199"/>
      <c r="MDZ199"/>
      <c r="MEA199"/>
      <c r="MEB199"/>
      <c r="MEC199"/>
      <c r="MED199"/>
      <c r="MEE199"/>
      <c r="MEF199"/>
      <c r="MEG199"/>
      <c r="MEH199"/>
      <c r="MEI199"/>
      <c r="MEJ199"/>
      <c r="MEK199"/>
      <c r="MEL199"/>
      <c r="MEM199"/>
      <c r="MEN199"/>
      <c r="MEO199"/>
      <c r="MEP199"/>
      <c r="MEQ199"/>
      <c r="MER199"/>
      <c r="MES199"/>
      <c r="MET199"/>
      <c r="MEU199"/>
      <c r="MEV199"/>
      <c r="MEW199"/>
      <c r="MEX199"/>
      <c r="MEY199"/>
      <c r="MEZ199"/>
      <c r="MFA199"/>
      <c r="MFB199"/>
      <c r="MFC199"/>
      <c r="MFD199"/>
      <c r="MFE199"/>
      <c r="MFF199"/>
      <c r="MFG199"/>
      <c r="MFH199"/>
      <c r="MFI199"/>
      <c r="MFJ199"/>
      <c r="MFK199"/>
      <c r="MFL199"/>
      <c r="MFM199"/>
      <c r="MFN199"/>
      <c r="MFO199"/>
      <c r="MFP199"/>
      <c r="MFQ199"/>
      <c r="MFR199"/>
      <c r="MFS199"/>
      <c r="MFT199"/>
      <c r="MFU199"/>
      <c r="MFV199"/>
      <c r="MFW199"/>
      <c r="MFX199"/>
      <c r="MFY199"/>
      <c r="MFZ199"/>
      <c r="MGA199"/>
      <c r="MGB199"/>
      <c r="MGC199"/>
      <c r="MGD199"/>
      <c r="MGE199"/>
      <c r="MGF199"/>
      <c r="MGG199"/>
      <c r="MGH199"/>
      <c r="MGI199"/>
      <c r="MGJ199"/>
      <c r="MGK199"/>
      <c r="MGL199"/>
      <c r="MGM199"/>
      <c r="MGN199"/>
      <c r="MGO199"/>
      <c r="MGP199"/>
      <c r="MGQ199"/>
      <c r="MGR199"/>
      <c r="MGS199"/>
      <c r="MGT199"/>
      <c r="MGU199"/>
      <c r="MGV199"/>
      <c r="MGW199"/>
      <c r="MGX199"/>
      <c r="MGY199"/>
      <c r="MGZ199"/>
      <c r="MHA199"/>
      <c r="MHB199"/>
      <c r="MHC199"/>
      <c r="MHD199"/>
      <c r="MHE199"/>
      <c r="MHF199"/>
      <c r="MHG199"/>
      <c r="MHH199"/>
      <c r="MHI199"/>
      <c r="MHJ199"/>
      <c r="MHK199"/>
      <c r="MHL199"/>
      <c r="MHM199"/>
      <c r="MHN199"/>
      <c r="MHO199"/>
      <c r="MHP199"/>
      <c r="MHQ199"/>
      <c r="MHR199"/>
      <c r="MHS199"/>
      <c r="MHT199"/>
      <c r="MHU199"/>
      <c r="MHV199"/>
      <c r="MHW199"/>
      <c r="MHX199"/>
      <c r="MHY199"/>
      <c r="MHZ199"/>
      <c r="MIA199"/>
      <c r="MIB199"/>
      <c r="MIC199"/>
      <c r="MID199"/>
      <c r="MIE199"/>
      <c r="MIF199"/>
      <c r="MIG199"/>
      <c r="MIH199"/>
      <c r="MII199"/>
      <c r="MIJ199"/>
      <c r="MIK199"/>
      <c r="MIL199"/>
      <c r="MIM199"/>
      <c r="MIN199"/>
      <c r="MIO199"/>
      <c r="MIP199"/>
      <c r="MIQ199"/>
      <c r="MIR199"/>
      <c r="MIS199"/>
      <c r="MIT199"/>
      <c r="MIU199"/>
      <c r="MIV199"/>
      <c r="MIW199"/>
      <c r="MIX199"/>
      <c r="MIY199"/>
      <c r="MIZ199"/>
      <c r="MJA199"/>
      <c r="MJB199"/>
      <c r="MJC199"/>
      <c r="MJD199"/>
      <c r="MJE199"/>
      <c r="MJF199"/>
      <c r="MJG199"/>
      <c r="MJH199"/>
      <c r="MJI199"/>
      <c r="MJJ199"/>
      <c r="MJK199"/>
      <c r="MJL199"/>
      <c r="MJM199"/>
      <c r="MJN199"/>
      <c r="MJO199"/>
      <c r="MJP199"/>
      <c r="MJQ199"/>
      <c r="MJR199"/>
      <c r="MJS199"/>
      <c r="MJT199"/>
      <c r="MJU199"/>
      <c r="MJV199"/>
      <c r="MJW199"/>
      <c r="MJX199"/>
      <c r="MJY199"/>
      <c r="MJZ199"/>
      <c r="MKA199"/>
      <c r="MKB199"/>
      <c r="MKC199"/>
      <c r="MKD199"/>
      <c r="MKE199"/>
      <c r="MKF199"/>
      <c r="MKG199"/>
      <c r="MKH199"/>
      <c r="MKI199"/>
      <c r="MKJ199"/>
      <c r="MKK199"/>
      <c r="MKL199"/>
      <c r="MKM199"/>
      <c r="MKN199"/>
      <c r="MKO199"/>
      <c r="MKP199"/>
      <c r="MKQ199"/>
      <c r="MKR199"/>
      <c r="MKS199"/>
      <c r="MKT199"/>
      <c r="MKU199"/>
      <c r="MKV199"/>
      <c r="MKW199"/>
      <c r="MKX199"/>
      <c r="MKY199"/>
      <c r="MKZ199"/>
      <c r="MLA199"/>
      <c r="MLB199"/>
      <c r="MLC199"/>
      <c r="MLD199"/>
      <c r="MLE199"/>
      <c r="MLF199"/>
      <c r="MLG199"/>
      <c r="MLH199"/>
      <c r="MLI199"/>
      <c r="MLJ199"/>
      <c r="MLK199"/>
      <c r="MLL199"/>
      <c r="MLM199"/>
      <c r="MLN199"/>
      <c r="MLO199"/>
      <c r="MLP199"/>
      <c r="MLQ199"/>
      <c r="MLR199"/>
      <c r="MLS199"/>
      <c r="MLT199"/>
      <c r="MLU199"/>
      <c r="MLV199"/>
      <c r="MLW199"/>
      <c r="MLX199"/>
      <c r="MLY199"/>
      <c r="MLZ199"/>
      <c r="MMA199"/>
      <c r="MMB199"/>
      <c r="MMC199"/>
      <c r="MMD199"/>
      <c r="MME199"/>
      <c r="MMF199"/>
      <c r="MMG199"/>
      <c r="MMH199"/>
      <c r="MMI199"/>
      <c r="MMJ199"/>
      <c r="MMK199"/>
      <c r="MML199"/>
      <c r="MMM199"/>
      <c r="MMN199"/>
      <c r="MMO199"/>
      <c r="MMP199"/>
      <c r="MMQ199"/>
      <c r="MMR199"/>
      <c r="MMS199"/>
      <c r="MMT199"/>
      <c r="MMU199"/>
      <c r="MMV199"/>
      <c r="MMW199"/>
      <c r="MMX199"/>
      <c r="MMY199"/>
      <c r="MMZ199"/>
      <c r="MNA199"/>
      <c r="MNB199"/>
      <c r="MNC199"/>
      <c r="MND199"/>
      <c r="MNE199"/>
      <c r="MNF199"/>
      <c r="MNG199"/>
      <c r="MNH199"/>
      <c r="MNI199"/>
      <c r="MNJ199"/>
      <c r="MNK199"/>
      <c r="MNL199"/>
      <c r="MNM199"/>
      <c r="MNN199"/>
      <c r="MNO199"/>
      <c r="MNP199"/>
      <c r="MNQ199"/>
      <c r="MNR199"/>
      <c r="MNS199"/>
      <c r="MNT199"/>
      <c r="MNU199"/>
      <c r="MNV199"/>
      <c r="MNW199"/>
      <c r="MNX199"/>
      <c r="MNY199"/>
      <c r="MNZ199"/>
      <c r="MOA199"/>
      <c r="MOB199"/>
      <c r="MOC199"/>
      <c r="MOD199"/>
      <c r="MOE199"/>
      <c r="MOF199"/>
      <c r="MOG199"/>
      <c r="MOH199"/>
      <c r="MOI199"/>
      <c r="MOJ199"/>
      <c r="MOK199"/>
      <c r="MOL199"/>
      <c r="MOM199"/>
      <c r="MON199"/>
      <c r="MOO199"/>
      <c r="MOP199"/>
      <c r="MOQ199"/>
      <c r="MOR199"/>
      <c r="MOS199"/>
      <c r="MOT199"/>
      <c r="MOU199"/>
      <c r="MOV199"/>
      <c r="MOW199"/>
      <c r="MOX199"/>
      <c r="MOY199"/>
      <c r="MOZ199"/>
      <c r="MPA199"/>
      <c r="MPB199"/>
      <c r="MPC199"/>
      <c r="MPD199"/>
      <c r="MPE199"/>
      <c r="MPF199"/>
      <c r="MPG199"/>
      <c r="MPH199"/>
      <c r="MPI199"/>
      <c r="MPJ199"/>
      <c r="MPK199"/>
      <c r="MPL199"/>
      <c r="MPM199"/>
      <c r="MPN199"/>
      <c r="MPO199"/>
      <c r="MPP199"/>
      <c r="MPQ199"/>
      <c r="MPR199"/>
      <c r="MPS199"/>
      <c r="MPT199"/>
      <c r="MPU199"/>
      <c r="MPV199"/>
      <c r="MPW199"/>
      <c r="MPX199"/>
      <c r="MPY199"/>
      <c r="MPZ199"/>
      <c r="MQA199"/>
      <c r="MQB199"/>
      <c r="MQC199"/>
      <c r="MQD199"/>
      <c r="MQE199"/>
      <c r="MQF199"/>
      <c r="MQG199"/>
      <c r="MQH199"/>
      <c r="MQI199"/>
      <c r="MQJ199"/>
      <c r="MQK199"/>
      <c r="MQL199"/>
      <c r="MQM199"/>
      <c r="MQN199"/>
      <c r="MQO199"/>
      <c r="MQP199"/>
      <c r="MQQ199"/>
      <c r="MQR199"/>
      <c r="MQS199"/>
      <c r="MQT199"/>
      <c r="MQU199"/>
      <c r="MQV199"/>
      <c r="MQW199"/>
      <c r="MQX199"/>
      <c r="MQY199"/>
      <c r="MQZ199"/>
      <c r="MRA199"/>
      <c r="MRB199"/>
      <c r="MRC199"/>
      <c r="MRD199"/>
      <c r="MRE199"/>
      <c r="MRF199"/>
      <c r="MRG199"/>
      <c r="MRH199"/>
      <c r="MRI199"/>
      <c r="MRJ199"/>
      <c r="MRK199"/>
      <c r="MRL199"/>
      <c r="MRM199"/>
      <c r="MRN199"/>
      <c r="MRO199"/>
      <c r="MRP199"/>
      <c r="MRQ199"/>
      <c r="MRR199"/>
      <c r="MRS199"/>
      <c r="MRT199"/>
      <c r="MRU199"/>
      <c r="MRV199"/>
      <c r="MRW199"/>
      <c r="MRX199"/>
      <c r="MRY199"/>
      <c r="MRZ199"/>
      <c r="MSA199"/>
      <c r="MSB199"/>
      <c r="MSC199"/>
      <c r="MSD199"/>
      <c r="MSE199"/>
      <c r="MSF199"/>
      <c r="MSG199"/>
      <c r="MSH199"/>
      <c r="MSI199"/>
      <c r="MSJ199"/>
      <c r="MSK199"/>
      <c r="MSL199"/>
      <c r="MSM199"/>
      <c r="MSN199"/>
      <c r="MSO199"/>
      <c r="MSP199"/>
      <c r="MSQ199"/>
      <c r="MSR199"/>
      <c r="MSS199"/>
      <c r="MST199"/>
      <c r="MSU199"/>
      <c r="MSV199"/>
      <c r="MSW199"/>
      <c r="MSX199"/>
      <c r="MSY199"/>
      <c r="MSZ199"/>
      <c r="MTA199"/>
      <c r="MTB199"/>
      <c r="MTC199"/>
      <c r="MTD199"/>
      <c r="MTE199"/>
      <c r="MTF199"/>
      <c r="MTG199"/>
      <c r="MTH199"/>
      <c r="MTI199"/>
      <c r="MTJ199"/>
      <c r="MTK199"/>
      <c r="MTL199"/>
      <c r="MTM199"/>
      <c r="MTN199"/>
      <c r="MTO199"/>
      <c r="MTP199"/>
      <c r="MTQ199"/>
      <c r="MTR199"/>
      <c r="MTS199"/>
      <c r="MTT199"/>
      <c r="MTU199"/>
      <c r="MTV199"/>
      <c r="MTW199"/>
      <c r="MTX199"/>
      <c r="MTY199"/>
      <c r="MTZ199"/>
      <c r="MUA199"/>
      <c r="MUB199"/>
      <c r="MUC199"/>
      <c r="MUD199"/>
      <c r="MUE199"/>
      <c r="MUF199"/>
      <c r="MUG199"/>
      <c r="MUH199"/>
      <c r="MUI199"/>
      <c r="MUJ199"/>
      <c r="MUK199"/>
      <c r="MUL199"/>
      <c r="MUM199"/>
      <c r="MUN199"/>
      <c r="MUO199"/>
      <c r="MUP199"/>
      <c r="MUQ199"/>
      <c r="MUR199"/>
      <c r="MUS199"/>
      <c r="MUT199"/>
      <c r="MUU199"/>
      <c r="MUV199"/>
      <c r="MUW199"/>
      <c r="MUX199"/>
      <c r="MUY199"/>
      <c r="MUZ199"/>
      <c r="MVA199"/>
      <c r="MVB199"/>
      <c r="MVC199"/>
      <c r="MVD199"/>
      <c r="MVE199"/>
      <c r="MVF199"/>
      <c r="MVG199"/>
      <c r="MVH199"/>
      <c r="MVI199"/>
      <c r="MVJ199"/>
      <c r="MVK199"/>
      <c r="MVL199"/>
      <c r="MVM199"/>
      <c r="MVN199"/>
      <c r="MVO199"/>
      <c r="MVP199"/>
      <c r="MVQ199"/>
      <c r="MVR199"/>
      <c r="MVS199"/>
      <c r="MVT199"/>
      <c r="MVU199"/>
      <c r="MVV199"/>
      <c r="MVW199"/>
      <c r="MVX199"/>
      <c r="MVY199"/>
      <c r="MVZ199"/>
      <c r="MWA199"/>
      <c r="MWB199"/>
      <c r="MWC199"/>
      <c r="MWD199"/>
      <c r="MWE199"/>
      <c r="MWF199"/>
      <c r="MWG199"/>
      <c r="MWH199"/>
      <c r="MWI199"/>
      <c r="MWJ199"/>
      <c r="MWK199"/>
      <c r="MWL199"/>
      <c r="MWM199"/>
      <c r="MWN199"/>
      <c r="MWO199"/>
      <c r="MWP199"/>
      <c r="MWQ199"/>
      <c r="MWR199"/>
      <c r="MWS199"/>
      <c r="MWT199"/>
      <c r="MWU199"/>
      <c r="MWV199"/>
      <c r="MWW199"/>
      <c r="MWX199"/>
      <c r="MWY199"/>
      <c r="MWZ199"/>
      <c r="MXA199"/>
      <c r="MXB199"/>
      <c r="MXC199"/>
      <c r="MXD199"/>
      <c r="MXE199"/>
      <c r="MXF199"/>
      <c r="MXG199"/>
      <c r="MXH199"/>
      <c r="MXI199"/>
      <c r="MXJ199"/>
      <c r="MXK199"/>
      <c r="MXL199"/>
      <c r="MXM199"/>
      <c r="MXN199"/>
      <c r="MXO199"/>
      <c r="MXP199"/>
      <c r="MXQ199"/>
      <c r="MXR199"/>
      <c r="MXS199"/>
      <c r="MXT199"/>
      <c r="MXU199"/>
      <c r="MXV199"/>
      <c r="MXW199"/>
      <c r="MXX199"/>
      <c r="MXY199"/>
      <c r="MXZ199"/>
      <c r="MYA199"/>
      <c r="MYB199"/>
      <c r="MYC199"/>
      <c r="MYD199"/>
      <c r="MYE199"/>
      <c r="MYF199"/>
      <c r="MYG199"/>
      <c r="MYH199"/>
      <c r="MYI199"/>
      <c r="MYJ199"/>
      <c r="MYK199"/>
      <c r="MYL199"/>
      <c r="MYM199"/>
      <c r="MYN199"/>
      <c r="MYO199"/>
      <c r="MYP199"/>
      <c r="MYQ199"/>
      <c r="MYR199"/>
      <c r="MYS199"/>
      <c r="MYT199"/>
      <c r="MYU199"/>
      <c r="MYV199"/>
      <c r="MYW199"/>
      <c r="MYX199"/>
      <c r="MYY199"/>
      <c r="MYZ199"/>
      <c r="MZA199"/>
      <c r="MZB199"/>
      <c r="MZC199"/>
      <c r="MZD199"/>
      <c r="MZE199"/>
      <c r="MZF199"/>
      <c r="MZG199"/>
      <c r="MZH199"/>
      <c r="MZI199"/>
      <c r="MZJ199"/>
      <c r="MZK199"/>
      <c r="MZL199"/>
      <c r="MZM199"/>
      <c r="MZN199"/>
      <c r="MZO199"/>
      <c r="MZP199"/>
      <c r="MZQ199"/>
      <c r="MZR199"/>
      <c r="MZS199"/>
      <c r="MZT199"/>
      <c r="MZU199"/>
      <c r="MZV199"/>
      <c r="MZW199"/>
      <c r="MZX199"/>
      <c r="MZY199"/>
      <c r="MZZ199"/>
      <c r="NAA199"/>
      <c r="NAB199"/>
      <c r="NAC199"/>
      <c r="NAD199"/>
      <c r="NAE199"/>
      <c r="NAF199"/>
      <c r="NAG199"/>
      <c r="NAH199"/>
      <c r="NAI199"/>
      <c r="NAJ199"/>
      <c r="NAK199"/>
      <c r="NAL199"/>
      <c r="NAM199"/>
      <c r="NAN199"/>
      <c r="NAO199"/>
      <c r="NAP199"/>
      <c r="NAQ199"/>
      <c r="NAR199"/>
      <c r="NAS199"/>
      <c r="NAT199"/>
      <c r="NAU199"/>
      <c r="NAV199"/>
      <c r="NAW199"/>
      <c r="NAX199"/>
      <c r="NAY199"/>
      <c r="NAZ199"/>
      <c r="NBA199"/>
      <c r="NBB199"/>
      <c r="NBC199"/>
      <c r="NBD199"/>
      <c r="NBE199"/>
      <c r="NBF199"/>
      <c r="NBG199"/>
      <c r="NBH199"/>
      <c r="NBI199"/>
      <c r="NBJ199"/>
      <c r="NBK199"/>
      <c r="NBL199"/>
      <c r="NBM199"/>
      <c r="NBN199"/>
      <c r="NBO199"/>
      <c r="NBP199"/>
      <c r="NBQ199"/>
      <c r="NBR199"/>
      <c r="NBS199"/>
      <c r="NBT199"/>
      <c r="NBU199"/>
      <c r="NBV199"/>
      <c r="NBW199"/>
      <c r="NBX199"/>
      <c r="NBY199"/>
      <c r="NBZ199"/>
      <c r="NCA199"/>
      <c r="NCB199"/>
      <c r="NCC199"/>
      <c r="NCD199"/>
      <c r="NCE199"/>
      <c r="NCF199"/>
      <c r="NCG199"/>
      <c r="NCH199"/>
      <c r="NCI199"/>
      <c r="NCJ199"/>
      <c r="NCK199"/>
      <c r="NCL199"/>
      <c r="NCM199"/>
      <c r="NCN199"/>
      <c r="NCO199"/>
      <c r="NCP199"/>
      <c r="NCQ199"/>
      <c r="NCR199"/>
      <c r="NCS199"/>
      <c r="NCT199"/>
      <c r="NCU199"/>
      <c r="NCV199"/>
      <c r="NCW199"/>
      <c r="NCX199"/>
      <c r="NCY199"/>
      <c r="NCZ199"/>
      <c r="NDA199"/>
      <c r="NDB199"/>
      <c r="NDC199"/>
      <c r="NDD199"/>
      <c r="NDE199"/>
      <c r="NDF199"/>
      <c r="NDG199"/>
      <c r="NDH199"/>
      <c r="NDI199"/>
      <c r="NDJ199"/>
      <c r="NDK199"/>
      <c r="NDL199"/>
      <c r="NDM199"/>
      <c r="NDN199"/>
      <c r="NDO199"/>
      <c r="NDP199"/>
      <c r="NDQ199"/>
      <c r="NDR199"/>
      <c r="NDS199"/>
      <c r="NDT199"/>
      <c r="NDU199"/>
      <c r="NDV199"/>
      <c r="NDW199"/>
      <c r="NDX199"/>
      <c r="NDY199"/>
      <c r="NDZ199"/>
      <c r="NEA199"/>
      <c r="NEB199"/>
      <c r="NEC199"/>
      <c r="NED199"/>
      <c r="NEE199"/>
      <c r="NEF199"/>
      <c r="NEG199"/>
      <c r="NEH199"/>
      <c r="NEI199"/>
      <c r="NEJ199"/>
      <c r="NEK199"/>
      <c r="NEL199"/>
      <c r="NEM199"/>
      <c r="NEN199"/>
      <c r="NEO199"/>
      <c r="NEP199"/>
      <c r="NEQ199"/>
      <c r="NER199"/>
      <c r="NES199"/>
      <c r="NET199"/>
      <c r="NEU199"/>
      <c r="NEV199"/>
      <c r="NEW199"/>
      <c r="NEX199"/>
      <c r="NEY199"/>
      <c r="NEZ199"/>
      <c r="NFA199"/>
      <c r="NFB199"/>
      <c r="NFC199"/>
      <c r="NFD199"/>
      <c r="NFE199"/>
      <c r="NFF199"/>
      <c r="NFG199"/>
      <c r="NFH199"/>
      <c r="NFI199"/>
      <c r="NFJ199"/>
      <c r="NFK199"/>
      <c r="NFL199"/>
      <c r="NFM199"/>
      <c r="NFN199"/>
      <c r="NFO199"/>
      <c r="NFP199"/>
      <c r="NFQ199"/>
      <c r="NFR199"/>
      <c r="NFS199"/>
      <c r="NFT199"/>
      <c r="NFU199"/>
      <c r="NFV199"/>
      <c r="NFW199"/>
      <c r="NFX199"/>
      <c r="NFY199"/>
      <c r="NFZ199"/>
      <c r="NGA199"/>
      <c r="NGB199"/>
      <c r="NGC199"/>
      <c r="NGD199"/>
      <c r="NGE199"/>
      <c r="NGF199"/>
      <c r="NGG199"/>
      <c r="NGH199"/>
      <c r="NGI199"/>
      <c r="NGJ199"/>
      <c r="NGK199"/>
      <c r="NGL199"/>
      <c r="NGM199"/>
      <c r="NGN199"/>
      <c r="NGO199"/>
      <c r="NGP199"/>
      <c r="NGQ199"/>
      <c r="NGR199"/>
      <c r="NGS199"/>
      <c r="NGT199"/>
      <c r="NGU199"/>
      <c r="NGV199"/>
      <c r="NGW199"/>
      <c r="NGX199"/>
      <c r="NGY199"/>
      <c r="NGZ199"/>
      <c r="NHA199"/>
      <c r="NHB199"/>
      <c r="NHC199"/>
      <c r="NHD199"/>
      <c r="NHE199"/>
      <c r="NHF199"/>
      <c r="NHG199"/>
      <c r="NHH199"/>
      <c r="NHI199"/>
      <c r="NHJ199"/>
      <c r="NHK199"/>
      <c r="NHL199"/>
      <c r="NHM199"/>
      <c r="NHN199"/>
      <c r="NHO199"/>
      <c r="NHP199"/>
      <c r="NHQ199"/>
      <c r="NHR199"/>
      <c r="NHS199"/>
      <c r="NHT199"/>
      <c r="NHU199"/>
      <c r="NHV199"/>
      <c r="NHW199"/>
      <c r="NHX199"/>
      <c r="NHY199"/>
      <c r="NHZ199"/>
      <c r="NIA199"/>
      <c r="NIB199"/>
      <c r="NIC199"/>
      <c r="NID199"/>
      <c r="NIE199"/>
      <c r="NIF199"/>
      <c r="NIG199"/>
      <c r="NIH199"/>
      <c r="NII199"/>
      <c r="NIJ199"/>
      <c r="NIK199"/>
      <c r="NIL199"/>
      <c r="NIM199"/>
      <c r="NIN199"/>
      <c r="NIO199"/>
      <c r="NIP199"/>
      <c r="NIQ199"/>
      <c r="NIR199"/>
      <c r="NIS199"/>
      <c r="NIT199"/>
      <c r="NIU199"/>
      <c r="NIV199"/>
      <c r="NIW199"/>
      <c r="NIX199"/>
      <c r="NIY199"/>
      <c r="NIZ199"/>
      <c r="NJA199"/>
      <c r="NJB199"/>
      <c r="NJC199"/>
      <c r="NJD199"/>
      <c r="NJE199"/>
      <c r="NJF199"/>
      <c r="NJG199"/>
      <c r="NJH199"/>
      <c r="NJI199"/>
      <c r="NJJ199"/>
      <c r="NJK199"/>
      <c r="NJL199"/>
      <c r="NJM199"/>
      <c r="NJN199"/>
      <c r="NJO199"/>
      <c r="NJP199"/>
      <c r="NJQ199"/>
      <c r="NJR199"/>
      <c r="NJS199"/>
      <c r="NJT199"/>
      <c r="NJU199"/>
      <c r="NJV199"/>
      <c r="NJW199"/>
      <c r="NJX199"/>
      <c r="NJY199"/>
      <c r="NJZ199"/>
      <c r="NKA199"/>
      <c r="NKB199"/>
      <c r="NKC199"/>
      <c r="NKD199"/>
      <c r="NKE199"/>
      <c r="NKF199"/>
      <c r="NKG199"/>
      <c r="NKH199"/>
      <c r="NKI199"/>
      <c r="NKJ199"/>
      <c r="NKK199"/>
      <c r="NKL199"/>
      <c r="NKM199"/>
      <c r="NKN199"/>
      <c r="NKO199"/>
      <c r="NKP199"/>
      <c r="NKQ199"/>
      <c r="NKR199"/>
      <c r="NKS199"/>
      <c r="NKT199"/>
      <c r="NKU199"/>
      <c r="NKV199"/>
      <c r="NKW199"/>
      <c r="NKX199"/>
      <c r="NKY199"/>
      <c r="NKZ199"/>
      <c r="NLA199"/>
      <c r="NLB199"/>
      <c r="NLC199"/>
      <c r="NLD199"/>
      <c r="NLE199"/>
      <c r="NLF199"/>
      <c r="NLG199"/>
      <c r="NLH199"/>
      <c r="NLI199"/>
      <c r="NLJ199"/>
      <c r="NLK199"/>
      <c r="NLL199"/>
      <c r="NLM199"/>
      <c r="NLN199"/>
      <c r="NLO199"/>
      <c r="NLP199"/>
      <c r="NLQ199"/>
      <c r="NLR199"/>
      <c r="NLS199"/>
      <c r="NLT199"/>
      <c r="NLU199"/>
      <c r="NLV199"/>
      <c r="NLW199"/>
      <c r="NLX199"/>
      <c r="NLY199"/>
      <c r="NLZ199"/>
      <c r="NMA199"/>
      <c r="NMB199"/>
      <c r="NMC199"/>
      <c r="NMD199"/>
      <c r="NME199"/>
      <c r="NMF199"/>
      <c r="NMG199"/>
      <c r="NMH199"/>
      <c r="NMI199"/>
      <c r="NMJ199"/>
      <c r="NMK199"/>
      <c r="NML199"/>
      <c r="NMM199"/>
      <c r="NMN199"/>
      <c r="NMO199"/>
      <c r="NMP199"/>
      <c r="NMQ199"/>
      <c r="NMR199"/>
      <c r="NMS199"/>
      <c r="NMT199"/>
      <c r="NMU199"/>
      <c r="NMV199"/>
      <c r="NMW199"/>
      <c r="NMX199"/>
      <c r="NMY199"/>
      <c r="NMZ199"/>
      <c r="NNA199"/>
      <c r="NNB199"/>
      <c r="NNC199"/>
      <c r="NND199"/>
      <c r="NNE199"/>
      <c r="NNF199"/>
      <c r="NNG199"/>
      <c r="NNH199"/>
      <c r="NNI199"/>
      <c r="NNJ199"/>
      <c r="NNK199"/>
      <c r="NNL199"/>
      <c r="NNM199"/>
      <c r="NNN199"/>
      <c r="NNO199"/>
      <c r="NNP199"/>
      <c r="NNQ199"/>
      <c r="NNR199"/>
      <c r="NNS199"/>
      <c r="NNT199"/>
      <c r="NNU199"/>
      <c r="NNV199"/>
      <c r="NNW199"/>
      <c r="NNX199"/>
      <c r="NNY199"/>
      <c r="NNZ199"/>
      <c r="NOA199"/>
      <c r="NOB199"/>
      <c r="NOC199"/>
      <c r="NOD199"/>
      <c r="NOE199"/>
      <c r="NOF199"/>
      <c r="NOG199"/>
      <c r="NOH199"/>
      <c r="NOI199"/>
      <c r="NOJ199"/>
      <c r="NOK199"/>
      <c r="NOL199"/>
      <c r="NOM199"/>
      <c r="NON199"/>
      <c r="NOO199"/>
      <c r="NOP199"/>
      <c r="NOQ199"/>
      <c r="NOR199"/>
      <c r="NOS199"/>
      <c r="NOT199"/>
      <c r="NOU199"/>
      <c r="NOV199"/>
      <c r="NOW199"/>
      <c r="NOX199"/>
      <c r="NOY199"/>
      <c r="NOZ199"/>
      <c r="NPA199"/>
      <c r="NPB199"/>
      <c r="NPC199"/>
      <c r="NPD199"/>
      <c r="NPE199"/>
      <c r="NPF199"/>
      <c r="NPG199"/>
      <c r="NPH199"/>
      <c r="NPI199"/>
      <c r="NPJ199"/>
      <c r="NPK199"/>
      <c r="NPL199"/>
      <c r="NPM199"/>
      <c r="NPN199"/>
      <c r="NPO199"/>
      <c r="NPP199"/>
      <c r="NPQ199"/>
      <c r="NPR199"/>
      <c r="NPS199"/>
      <c r="NPT199"/>
      <c r="NPU199"/>
      <c r="NPV199"/>
      <c r="NPW199"/>
      <c r="NPX199"/>
      <c r="NPY199"/>
      <c r="NPZ199"/>
      <c r="NQA199"/>
      <c r="NQB199"/>
      <c r="NQC199"/>
      <c r="NQD199"/>
      <c r="NQE199"/>
      <c r="NQF199"/>
      <c r="NQG199"/>
      <c r="NQH199"/>
      <c r="NQI199"/>
      <c r="NQJ199"/>
      <c r="NQK199"/>
      <c r="NQL199"/>
      <c r="NQM199"/>
      <c r="NQN199"/>
      <c r="NQO199"/>
      <c r="NQP199"/>
      <c r="NQQ199"/>
      <c r="NQR199"/>
      <c r="NQS199"/>
      <c r="NQT199"/>
      <c r="NQU199"/>
      <c r="NQV199"/>
      <c r="NQW199"/>
      <c r="NQX199"/>
      <c r="NQY199"/>
      <c r="NQZ199"/>
      <c r="NRA199"/>
      <c r="NRB199"/>
      <c r="NRC199"/>
      <c r="NRD199"/>
      <c r="NRE199"/>
      <c r="NRF199"/>
      <c r="NRG199"/>
      <c r="NRH199"/>
      <c r="NRI199"/>
      <c r="NRJ199"/>
      <c r="NRK199"/>
      <c r="NRL199"/>
      <c r="NRM199"/>
      <c r="NRN199"/>
      <c r="NRO199"/>
      <c r="NRP199"/>
      <c r="NRQ199"/>
      <c r="NRR199"/>
      <c r="NRS199"/>
      <c r="NRT199"/>
      <c r="NRU199"/>
      <c r="NRV199"/>
      <c r="NRW199"/>
      <c r="NRX199"/>
      <c r="NRY199"/>
      <c r="NRZ199"/>
      <c r="NSA199"/>
      <c r="NSB199"/>
      <c r="NSC199"/>
      <c r="NSD199"/>
      <c r="NSE199"/>
      <c r="NSF199"/>
      <c r="NSG199"/>
      <c r="NSH199"/>
      <c r="NSI199"/>
      <c r="NSJ199"/>
      <c r="NSK199"/>
      <c r="NSL199"/>
      <c r="NSM199"/>
      <c r="NSN199"/>
      <c r="NSO199"/>
      <c r="NSP199"/>
      <c r="NSQ199"/>
      <c r="NSR199"/>
      <c r="NSS199"/>
      <c r="NST199"/>
      <c r="NSU199"/>
      <c r="NSV199"/>
      <c r="NSW199"/>
      <c r="NSX199"/>
      <c r="NSY199"/>
      <c r="NSZ199"/>
      <c r="NTA199"/>
      <c r="NTB199"/>
      <c r="NTC199"/>
      <c r="NTD199"/>
      <c r="NTE199"/>
      <c r="NTF199"/>
      <c r="NTG199"/>
      <c r="NTH199"/>
      <c r="NTI199"/>
      <c r="NTJ199"/>
      <c r="NTK199"/>
      <c r="NTL199"/>
      <c r="NTM199"/>
      <c r="NTN199"/>
      <c r="NTO199"/>
      <c r="NTP199"/>
      <c r="NTQ199"/>
      <c r="NTR199"/>
      <c r="NTS199"/>
      <c r="NTT199"/>
      <c r="NTU199"/>
      <c r="NTV199"/>
      <c r="NTW199"/>
      <c r="NTX199"/>
      <c r="NTY199"/>
      <c r="NTZ199"/>
      <c r="NUA199"/>
      <c r="NUB199"/>
      <c r="NUC199"/>
      <c r="NUD199"/>
      <c r="NUE199"/>
      <c r="NUF199"/>
      <c r="NUG199"/>
      <c r="NUH199"/>
      <c r="NUI199"/>
      <c r="NUJ199"/>
      <c r="NUK199"/>
      <c r="NUL199"/>
      <c r="NUM199"/>
      <c r="NUN199"/>
      <c r="NUO199"/>
      <c r="NUP199"/>
      <c r="NUQ199"/>
      <c r="NUR199"/>
      <c r="NUS199"/>
      <c r="NUT199"/>
      <c r="NUU199"/>
      <c r="NUV199"/>
      <c r="NUW199"/>
      <c r="NUX199"/>
      <c r="NUY199"/>
      <c r="NUZ199"/>
      <c r="NVA199"/>
      <c r="NVB199"/>
      <c r="NVC199"/>
      <c r="NVD199"/>
      <c r="NVE199"/>
      <c r="NVF199"/>
      <c r="NVG199"/>
      <c r="NVH199"/>
      <c r="NVI199"/>
      <c r="NVJ199"/>
      <c r="NVK199"/>
      <c r="NVL199"/>
      <c r="NVM199"/>
      <c r="NVN199"/>
      <c r="NVO199"/>
      <c r="NVP199"/>
      <c r="NVQ199"/>
      <c r="NVR199"/>
      <c r="NVS199"/>
      <c r="NVT199"/>
      <c r="NVU199"/>
      <c r="NVV199"/>
      <c r="NVW199"/>
      <c r="NVX199"/>
      <c r="NVY199"/>
      <c r="NVZ199"/>
      <c r="NWA199"/>
      <c r="NWB199"/>
      <c r="NWC199"/>
      <c r="NWD199"/>
      <c r="NWE199"/>
      <c r="NWF199"/>
      <c r="NWG199"/>
      <c r="NWH199"/>
      <c r="NWI199"/>
      <c r="NWJ199"/>
      <c r="NWK199"/>
      <c r="NWL199"/>
      <c r="NWM199"/>
      <c r="NWN199"/>
      <c r="NWO199"/>
      <c r="NWP199"/>
      <c r="NWQ199"/>
      <c r="NWR199"/>
      <c r="NWS199"/>
      <c r="NWT199"/>
      <c r="NWU199"/>
      <c r="NWV199"/>
      <c r="NWW199"/>
      <c r="NWX199"/>
      <c r="NWY199"/>
      <c r="NWZ199"/>
      <c r="NXA199"/>
      <c r="NXB199"/>
      <c r="NXC199"/>
      <c r="NXD199"/>
      <c r="NXE199"/>
      <c r="NXF199"/>
      <c r="NXG199"/>
      <c r="NXH199"/>
      <c r="NXI199"/>
      <c r="NXJ199"/>
      <c r="NXK199"/>
      <c r="NXL199"/>
      <c r="NXM199"/>
      <c r="NXN199"/>
      <c r="NXO199"/>
      <c r="NXP199"/>
      <c r="NXQ199"/>
      <c r="NXR199"/>
      <c r="NXS199"/>
      <c r="NXT199"/>
      <c r="NXU199"/>
      <c r="NXV199"/>
      <c r="NXW199"/>
      <c r="NXX199"/>
      <c r="NXY199"/>
      <c r="NXZ199"/>
      <c r="NYA199"/>
      <c r="NYB199"/>
      <c r="NYC199"/>
      <c r="NYD199"/>
      <c r="NYE199"/>
      <c r="NYF199"/>
      <c r="NYG199"/>
      <c r="NYH199"/>
      <c r="NYI199"/>
      <c r="NYJ199"/>
      <c r="NYK199"/>
      <c r="NYL199"/>
      <c r="NYM199"/>
      <c r="NYN199"/>
      <c r="NYO199"/>
      <c r="NYP199"/>
      <c r="NYQ199"/>
      <c r="NYR199"/>
      <c r="NYS199"/>
      <c r="NYT199"/>
      <c r="NYU199"/>
      <c r="NYV199"/>
      <c r="NYW199"/>
      <c r="NYX199"/>
      <c r="NYY199"/>
      <c r="NYZ199"/>
      <c r="NZA199"/>
      <c r="NZB199"/>
      <c r="NZC199"/>
      <c r="NZD199"/>
      <c r="NZE199"/>
      <c r="NZF199"/>
      <c r="NZG199"/>
      <c r="NZH199"/>
      <c r="NZI199"/>
      <c r="NZJ199"/>
      <c r="NZK199"/>
      <c r="NZL199"/>
      <c r="NZM199"/>
      <c r="NZN199"/>
      <c r="NZO199"/>
      <c r="NZP199"/>
      <c r="NZQ199"/>
      <c r="NZR199"/>
      <c r="NZS199"/>
      <c r="NZT199"/>
      <c r="NZU199"/>
      <c r="NZV199"/>
      <c r="NZW199"/>
      <c r="NZX199"/>
      <c r="NZY199"/>
      <c r="NZZ199"/>
      <c r="OAA199"/>
      <c r="OAB199"/>
      <c r="OAC199"/>
      <c r="OAD199"/>
      <c r="OAE199"/>
      <c r="OAF199"/>
      <c r="OAG199"/>
      <c r="OAH199"/>
      <c r="OAI199"/>
      <c r="OAJ199"/>
      <c r="OAK199"/>
      <c r="OAL199"/>
      <c r="OAM199"/>
      <c r="OAN199"/>
      <c r="OAO199"/>
      <c r="OAP199"/>
      <c r="OAQ199"/>
      <c r="OAR199"/>
      <c r="OAS199"/>
      <c r="OAT199"/>
      <c r="OAU199"/>
      <c r="OAV199"/>
      <c r="OAW199"/>
      <c r="OAX199"/>
      <c r="OAY199"/>
      <c r="OAZ199"/>
      <c r="OBA199"/>
      <c r="OBB199"/>
      <c r="OBC199"/>
      <c r="OBD199"/>
      <c r="OBE199"/>
      <c r="OBF199"/>
      <c r="OBG199"/>
      <c r="OBH199"/>
      <c r="OBI199"/>
      <c r="OBJ199"/>
      <c r="OBK199"/>
      <c r="OBL199"/>
      <c r="OBM199"/>
      <c r="OBN199"/>
      <c r="OBO199"/>
      <c r="OBP199"/>
      <c r="OBQ199"/>
      <c r="OBR199"/>
      <c r="OBS199"/>
      <c r="OBT199"/>
      <c r="OBU199"/>
      <c r="OBV199"/>
      <c r="OBW199"/>
      <c r="OBX199"/>
      <c r="OBY199"/>
      <c r="OBZ199"/>
      <c r="OCA199"/>
      <c r="OCB199"/>
      <c r="OCC199"/>
      <c r="OCD199"/>
      <c r="OCE199"/>
      <c r="OCF199"/>
      <c r="OCG199"/>
      <c r="OCH199"/>
      <c r="OCI199"/>
      <c r="OCJ199"/>
      <c r="OCK199"/>
      <c r="OCL199"/>
      <c r="OCM199"/>
      <c r="OCN199"/>
      <c r="OCO199"/>
      <c r="OCP199"/>
      <c r="OCQ199"/>
      <c r="OCR199"/>
      <c r="OCS199"/>
      <c r="OCT199"/>
      <c r="OCU199"/>
      <c r="OCV199"/>
      <c r="OCW199"/>
      <c r="OCX199"/>
      <c r="OCY199"/>
      <c r="OCZ199"/>
      <c r="ODA199"/>
      <c r="ODB199"/>
      <c r="ODC199"/>
      <c r="ODD199"/>
      <c r="ODE199"/>
      <c r="ODF199"/>
      <c r="ODG199"/>
      <c r="ODH199"/>
      <c r="ODI199"/>
      <c r="ODJ199"/>
      <c r="ODK199"/>
      <c r="ODL199"/>
      <c r="ODM199"/>
      <c r="ODN199"/>
      <c r="ODO199"/>
      <c r="ODP199"/>
      <c r="ODQ199"/>
      <c r="ODR199"/>
      <c r="ODS199"/>
      <c r="ODT199"/>
      <c r="ODU199"/>
      <c r="ODV199"/>
      <c r="ODW199"/>
      <c r="ODX199"/>
      <c r="ODY199"/>
      <c r="ODZ199"/>
      <c r="OEA199"/>
      <c r="OEB199"/>
      <c r="OEC199"/>
      <c r="OED199"/>
      <c r="OEE199"/>
      <c r="OEF199"/>
      <c r="OEG199"/>
      <c r="OEH199"/>
      <c r="OEI199"/>
      <c r="OEJ199"/>
      <c r="OEK199"/>
      <c r="OEL199"/>
      <c r="OEM199"/>
      <c r="OEN199"/>
      <c r="OEO199"/>
      <c r="OEP199"/>
      <c r="OEQ199"/>
      <c r="OER199"/>
      <c r="OES199"/>
      <c r="OET199"/>
      <c r="OEU199"/>
      <c r="OEV199"/>
      <c r="OEW199"/>
      <c r="OEX199"/>
      <c r="OEY199"/>
      <c r="OEZ199"/>
      <c r="OFA199"/>
      <c r="OFB199"/>
      <c r="OFC199"/>
      <c r="OFD199"/>
      <c r="OFE199"/>
      <c r="OFF199"/>
      <c r="OFG199"/>
      <c r="OFH199"/>
      <c r="OFI199"/>
      <c r="OFJ199"/>
      <c r="OFK199"/>
      <c r="OFL199"/>
      <c r="OFM199"/>
      <c r="OFN199"/>
      <c r="OFO199"/>
      <c r="OFP199"/>
      <c r="OFQ199"/>
      <c r="OFR199"/>
      <c r="OFS199"/>
      <c r="OFT199"/>
      <c r="OFU199"/>
      <c r="OFV199"/>
      <c r="OFW199"/>
      <c r="OFX199"/>
      <c r="OFY199"/>
      <c r="OFZ199"/>
      <c r="OGA199"/>
      <c r="OGB199"/>
      <c r="OGC199"/>
      <c r="OGD199"/>
      <c r="OGE199"/>
      <c r="OGF199"/>
      <c r="OGG199"/>
      <c r="OGH199"/>
      <c r="OGI199"/>
      <c r="OGJ199"/>
      <c r="OGK199"/>
      <c r="OGL199"/>
      <c r="OGM199"/>
      <c r="OGN199"/>
      <c r="OGO199"/>
      <c r="OGP199"/>
      <c r="OGQ199"/>
      <c r="OGR199"/>
      <c r="OGS199"/>
      <c r="OGT199"/>
      <c r="OGU199"/>
      <c r="OGV199"/>
      <c r="OGW199"/>
      <c r="OGX199"/>
      <c r="OGY199"/>
      <c r="OGZ199"/>
      <c r="OHA199"/>
      <c r="OHB199"/>
      <c r="OHC199"/>
      <c r="OHD199"/>
      <c r="OHE199"/>
      <c r="OHF199"/>
      <c r="OHG199"/>
      <c r="OHH199"/>
      <c r="OHI199"/>
      <c r="OHJ199"/>
      <c r="OHK199"/>
      <c r="OHL199"/>
      <c r="OHM199"/>
      <c r="OHN199"/>
      <c r="OHO199"/>
      <c r="OHP199"/>
      <c r="OHQ199"/>
      <c r="OHR199"/>
      <c r="OHS199"/>
      <c r="OHT199"/>
      <c r="OHU199"/>
      <c r="OHV199"/>
      <c r="OHW199"/>
      <c r="OHX199"/>
      <c r="OHY199"/>
      <c r="OHZ199"/>
      <c r="OIA199"/>
      <c r="OIB199"/>
      <c r="OIC199"/>
      <c r="OID199"/>
      <c r="OIE199"/>
      <c r="OIF199"/>
      <c r="OIG199"/>
      <c r="OIH199"/>
      <c r="OII199"/>
      <c r="OIJ199"/>
      <c r="OIK199"/>
      <c r="OIL199"/>
      <c r="OIM199"/>
      <c r="OIN199"/>
      <c r="OIO199"/>
      <c r="OIP199"/>
      <c r="OIQ199"/>
      <c r="OIR199"/>
      <c r="OIS199"/>
      <c r="OIT199"/>
      <c r="OIU199"/>
      <c r="OIV199"/>
      <c r="OIW199"/>
      <c r="OIX199"/>
      <c r="OIY199"/>
      <c r="OIZ199"/>
      <c r="OJA199"/>
      <c r="OJB199"/>
      <c r="OJC199"/>
      <c r="OJD199"/>
      <c r="OJE199"/>
      <c r="OJF199"/>
      <c r="OJG199"/>
      <c r="OJH199"/>
      <c r="OJI199"/>
      <c r="OJJ199"/>
      <c r="OJK199"/>
      <c r="OJL199"/>
      <c r="OJM199"/>
      <c r="OJN199"/>
      <c r="OJO199"/>
      <c r="OJP199"/>
      <c r="OJQ199"/>
      <c r="OJR199"/>
      <c r="OJS199"/>
      <c r="OJT199"/>
      <c r="OJU199"/>
      <c r="OJV199"/>
      <c r="OJW199"/>
      <c r="OJX199"/>
      <c r="OJY199"/>
      <c r="OJZ199"/>
      <c r="OKA199"/>
      <c r="OKB199"/>
      <c r="OKC199"/>
      <c r="OKD199"/>
      <c r="OKE199"/>
      <c r="OKF199"/>
      <c r="OKG199"/>
      <c r="OKH199"/>
      <c r="OKI199"/>
      <c r="OKJ199"/>
      <c r="OKK199"/>
      <c r="OKL199"/>
      <c r="OKM199"/>
      <c r="OKN199"/>
      <c r="OKO199"/>
      <c r="OKP199"/>
      <c r="OKQ199"/>
      <c r="OKR199"/>
      <c r="OKS199"/>
      <c r="OKT199"/>
      <c r="OKU199"/>
      <c r="OKV199"/>
      <c r="OKW199"/>
      <c r="OKX199"/>
      <c r="OKY199"/>
      <c r="OKZ199"/>
      <c r="OLA199"/>
      <c r="OLB199"/>
      <c r="OLC199"/>
      <c r="OLD199"/>
      <c r="OLE199"/>
      <c r="OLF199"/>
      <c r="OLG199"/>
      <c r="OLH199"/>
      <c r="OLI199"/>
      <c r="OLJ199"/>
      <c r="OLK199"/>
      <c r="OLL199"/>
      <c r="OLM199"/>
      <c r="OLN199"/>
      <c r="OLO199"/>
      <c r="OLP199"/>
      <c r="OLQ199"/>
      <c r="OLR199"/>
      <c r="OLS199"/>
      <c r="OLT199"/>
      <c r="OLU199"/>
      <c r="OLV199"/>
      <c r="OLW199"/>
      <c r="OLX199"/>
      <c r="OLY199"/>
      <c r="OLZ199"/>
      <c r="OMA199"/>
      <c r="OMB199"/>
      <c r="OMC199"/>
      <c r="OMD199"/>
      <c r="OME199"/>
      <c r="OMF199"/>
      <c r="OMG199"/>
      <c r="OMH199"/>
      <c r="OMI199"/>
      <c r="OMJ199"/>
      <c r="OMK199"/>
      <c r="OML199"/>
      <c r="OMM199"/>
      <c r="OMN199"/>
      <c r="OMO199"/>
      <c r="OMP199"/>
      <c r="OMQ199"/>
      <c r="OMR199"/>
      <c r="OMS199"/>
      <c r="OMT199"/>
      <c r="OMU199"/>
      <c r="OMV199"/>
      <c r="OMW199"/>
      <c r="OMX199"/>
      <c r="OMY199"/>
      <c r="OMZ199"/>
      <c r="ONA199"/>
      <c r="ONB199"/>
      <c r="ONC199"/>
      <c r="OND199"/>
      <c r="ONE199"/>
      <c r="ONF199"/>
      <c r="ONG199"/>
      <c r="ONH199"/>
      <c r="ONI199"/>
      <c r="ONJ199"/>
      <c r="ONK199"/>
      <c r="ONL199"/>
      <c r="ONM199"/>
      <c r="ONN199"/>
      <c r="ONO199"/>
      <c r="ONP199"/>
      <c r="ONQ199"/>
      <c r="ONR199"/>
      <c r="ONS199"/>
      <c r="ONT199"/>
      <c r="ONU199"/>
      <c r="ONV199"/>
      <c r="ONW199"/>
      <c r="ONX199"/>
      <c r="ONY199"/>
      <c r="ONZ199"/>
      <c r="OOA199"/>
      <c r="OOB199"/>
      <c r="OOC199"/>
      <c r="OOD199"/>
      <c r="OOE199"/>
      <c r="OOF199"/>
      <c r="OOG199"/>
      <c r="OOH199"/>
      <c r="OOI199"/>
      <c r="OOJ199"/>
      <c r="OOK199"/>
      <c r="OOL199"/>
      <c r="OOM199"/>
      <c r="OON199"/>
      <c r="OOO199"/>
      <c r="OOP199"/>
      <c r="OOQ199"/>
      <c r="OOR199"/>
      <c r="OOS199"/>
      <c r="OOT199"/>
      <c r="OOU199"/>
      <c r="OOV199"/>
      <c r="OOW199"/>
      <c r="OOX199"/>
      <c r="OOY199"/>
      <c r="OOZ199"/>
      <c r="OPA199"/>
      <c r="OPB199"/>
      <c r="OPC199"/>
      <c r="OPD199"/>
      <c r="OPE199"/>
      <c r="OPF199"/>
      <c r="OPG199"/>
      <c r="OPH199"/>
      <c r="OPI199"/>
      <c r="OPJ199"/>
      <c r="OPK199"/>
      <c r="OPL199"/>
      <c r="OPM199"/>
      <c r="OPN199"/>
      <c r="OPO199"/>
      <c r="OPP199"/>
      <c r="OPQ199"/>
      <c r="OPR199"/>
      <c r="OPS199"/>
      <c r="OPT199"/>
      <c r="OPU199"/>
      <c r="OPV199"/>
      <c r="OPW199"/>
      <c r="OPX199"/>
      <c r="OPY199"/>
      <c r="OPZ199"/>
      <c r="OQA199"/>
      <c r="OQB199"/>
      <c r="OQC199"/>
      <c r="OQD199"/>
      <c r="OQE199"/>
      <c r="OQF199"/>
      <c r="OQG199"/>
      <c r="OQH199"/>
      <c r="OQI199"/>
      <c r="OQJ199"/>
      <c r="OQK199"/>
      <c r="OQL199"/>
      <c r="OQM199"/>
      <c r="OQN199"/>
      <c r="OQO199"/>
      <c r="OQP199"/>
      <c r="OQQ199"/>
      <c r="OQR199"/>
      <c r="OQS199"/>
      <c r="OQT199"/>
      <c r="OQU199"/>
      <c r="OQV199"/>
      <c r="OQW199"/>
      <c r="OQX199"/>
      <c r="OQY199"/>
      <c r="OQZ199"/>
      <c r="ORA199"/>
      <c r="ORB199"/>
      <c r="ORC199"/>
      <c r="ORD199"/>
      <c r="ORE199"/>
      <c r="ORF199"/>
      <c r="ORG199"/>
      <c r="ORH199"/>
      <c r="ORI199"/>
      <c r="ORJ199"/>
      <c r="ORK199"/>
      <c r="ORL199"/>
      <c r="ORM199"/>
      <c r="ORN199"/>
      <c r="ORO199"/>
      <c r="ORP199"/>
      <c r="ORQ199"/>
      <c r="ORR199"/>
      <c r="ORS199"/>
      <c r="ORT199"/>
      <c r="ORU199"/>
      <c r="ORV199"/>
      <c r="ORW199"/>
      <c r="ORX199"/>
      <c r="ORY199"/>
      <c r="ORZ199"/>
      <c r="OSA199"/>
      <c r="OSB199"/>
      <c r="OSC199"/>
      <c r="OSD199"/>
      <c r="OSE199"/>
      <c r="OSF199"/>
      <c r="OSG199"/>
      <c r="OSH199"/>
      <c r="OSI199"/>
      <c r="OSJ199"/>
      <c r="OSK199"/>
      <c r="OSL199"/>
      <c r="OSM199"/>
      <c r="OSN199"/>
      <c r="OSO199"/>
      <c r="OSP199"/>
      <c r="OSQ199"/>
      <c r="OSR199"/>
      <c r="OSS199"/>
      <c r="OST199"/>
      <c r="OSU199"/>
      <c r="OSV199"/>
      <c r="OSW199"/>
      <c r="OSX199"/>
      <c r="OSY199"/>
      <c r="OSZ199"/>
      <c r="OTA199"/>
      <c r="OTB199"/>
      <c r="OTC199"/>
      <c r="OTD199"/>
      <c r="OTE199"/>
      <c r="OTF199"/>
      <c r="OTG199"/>
      <c r="OTH199"/>
      <c r="OTI199"/>
      <c r="OTJ199"/>
      <c r="OTK199"/>
      <c r="OTL199"/>
      <c r="OTM199"/>
      <c r="OTN199"/>
      <c r="OTO199"/>
      <c r="OTP199"/>
      <c r="OTQ199"/>
      <c r="OTR199"/>
      <c r="OTS199"/>
      <c r="OTT199"/>
      <c r="OTU199"/>
      <c r="OTV199"/>
      <c r="OTW199"/>
      <c r="OTX199"/>
      <c r="OTY199"/>
      <c r="OTZ199"/>
      <c r="OUA199"/>
      <c r="OUB199"/>
      <c r="OUC199"/>
      <c r="OUD199"/>
      <c r="OUE199"/>
      <c r="OUF199"/>
      <c r="OUG199"/>
      <c r="OUH199"/>
      <c r="OUI199"/>
      <c r="OUJ199"/>
      <c r="OUK199"/>
      <c r="OUL199"/>
      <c r="OUM199"/>
      <c r="OUN199"/>
      <c r="OUO199"/>
      <c r="OUP199"/>
      <c r="OUQ199"/>
      <c r="OUR199"/>
      <c r="OUS199"/>
      <c r="OUT199"/>
      <c r="OUU199"/>
      <c r="OUV199"/>
      <c r="OUW199"/>
      <c r="OUX199"/>
      <c r="OUY199"/>
      <c r="OUZ199"/>
      <c r="OVA199"/>
      <c r="OVB199"/>
      <c r="OVC199"/>
      <c r="OVD199"/>
      <c r="OVE199"/>
      <c r="OVF199"/>
      <c r="OVG199"/>
      <c r="OVH199"/>
      <c r="OVI199"/>
      <c r="OVJ199"/>
      <c r="OVK199"/>
      <c r="OVL199"/>
      <c r="OVM199"/>
      <c r="OVN199"/>
      <c r="OVO199"/>
      <c r="OVP199"/>
      <c r="OVQ199"/>
      <c r="OVR199"/>
      <c r="OVS199"/>
      <c r="OVT199"/>
      <c r="OVU199"/>
      <c r="OVV199"/>
      <c r="OVW199"/>
      <c r="OVX199"/>
      <c r="OVY199"/>
      <c r="OVZ199"/>
      <c r="OWA199"/>
      <c r="OWB199"/>
      <c r="OWC199"/>
      <c r="OWD199"/>
      <c r="OWE199"/>
      <c r="OWF199"/>
      <c r="OWG199"/>
      <c r="OWH199"/>
      <c r="OWI199"/>
      <c r="OWJ199"/>
      <c r="OWK199"/>
      <c r="OWL199"/>
      <c r="OWM199"/>
      <c r="OWN199"/>
      <c r="OWO199"/>
      <c r="OWP199"/>
      <c r="OWQ199"/>
      <c r="OWR199"/>
      <c r="OWS199"/>
      <c r="OWT199"/>
      <c r="OWU199"/>
      <c r="OWV199"/>
      <c r="OWW199"/>
      <c r="OWX199"/>
      <c r="OWY199"/>
      <c r="OWZ199"/>
      <c r="OXA199"/>
      <c r="OXB199"/>
      <c r="OXC199"/>
      <c r="OXD199"/>
      <c r="OXE199"/>
      <c r="OXF199"/>
      <c r="OXG199"/>
      <c r="OXH199"/>
      <c r="OXI199"/>
      <c r="OXJ199"/>
      <c r="OXK199"/>
      <c r="OXL199"/>
      <c r="OXM199"/>
      <c r="OXN199"/>
      <c r="OXO199"/>
      <c r="OXP199"/>
      <c r="OXQ199"/>
      <c r="OXR199"/>
      <c r="OXS199"/>
      <c r="OXT199"/>
      <c r="OXU199"/>
      <c r="OXV199"/>
      <c r="OXW199"/>
      <c r="OXX199"/>
      <c r="OXY199"/>
      <c r="OXZ199"/>
      <c r="OYA199"/>
      <c r="OYB199"/>
      <c r="OYC199"/>
      <c r="OYD199"/>
      <c r="OYE199"/>
      <c r="OYF199"/>
      <c r="OYG199"/>
      <c r="OYH199"/>
      <c r="OYI199"/>
      <c r="OYJ199"/>
      <c r="OYK199"/>
      <c r="OYL199"/>
      <c r="OYM199"/>
      <c r="OYN199"/>
      <c r="OYO199"/>
      <c r="OYP199"/>
      <c r="OYQ199"/>
      <c r="OYR199"/>
      <c r="OYS199"/>
      <c r="OYT199"/>
      <c r="OYU199"/>
      <c r="OYV199"/>
      <c r="OYW199"/>
      <c r="OYX199"/>
      <c r="OYY199"/>
      <c r="OYZ199"/>
      <c r="OZA199"/>
      <c r="OZB199"/>
      <c r="OZC199"/>
      <c r="OZD199"/>
      <c r="OZE199"/>
      <c r="OZF199"/>
      <c r="OZG199"/>
      <c r="OZH199"/>
      <c r="OZI199"/>
      <c r="OZJ199"/>
      <c r="OZK199"/>
      <c r="OZL199"/>
      <c r="OZM199"/>
      <c r="OZN199"/>
      <c r="OZO199"/>
      <c r="OZP199"/>
      <c r="OZQ199"/>
      <c r="OZR199"/>
      <c r="OZS199"/>
      <c r="OZT199"/>
      <c r="OZU199"/>
      <c r="OZV199"/>
      <c r="OZW199"/>
      <c r="OZX199"/>
      <c r="OZY199"/>
      <c r="OZZ199"/>
      <c r="PAA199"/>
      <c r="PAB199"/>
      <c r="PAC199"/>
      <c r="PAD199"/>
      <c r="PAE199"/>
      <c r="PAF199"/>
      <c r="PAG199"/>
      <c r="PAH199"/>
      <c r="PAI199"/>
      <c r="PAJ199"/>
      <c r="PAK199"/>
      <c r="PAL199"/>
      <c r="PAM199"/>
      <c r="PAN199"/>
      <c r="PAO199"/>
      <c r="PAP199"/>
      <c r="PAQ199"/>
      <c r="PAR199"/>
      <c r="PAS199"/>
      <c r="PAT199"/>
      <c r="PAU199"/>
      <c r="PAV199"/>
      <c r="PAW199"/>
      <c r="PAX199"/>
      <c r="PAY199"/>
      <c r="PAZ199"/>
      <c r="PBA199"/>
      <c r="PBB199"/>
      <c r="PBC199"/>
      <c r="PBD199"/>
      <c r="PBE199"/>
      <c r="PBF199"/>
      <c r="PBG199"/>
      <c r="PBH199"/>
      <c r="PBI199"/>
      <c r="PBJ199"/>
      <c r="PBK199"/>
      <c r="PBL199"/>
      <c r="PBM199"/>
      <c r="PBN199"/>
      <c r="PBO199"/>
      <c r="PBP199"/>
      <c r="PBQ199"/>
      <c r="PBR199"/>
      <c r="PBS199"/>
      <c r="PBT199"/>
      <c r="PBU199"/>
      <c r="PBV199"/>
      <c r="PBW199"/>
      <c r="PBX199"/>
      <c r="PBY199"/>
      <c r="PBZ199"/>
      <c r="PCA199"/>
      <c r="PCB199"/>
      <c r="PCC199"/>
      <c r="PCD199"/>
      <c r="PCE199"/>
      <c r="PCF199"/>
      <c r="PCG199"/>
      <c r="PCH199"/>
      <c r="PCI199"/>
      <c r="PCJ199"/>
      <c r="PCK199"/>
      <c r="PCL199"/>
      <c r="PCM199"/>
      <c r="PCN199"/>
      <c r="PCO199"/>
      <c r="PCP199"/>
      <c r="PCQ199"/>
      <c r="PCR199"/>
      <c r="PCS199"/>
      <c r="PCT199"/>
      <c r="PCU199"/>
      <c r="PCV199"/>
      <c r="PCW199"/>
      <c r="PCX199"/>
      <c r="PCY199"/>
      <c r="PCZ199"/>
      <c r="PDA199"/>
      <c r="PDB199"/>
      <c r="PDC199"/>
      <c r="PDD199"/>
      <c r="PDE199"/>
      <c r="PDF199"/>
      <c r="PDG199"/>
      <c r="PDH199"/>
      <c r="PDI199"/>
      <c r="PDJ199"/>
      <c r="PDK199"/>
      <c r="PDL199"/>
      <c r="PDM199"/>
      <c r="PDN199"/>
      <c r="PDO199"/>
      <c r="PDP199"/>
      <c r="PDQ199"/>
      <c r="PDR199"/>
      <c r="PDS199"/>
      <c r="PDT199"/>
      <c r="PDU199"/>
      <c r="PDV199"/>
      <c r="PDW199"/>
      <c r="PDX199"/>
      <c r="PDY199"/>
      <c r="PDZ199"/>
      <c r="PEA199"/>
      <c r="PEB199"/>
      <c r="PEC199"/>
      <c r="PED199"/>
      <c r="PEE199"/>
      <c r="PEF199"/>
      <c r="PEG199"/>
      <c r="PEH199"/>
      <c r="PEI199"/>
      <c r="PEJ199"/>
      <c r="PEK199"/>
      <c r="PEL199"/>
      <c r="PEM199"/>
      <c r="PEN199"/>
      <c r="PEO199"/>
      <c r="PEP199"/>
      <c r="PEQ199"/>
      <c r="PER199"/>
      <c r="PES199"/>
      <c r="PET199"/>
      <c r="PEU199"/>
      <c r="PEV199"/>
      <c r="PEW199"/>
      <c r="PEX199"/>
      <c r="PEY199"/>
      <c r="PEZ199"/>
      <c r="PFA199"/>
      <c r="PFB199"/>
      <c r="PFC199"/>
      <c r="PFD199"/>
      <c r="PFE199"/>
      <c r="PFF199"/>
      <c r="PFG199"/>
      <c r="PFH199"/>
      <c r="PFI199"/>
      <c r="PFJ199"/>
      <c r="PFK199"/>
      <c r="PFL199"/>
      <c r="PFM199"/>
      <c r="PFN199"/>
      <c r="PFO199"/>
      <c r="PFP199"/>
      <c r="PFQ199"/>
      <c r="PFR199"/>
      <c r="PFS199"/>
      <c r="PFT199"/>
      <c r="PFU199"/>
      <c r="PFV199"/>
      <c r="PFW199"/>
      <c r="PFX199"/>
      <c r="PFY199"/>
      <c r="PFZ199"/>
      <c r="PGA199"/>
      <c r="PGB199"/>
      <c r="PGC199"/>
      <c r="PGD199"/>
      <c r="PGE199"/>
      <c r="PGF199"/>
      <c r="PGG199"/>
      <c r="PGH199"/>
      <c r="PGI199"/>
      <c r="PGJ199"/>
      <c r="PGK199"/>
      <c r="PGL199"/>
      <c r="PGM199"/>
      <c r="PGN199"/>
      <c r="PGO199"/>
      <c r="PGP199"/>
      <c r="PGQ199"/>
      <c r="PGR199"/>
      <c r="PGS199"/>
      <c r="PGT199"/>
      <c r="PGU199"/>
      <c r="PGV199"/>
      <c r="PGW199"/>
      <c r="PGX199"/>
      <c r="PGY199"/>
      <c r="PGZ199"/>
      <c r="PHA199"/>
      <c r="PHB199"/>
      <c r="PHC199"/>
      <c r="PHD199"/>
      <c r="PHE199"/>
      <c r="PHF199"/>
      <c r="PHG199"/>
      <c r="PHH199"/>
      <c r="PHI199"/>
      <c r="PHJ199"/>
      <c r="PHK199"/>
      <c r="PHL199"/>
      <c r="PHM199"/>
      <c r="PHN199"/>
      <c r="PHO199"/>
      <c r="PHP199"/>
      <c r="PHQ199"/>
      <c r="PHR199"/>
      <c r="PHS199"/>
      <c r="PHT199"/>
      <c r="PHU199"/>
      <c r="PHV199"/>
      <c r="PHW199"/>
      <c r="PHX199"/>
      <c r="PHY199"/>
      <c r="PHZ199"/>
      <c r="PIA199"/>
      <c r="PIB199"/>
      <c r="PIC199"/>
      <c r="PID199"/>
      <c r="PIE199"/>
      <c r="PIF199"/>
      <c r="PIG199"/>
      <c r="PIH199"/>
      <c r="PII199"/>
      <c r="PIJ199"/>
      <c r="PIK199"/>
      <c r="PIL199"/>
      <c r="PIM199"/>
      <c r="PIN199"/>
      <c r="PIO199"/>
      <c r="PIP199"/>
      <c r="PIQ199"/>
      <c r="PIR199"/>
      <c r="PIS199"/>
      <c r="PIT199"/>
      <c r="PIU199"/>
      <c r="PIV199"/>
      <c r="PIW199"/>
      <c r="PIX199"/>
      <c r="PIY199"/>
      <c r="PIZ199"/>
      <c r="PJA199"/>
      <c r="PJB199"/>
      <c r="PJC199"/>
      <c r="PJD199"/>
      <c r="PJE199"/>
      <c r="PJF199"/>
      <c r="PJG199"/>
      <c r="PJH199"/>
      <c r="PJI199"/>
      <c r="PJJ199"/>
      <c r="PJK199"/>
      <c r="PJL199"/>
      <c r="PJM199"/>
      <c r="PJN199"/>
      <c r="PJO199"/>
      <c r="PJP199"/>
      <c r="PJQ199"/>
      <c r="PJR199"/>
      <c r="PJS199"/>
      <c r="PJT199"/>
      <c r="PJU199"/>
      <c r="PJV199"/>
      <c r="PJW199"/>
      <c r="PJX199"/>
      <c r="PJY199"/>
      <c r="PJZ199"/>
      <c r="PKA199"/>
      <c r="PKB199"/>
      <c r="PKC199"/>
      <c r="PKD199"/>
      <c r="PKE199"/>
      <c r="PKF199"/>
      <c r="PKG199"/>
      <c r="PKH199"/>
      <c r="PKI199"/>
      <c r="PKJ199"/>
      <c r="PKK199"/>
      <c r="PKL199"/>
      <c r="PKM199"/>
      <c r="PKN199"/>
      <c r="PKO199"/>
      <c r="PKP199"/>
      <c r="PKQ199"/>
      <c r="PKR199"/>
      <c r="PKS199"/>
      <c r="PKT199"/>
      <c r="PKU199"/>
      <c r="PKV199"/>
      <c r="PKW199"/>
      <c r="PKX199"/>
      <c r="PKY199"/>
      <c r="PKZ199"/>
      <c r="PLA199"/>
      <c r="PLB199"/>
      <c r="PLC199"/>
      <c r="PLD199"/>
      <c r="PLE199"/>
      <c r="PLF199"/>
      <c r="PLG199"/>
      <c r="PLH199"/>
      <c r="PLI199"/>
      <c r="PLJ199"/>
      <c r="PLK199"/>
      <c r="PLL199"/>
      <c r="PLM199"/>
      <c r="PLN199"/>
      <c r="PLO199"/>
      <c r="PLP199"/>
      <c r="PLQ199"/>
      <c r="PLR199"/>
      <c r="PLS199"/>
      <c r="PLT199"/>
      <c r="PLU199"/>
      <c r="PLV199"/>
      <c r="PLW199"/>
      <c r="PLX199"/>
      <c r="PLY199"/>
      <c r="PLZ199"/>
      <c r="PMA199"/>
      <c r="PMB199"/>
      <c r="PMC199"/>
      <c r="PMD199"/>
      <c r="PME199"/>
      <c r="PMF199"/>
      <c r="PMG199"/>
      <c r="PMH199"/>
      <c r="PMI199"/>
      <c r="PMJ199"/>
      <c r="PMK199"/>
      <c r="PML199"/>
      <c r="PMM199"/>
      <c r="PMN199"/>
      <c r="PMO199"/>
      <c r="PMP199"/>
      <c r="PMQ199"/>
      <c r="PMR199"/>
      <c r="PMS199"/>
      <c r="PMT199"/>
      <c r="PMU199"/>
      <c r="PMV199"/>
      <c r="PMW199"/>
      <c r="PMX199"/>
      <c r="PMY199"/>
      <c r="PMZ199"/>
      <c r="PNA199"/>
      <c r="PNB199"/>
      <c r="PNC199"/>
      <c r="PND199"/>
      <c r="PNE199"/>
      <c r="PNF199"/>
      <c r="PNG199"/>
      <c r="PNH199"/>
      <c r="PNI199"/>
      <c r="PNJ199"/>
      <c r="PNK199"/>
      <c r="PNL199"/>
      <c r="PNM199"/>
      <c r="PNN199"/>
      <c r="PNO199"/>
      <c r="PNP199"/>
      <c r="PNQ199"/>
      <c r="PNR199"/>
      <c r="PNS199"/>
      <c r="PNT199"/>
      <c r="PNU199"/>
      <c r="PNV199"/>
      <c r="PNW199"/>
      <c r="PNX199"/>
      <c r="PNY199"/>
      <c r="PNZ199"/>
      <c r="POA199"/>
      <c r="POB199"/>
      <c r="POC199"/>
      <c r="POD199"/>
      <c r="POE199"/>
      <c r="POF199"/>
      <c r="POG199"/>
      <c r="POH199"/>
      <c r="POI199"/>
      <c r="POJ199"/>
      <c r="POK199"/>
      <c r="POL199"/>
      <c r="POM199"/>
      <c r="PON199"/>
      <c r="POO199"/>
      <c r="POP199"/>
      <c r="POQ199"/>
      <c r="POR199"/>
      <c r="POS199"/>
      <c r="POT199"/>
      <c r="POU199"/>
      <c r="POV199"/>
      <c r="POW199"/>
      <c r="POX199"/>
      <c r="POY199"/>
      <c r="POZ199"/>
      <c r="PPA199"/>
      <c r="PPB199"/>
      <c r="PPC199"/>
      <c r="PPD199"/>
      <c r="PPE199"/>
      <c r="PPF199"/>
      <c r="PPG199"/>
      <c r="PPH199"/>
      <c r="PPI199"/>
      <c r="PPJ199"/>
      <c r="PPK199"/>
      <c r="PPL199"/>
      <c r="PPM199"/>
      <c r="PPN199"/>
      <c r="PPO199"/>
      <c r="PPP199"/>
      <c r="PPQ199"/>
      <c r="PPR199"/>
      <c r="PPS199"/>
      <c r="PPT199"/>
      <c r="PPU199"/>
      <c r="PPV199"/>
      <c r="PPW199"/>
      <c r="PPX199"/>
      <c r="PPY199"/>
      <c r="PPZ199"/>
      <c r="PQA199"/>
      <c r="PQB199"/>
      <c r="PQC199"/>
      <c r="PQD199"/>
      <c r="PQE199"/>
      <c r="PQF199"/>
      <c r="PQG199"/>
      <c r="PQH199"/>
      <c r="PQI199"/>
      <c r="PQJ199"/>
      <c r="PQK199"/>
      <c r="PQL199"/>
      <c r="PQM199"/>
      <c r="PQN199"/>
      <c r="PQO199"/>
      <c r="PQP199"/>
      <c r="PQQ199"/>
      <c r="PQR199"/>
      <c r="PQS199"/>
      <c r="PQT199"/>
      <c r="PQU199"/>
      <c r="PQV199"/>
      <c r="PQW199"/>
      <c r="PQX199"/>
      <c r="PQY199"/>
      <c r="PQZ199"/>
      <c r="PRA199"/>
      <c r="PRB199"/>
      <c r="PRC199"/>
      <c r="PRD199"/>
      <c r="PRE199"/>
      <c r="PRF199"/>
      <c r="PRG199"/>
      <c r="PRH199"/>
      <c r="PRI199"/>
      <c r="PRJ199"/>
      <c r="PRK199"/>
      <c r="PRL199"/>
      <c r="PRM199"/>
      <c r="PRN199"/>
      <c r="PRO199"/>
      <c r="PRP199"/>
      <c r="PRQ199"/>
      <c r="PRR199"/>
      <c r="PRS199"/>
      <c r="PRT199"/>
      <c r="PRU199"/>
      <c r="PRV199"/>
      <c r="PRW199"/>
      <c r="PRX199"/>
      <c r="PRY199"/>
      <c r="PRZ199"/>
      <c r="PSA199"/>
      <c r="PSB199"/>
      <c r="PSC199"/>
      <c r="PSD199"/>
      <c r="PSE199"/>
      <c r="PSF199"/>
      <c r="PSG199"/>
      <c r="PSH199"/>
      <c r="PSI199"/>
      <c r="PSJ199"/>
      <c r="PSK199"/>
      <c r="PSL199"/>
      <c r="PSM199"/>
      <c r="PSN199"/>
      <c r="PSO199"/>
      <c r="PSP199"/>
      <c r="PSQ199"/>
      <c r="PSR199"/>
      <c r="PSS199"/>
      <c r="PST199"/>
      <c r="PSU199"/>
      <c r="PSV199"/>
      <c r="PSW199"/>
      <c r="PSX199"/>
      <c r="PSY199"/>
      <c r="PSZ199"/>
      <c r="PTA199"/>
      <c r="PTB199"/>
      <c r="PTC199"/>
      <c r="PTD199"/>
      <c r="PTE199"/>
      <c r="PTF199"/>
      <c r="PTG199"/>
      <c r="PTH199"/>
      <c r="PTI199"/>
      <c r="PTJ199"/>
      <c r="PTK199"/>
      <c r="PTL199"/>
      <c r="PTM199"/>
      <c r="PTN199"/>
      <c r="PTO199"/>
      <c r="PTP199"/>
      <c r="PTQ199"/>
      <c r="PTR199"/>
      <c r="PTS199"/>
      <c r="PTT199"/>
      <c r="PTU199"/>
      <c r="PTV199"/>
      <c r="PTW199"/>
      <c r="PTX199"/>
      <c r="PTY199"/>
      <c r="PTZ199"/>
      <c r="PUA199"/>
      <c r="PUB199"/>
      <c r="PUC199"/>
      <c r="PUD199"/>
      <c r="PUE199"/>
      <c r="PUF199"/>
      <c r="PUG199"/>
      <c r="PUH199"/>
      <c r="PUI199"/>
      <c r="PUJ199"/>
      <c r="PUK199"/>
      <c r="PUL199"/>
      <c r="PUM199"/>
      <c r="PUN199"/>
      <c r="PUO199"/>
      <c r="PUP199"/>
      <c r="PUQ199"/>
      <c r="PUR199"/>
      <c r="PUS199"/>
      <c r="PUT199"/>
      <c r="PUU199"/>
      <c r="PUV199"/>
      <c r="PUW199"/>
      <c r="PUX199"/>
      <c r="PUY199"/>
      <c r="PUZ199"/>
      <c r="PVA199"/>
      <c r="PVB199"/>
      <c r="PVC199"/>
      <c r="PVD199"/>
      <c r="PVE199"/>
      <c r="PVF199"/>
      <c r="PVG199"/>
      <c r="PVH199"/>
      <c r="PVI199"/>
      <c r="PVJ199"/>
      <c r="PVK199"/>
      <c r="PVL199"/>
      <c r="PVM199"/>
      <c r="PVN199"/>
      <c r="PVO199"/>
      <c r="PVP199"/>
      <c r="PVQ199"/>
      <c r="PVR199"/>
      <c r="PVS199"/>
      <c r="PVT199"/>
      <c r="PVU199"/>
      <c r="PVV199"/>
      <c r="PVW199"/>
      <c r="PVX199"/>
      <c r="PVY199"/>
      <c r="PVZ199"/>
      <c r="PWA199"/>
      <c r="PWB199"/>
      <c r="PWC199"/>
      <c r="PWD199"/>
      <c r="PWE199"/>
      <c r="PWF199"/>
      <c r="PWG199"/>
      <c r="PWH199"/>
      <c r="PWI199"/>
      <c r="PWJ199"/>
      <c r="PWK199"/>
      <c r="PWL199"/>
      <c r="PWM199"/>
      <c r="PWN199"/>
      <c r="PWO199"/>
      <c r="PWP199"/>
      <c r="PWQ199"/>
      <c r="PWR199"/>
      <c r="PWS199"/>
      <c r="PWT199"/>
      <c r="PWU199"/>
      <c r="PWV199"/>
      <c r="PWW199"/>
      <c r="PWX199"/>
      <c r="PWY199"/>
      <c r="PWZ199"/>
      <c r="PXA199"/>
      <c r="PXB199"/>
      <c r="PXC199"/>
      <c r="PXD199"/>
      <c r="PXE199"/>
      <c r="PXF199"/>
      <c r="PXG199"/>
      <c r="PXH199"/>
      <c r="PXI199"/>
      <c r="PXJ199"/>
      <c r="PXK199"/>
      <c r="PXL199"/>
      <c r="PXM199"/>
      <c r="PXN199"/>
      <c r="PXO199"/>
      <c r="PXP199"/>
      <c r="PXQ199"/>
      <c r="PXR199"/>
      <c r="PXS199"/>
      <c r="PXT199"/>
      <c r="PXU199"/>
      <c r="PXV199"/>
      <c r="PXW199"/>
      <c r="PXX199"/>
      <c r="PXY199"/>
      <c r="PXZ199"/>
      <c r="PYA199"/>
      <c r="PYB199"/>
      <c r="PYC199"/>
      <c r="PYD199"/>
      <c r="PYE199"/>
      <c r="PYF199"/>
      <c r="PYG199"/>
      <c r="PYH199"/>
      <c r="PYI199"/>
      <c r="PYJ199"/>
      <c r="PYK199"/>
      <c r="PYL199"/>
      <c r="PYM199"/>
      <c r="PYN199"/>
      <c r="PYO199"/>
      <c r="PYP199"/>
      <c r="PYQ199"/>
      <c r="PYR199"/>
      <c r="PYS199"/>
      <c r="PYT199"/>
      <c r="PYU199"/>
      <c r="PYV199"/>
      <c r="PYW199"/>
      <c r="PYX199"/>
      <c r="PYY199"/>
      <c r="PYZ199"/>
      <c r="PZA199"/>
      <c r="PZB199"/>
      <c r="PZC199"/>
      <c r="PZD199"/>
      <c r="PZE199"/>
      <c r="PZF199"/>
      <c r="PZG199"/>
      <c r="PZH199"/>
      <c r="PZI199"/>
      <c r="PZJ199"/>
      <c r="PZK199"/>
      <c r="PZL199"/>
      <c r="PZM199"/>
      <c r="PZN199"/>
      <c r="PZO199"/>
      <c r="PZP199"/>
      <c r="PZQ199"/>
      <c r="PZR199"/>
      <c r="PZS199"/>
      <c r="PZT199"/>
      <c r="PZU199"/>
      <c r="PZV199"/>
      <c r="PZW199"/>
      <c r="PZX199"/>
      <c r="PZY199"/>
      <c r="PZZ199"/>
      <c r="QAA199"/>
      <c r="QAB199"/>
      <c r="QAC199"/>
      <c r="QAD199"/>
      <c r="QAE199"/>
      <c r="QAF199"/>
      <c r="QAG199"/>
      <c r="QAH199"/>
      <c r="QAI199"/>
      <c r="QAJ199"/>
      <c r="QAK199"/>
      <c r="QAL199"/>
      <c r="QAM199"/>
      <c r="QAN199"/>
      <c r="QAO199"/>
      <c r="QAP199"/>
      <c r="QAQ199"/>
      <c r="QAR199"/>
      <c r="QAS199"/>
      <c r="QAT199"/>
      <c r="QAU199"/>
      <c r="QAV199"/>
      <c r="QAW199"/>
      <c r="QAX199"/>
      <c r="QAY199"/>
      <c r="QAZ199"/>
      <c r="QBA199"/>
      <c r="QBB199"/>
      <c r="QBC199"/>
      <c r="QBD199"/>
      <c r="QBE199"/>
      <c r="QBF199"/>
      <c r="QBG199"/>
      <c r="QBH199"/>
      <c r="QBI199"/>
      <c r="QBJ199"/>
      <c r="QBK199"/>
      <c r="QBL199"/>
      <c r="QBM199"/>
      <c r="QBN199"/>
      <c r="QBO199"/>
      <c r="QBP199"/>
      <c r="QBQ199"/>
      <c r="QBR199"/>
      <c r="QBS199"/>
      <c r="QBT199"/>
      <c r="QBU199"/>
      <c r="QBV199"/>
      <c r="QBW199"/>
      <c r="QBX199"/>
      <c r="QBY199"/>
      <c r="QBZ199"/>
      <c r="QCA199"/>
      <c r="QCB199"/>
      <c r="QCC199"/>
      <c r="QCD199"/>
      <c r="QCE199"/>
      <c r="QCF199"/>
      <c r="QCG199"/>
      <c r="QCH199"/>
      <c r="QCI199"/>
      <c r="QCJ199"/>
      <c r="QCK199"/>
      <c r="QCL199"/>
      <c r="QCM199"/>
      <c r="QCN199"/>
      <c r="QCO199"/>
      <c r="QCP199"/>
      <c r="QCQ199"/>
      <c r="QCR199"/>
      <c r="QCS199"/>
      <c r="QCT199"/>
      <c r="QCU199"/>
      <c r="QCV199"/>
      <c r="QCW199"/>
      <c r="QCX199"/>
      <c r="QCY199"/>
      <c r="QCZ199"/>
      <c r="QDA199"/>
      <c r="QDB199"/>
      <c r="QDC199"/>
      <c r="QDD199"/>
      <c r="QDE199"/>
      <c r="QDF199"/>
      <c r="QDG199"/>
      <c r="QDH199"/>
      <c r="QDI199"/>
      <c r="QDJ199"/>
      <c r="QDK199"/>
      <c r="QDL199"/>
      <c r="QDM199"/>
      <c r="QDN199"/>
      <c r="QDO199"/>
      <c r="QDP199"/>
      <c r="QDQ199"/>
      <c r="QDR199"/>
      <c r="QDS199"/>
      <c r="QDT199"/>
      <c r="QDU199"/>
      <c r="QDV199"/>
      <c r="QDW199"/>
      <c r="QDX199"/>
      <c r="QDY199"/>
      <c r="QDZ199"/>
      <c r="QEA199"/>
      <c r="QEB199"/>
      <c r="QEC199"/>
      <c r="QED199"/>
      <c r="QEE199"/>
      <c r="QEF199"/>
      <c r="QEG199"/>
      <c r="QEH199"/>
      <c r="QEI199"/>
      <c r="QEJ199"/>
      <c r="QEK199"/>
      <c r="QEL199"/>
      <c r="QEM199"/>
      <c r="QEN199"/>
      <c r="QEO199"/>
      <c r="QEP199"/>
      <c r="QEQ199"/>
      <c r="QER199"/>
      <c r="QES199"/>
      <c r="QET199"/>
      <c r="QEU199"/>
      <c r="QEV199"/>
      <c r="QEW199"/>
      <c r="QEX199"/>
      <c r="QEY199"/>
      <c r="QEZ199"/>
      <c r="QFA199"/>
      <c r="QFB199"/>
      <c r="QFC199"/>
      <c r="QFD199"/>
      <c r="QFE199"/>
      <c r="QFF199"/>
      <c r="QFG199"/>
      <c r="QFH199"/>
      <c r="QFI199"/>
      <c r="QFJ199"/>
      <c r="QFK199"/>
      <c r="QFL199"/>
      <c r="QFM199"/>
      <c r="QFN199"/>
      <c r="QFO199"/>
      <c r="QFP199"/>
      <c r="QFQ199"/>
      <c r="QFR199"/>
      <c r="QFS199"/>
      <c r="QFT199"/>
      <c r="QFU199"/>
      <c r="QFV199"/>
      <c r="QFW199"/>
      <c r="QFX199"/>
      <c r="QFY199"/>
      <c r="QFZ199"/>
      <c r="QGA199"/>
      <c r="QGB199"/>
      <c r="QGC199"/>
      <c r="QGD199"/>
      <c r="QGE199"/>
      <c r="QGF199"/>
      <c r="QGG199"/>
      <c r="QGH199"/>
      <c r="QGI199"/>
      <c r="QGJ199"/>
      <c r="QGK199"/>
      <c r="QGL199"/>
      <c r="QGM199"/>
      <c r="QGN199"/>
      <c r="QGO199"/>
      <c r="QGP199"/>
      <c r="QGQ199"/>
      <c r="QGR199"/>
      <c r="QGS199"/>
      <c r="QGT199"/>
      <c r="QGU199"/>
      <c r="QGV199"/>
      <c r="QGW199"/>
      <c r="QGX199"/>
      <c r="QGY199"/>
      <c r="QGZ199"/>
      <c r="QHA199"/>
      <c r="QHB199"/>
      <c r="QHC199"/>
      <c r="QHD199"/>
      <c r="QHE199"/>
      <c r="QHF199"/>
      <c r="QHG199"/>
      <c r="QHH199"/>
      <c r="QHI199"/>
      <c r="QHJ199"/>
      <c r="QHK199"/>
      <c r="QHL199"/>
      <c r="QHM199"/>
      <c r="QHN199"/>
      <c r="QHO199"/>
      <c r="QHP199"/>
      <c r="QHQ199"/>
      <c r="QHR199"/>
      <c r="QHS199"/>
      <c r="QHT199"/>
      <c r="QHU199"/>
      <c r="QHV199"/>
      <c r="QHW199"/>
      <c r="QHX199"/>
      <c r="QHY199"/>
      <c r="QHZ199"/>
      <c r="QIA199"/>
      <c r="QIB199"/>
      <c r="QIC199"/>
      <c r="QID199"/>
      <c r="QIE199"/>
      <c r="QIF199"/>
      <c r="QIG199"/>
      <c r="QIH199"/>
      <c r="QII199"/>
      <c r="QIJ199"/>
      <c r="QIK199"/>
      <c r="QIL199"/>
      <c r="QIM199"/>
      <c r="QIN199"/>
      <c r="QIO199"/>
      <c r="QIP199"/>
      <c r="QIQ199"/>
      <c r="QIR199"/>
      <c r="QIS199"/>
      <c r="QIT199"/>
      <c r="QIU199"/>
      <c r="QIV199"/>
      <c r="QIW199"/>
      <c r="QIX199"/>
      <c r="QIY199"/>
      <c r="QIZ199"/>
      <c r="QJA199"/>
      <c r="QJB199"/>
      <c r="QJC199"/>
      <c r="QJD199"/>
      <c r="QJE199"/>
      <c r="QJF199"/>
      <c r="QJG199"/>
      <c r="QJH199"/>
      <c r="QJI199"/>
      <c r="QJJ199"/>
      <c r="QJK199"/>
      <c r="QJL199"/>
      <c r="QJM199"/>
      <c r="QJN199"/>
      <c r="QJO199"/>
      <c r="QJP199"/>
      <c r="QJQ199"/>
      <c r="QJR199"/>
      <c r="QJS199"/>
      <c r="QJT199"/>
      <c r="QJU199"/>
      <c r="QJV199"/>
      <c r="QJW199"/>
      <c r="QJX199"/>
      <c r="QJY199"/>
      <c r="QJZ199"/>
      <c r="QKA199"/>
      <c r="QKB199"/>
      <c r="QKC199"/>
      <c r="QKD199"/>
      <c r="QKE199"/>
      <c r="QKF199"/>
      <c r="QKG199"/>
      <c r="QKH199"/>
      <c r="QKI199"/>
      <c r="QKJ199"/>
      <c r="QKK199"/>
      <c r="QKL199"/>
      <c r="QKM199"/>
      <c r="QKN199"/>
      <c r="QKO199"/>
      <c r="QKP199"/>
      <c r="QKQ199"/>
      <c r="QKR199"/>
      <c r="QKS199"/>
      <c r="QKT199"/>
      <c r="QKU199"/>
      <c r="QKV199"/>
      <c r="QKW199"/>
      <c r="QKX199"/>
      <c r="QKY199"/>
      <c r="QKZ199"/>
      <c r="QLA199"/>
      <c r="QLB199"/>
      <c r="QLC199"/>
      <c r="QLD199"/>
      <c r="QLE199"/>
      <c r="QLF199"/>
      <c r="QLG199"/>
      <c r="QLH199"/>
      <c r="QLI199"/>
      <c r="QLJ199"/>
      <c r="QLK199"/>
      <c r="QLL199"/>
      <c r="QLM199"/>
      <c r="QLN199"/>
      <c r="QLO199"/>
      <c r="QLP199"/>
      <c r="QLQ199"/>
      <c r="QLR199"/>
      <c r="QLS199"/>
      <c r="QLT199"/>
      <c r="QLU199"/>
      <c r="QLV199"/>
      <c r="QLW199"/>
      <c r="QLX199"/>
      <c r="QLY199"/>
      <c r="QLZ199"/>
      <c r="QMA199"/>
      <c r="QMB199"/>
      <c r="QMC199"/>
      <c r="QMD199"/>
      <c r="QME199"/>
      <c r="QMF199"/>
      <c r="QMG199"/>
      <c r="QMH199"/>
      <c r="QMI199"/>
      <c r="QMJ199"/>
      <c r="QMK199"/>
      <c r="QML199"/>
      <c r="QMM199"/>
      <c r="QMN199"/>
      <c r="QMO199"/>
      <c r="QMP199"/>
      <c r="QMQ199"/>
      <c r="QMR199"/>
      <c r="QMS199"/>
      <c r="QMT199"/>
      <c r="QMU199"/>
      <c r="QMV199"/>
      <c r="QMW199"/>
      <c r="QMX199"/>
      <c r="QMY199"/>
      <c r="QMZ199"/>
      <c r="QNA199"/>
      <c r="QNB199"/>
      <c r="QNC199"/>
      <c r="QND199"/>
      <c r="QNE199"/>
      <c r="QNF199"/>
      <c r="QNG199"/>
      <c r="QNH199"/>
      <c r="QNI199"/>
      <c r="QNJ199"/>
      <c r="QNK199"/>
      <c r="QNL199"/>
      <c r="QNM199"/>
      <c r="QNN199"/>
      <c r="QNO199"/>
      <c r="QNP199"/>
      <c r="QNQ199"/>
      <c r="QNR199"/>
      <c r="QNS199"/>
      <c r="QNT199"/>
      <c r="QNU199"/>
      <c r="QNV199"/>
      <c r="QNW199"/>
      <c r="QNX199"/>
      <c r="QNY199"/>
      <c r="QNZ199"/>
      <c r="QOA199"/>
      <c r="QOB199"/>
      <c r="QOC199"/>
      <c r="QOD199"/>
      <c r="QOE199"/>
      <c r="QOF199"/>
      <c r="QOG199"/>
      <c r="QOH199"/>
      <c r="QOI199"/>
      <c r="QOJ199"/>
      <c r="QOK199"/>
      <c r="QOL199"/>
      <c r="QOM199"/>
      <c r="QON199"/>
      <c r="QOO199"/>
      <c r="QOP199"/>
      <c r="QOQ199"/>
      <c r="QOR199"/>
      <c r="QOS199"/>
      <c r="QOT199"/>
      <c r="QOU199"/>
      <c r="QOV199"/>
      <c r="QOW199"/>
      <c r="QOX199"/>
      <c r="QOY199"/>
      <c r="QOZ199"/>
      <c r="QPA199"/>
      <c r="QPB199"/>
      <c r="QPC199"/>
      <c r="QPD199"/>
      <c r="QPE199"/>
      <c r="QPF199"/>
      <c r="QPG199"/>
      <c r="QPH199"/>
      <c r="QPI199"/>
      <c r="QPJ199"/>
      <c r="QPK199"/>
      <c r="QPL199"/>
      <c r="QPM199"/>
      <c r="QPN199"/>
      <c r="QPO199"/>
      <c r="QPP199"/>
      <c r="QPQ199"/>
      <c r="QPR199"/>
      <c r="QPS199"/>
      <c r="QPT199"/>
      <c r="QPU199"/>
      <c r="QPV199"/>
      <c r="QPW199"/>
      <c r="QPX199"/>
      <c r="QPY199"/>
      <c r="QPZ199"/>
      <c r="QQA199"/>
      <c r="QQB199"/>
      <c r="QQC199"/>
      <c r="QQD199"/>
      <c r="QQE199"/>
      <c r="QQF199"/>
      <c r="QQG199"/>
      <c r="QQH199"/>
      <c r="QQI199"/>
      <c r="QQJ199"/>
      <c r="QQK199"/>
      <c r="QQL199"/>
      <c r="QQM199"/>
      <c r="QQN199"/>
      <c r="QQO199"/>
      <c r="QQP199"/>
      <c r="QQQ199"/>
      <c r="QQR199"/>
      <c r="QQS199"/>
      <c r="QQT199"/>
      <c r="QQU199"/>
      <c r="QQV199"/>
      <c r="QQW199"/>
      <c r="QQX199"/>
      <c r="QQY199"/>
      <c r="QQZ199"/>
      <c r="QRA199"/>
      <c r="QRB199"/>
      <c r="QRC199"/>
      <c r="QRD199"/>
      <c r="QRE199"/>
      <c r="QRF199"/>
      <c r="QRG199"/>
      <c r="QRH199"/>
      <c r="QRI199"/>
      <c r="QRJ199"/>
      <c r="QRK199"/>
      <c r="QRL199"/>
      <c r="QRM199"/>
      <c r="QRN199"/>
      <c r="QRO199"/>
      <c r="QRP199"/>
      <c r="QRQ199"/>
      <c r="QRR199"/>
      <c r="QRS199"/>
      <c r="QRT199"/>
      <c r="QRU199"/>
      <c r="QRV199"/>
      <c r="QRW199"/>
      <c r="QRX199"/>
      <c r="QRY199"/>
      <c r="QRZ199"/>
      <c r="QSA199"/>
      <c r="QSB199"/>
      <c r="QSC199"/>
      <c r="QSD199"/>
      <c r="QSE199"/>
      <c r="QSF199"/>
      <c r="QSG199"/>
      <c r="QSH199"/>
      <c r="QSI199"/>
      <c r="QSJ199"/>
      <c r="QSK199"/>
      <c r="QSL199"/>
      <c r="QSM199"/>
      <c r="QSN199"/>
      <c r="QSO199"/>
      <c r="QSP199"/>
      <c r="QSQ199"/>
      <c r="QSR199"/>
      <c r="QSS199"/>
      <c r="QST199"/>
      <c r="QSU199"/>
      <c r="QSV199"/>
      <c r="QSW199"/>
      <c r="QSX199"/>
      <c r="QSY199"/>
      <c r="QSZ199"/>
      <c r="QTA199"/>
      <c r="QTB199"/>
      <c r="QTC199"/>
      <c r="QTD199"/>
      <c r="QTE199"/>
      <c r="QTF199"/>
      <c r="QTG199"/>
      <c r="QTH199"/>
      <c r="QTI199"/>
      <c r="QTJ199"/>
      <c r="QTK199"/>
      <c r="QTL199"/>
      <c r="QTM199"/>
      <c r="QTN199"/>
      <c r="QTO199"/>
      <c r="QTP199"/>
      <c r="QTQ199"/>
      <c r="QTR199"/>
      <c r="QTS199"/>
      <c r="QTT199"/>
      <c r="QTU199"/>
      <c r="QTV199"/>
      <c r="QTW199"/>
      <c r="QTX199"/>
      <c r="QTY199"/>
      <c r="QTZ199"/>
      <c r="QUA199"/>
      <c r="QUB199"/>
      <c r="QUC199"/>
      <c r="QUD199"/>
      <c r="QUE199"/>
      <c r="QUF199"/>
      <c r="QUG199"/>
      <c r="QUH199"/>
      <c r="QUI199"/>
      <c r="QUJ199"/>
      <c r="QUK199"/>
      <c r="QUL199"/>
      <c r="QUM199"/>
      <c r="QUN199"/>
      <c r="QUO199"/>
      <c r="QUP199"/>
      <c r="QUQ199"/>
      <c r="QUR199"/>
      <c r="QUS199"/>
      <c r="QUT199"/>
      <c r="QUU199"/>
      <c r="QUV199"/>
      <c r="QUW199"/>
      <c r="QUX199"/>
      <c r="QUY199"/>
      <c r="QUZ199"/>
      <c r="QVA199"/>
      <c r="QVB199"/>
      <c r="QVC199"/>
      <c r="QVD199"/>
      <c r="QVE199"/>
      <c r="QVF199"/>
      <c r="QVG199"/>
      <c r="QVH199"/>
      <c r="QVI199"/>
      <c r="QVJ199"/>
      <c r="QVK199"/>
      <c r="QVL199"/>
      <c r="QVM199"/>
      <c r="QVN199"/>
      <c r="QVO199"/>
      <c r="QVP199"/>
      <c r="QVQ199"/>
      <c r="QVR199"/>
      <c r="QVS199"/>
      <c r="QVT199"/>
      <c r="QVU199"/>
      <c r="QVV199"/>
      <c r="QVW199"/>
      <c r="QVX199"/>
      <c r="QVY199"/>
      <c r="QVZ199"/>
      <c r="QWA199"/>
      <c r="QWB199"/>
      <c r="QWC199"/>
      <c r="QWD199"/>
      <c r="QWE199"/>
      <c r="QWF199"/>
      <c r="QWG199"/>
      <c r="QWH199"/>
      <c r="QWI199"/>
      <c r="QWJ199"/>
      <c r="QWK199"/>
      <c r="QWL199"/>
      <c r="QWM199"/>
      <c r="QWN199"/>
      <c r="QWO199"/>
      <c r="QWP199"/>
      <c r="QWQ199"/>
      <c r="QWR199"/>
      <c r="QWS199"/>
      <c r="QWT199"/>
      <c r="QWU199"/>
      <c r="QWV199"/>
      <c r="QWW199"/>
      <c r="QWX199"/>
      <c r="QWY199"/>
      <c r="QWZ199"/>
      <c r="QXA199"/>
      <c r="QXB199"/>
      <c r="QXC199"/>
      <c r="QXD199"/>
      <c r="QXE199"/>
      <c r="QXF199"/>
      <c r="QXG199"/>
      <c r="QXH199"/>
      <c r="QXI199"/>
      <c r="QXJ199"/>
      <c r="QXK199"/>
      <c r="QXL199"/>
      <c r="QXM199"/>
      <c r="QXN199"/>
      <c r="QXO199"/>
      <c r="QXP199"/>
      <c r="QXQ199"/>
      <c r="QXR199"/>
      <c r="QXS199"/>
      <c r="QXT199"/>
      <c r="QXU199"/>
      <c r="QXV199"/>
      <c r="QXW199"/>
      <c r="QXX199"/>
      <c r="QXY199"/>
      <c r="QXZ199"/>
      <c r="QYA199"/>
      <c r="QYB199"/>
      <c r="QYC199"/>
      <c r="QYD199"/>
      <c r="QYE199"/>
      <c r="QYF199"/>
      <c r="QYG199"/>
      <c r="QYH199"/>
      <c r="QYI199"/>
      <c r="QYJ199"/>
      <c r="QYK199"/>
      <c r="QYL199"/>
      <c r="QYM199"/>
      <c r="QYN199"/>
      <c r="QYO199"/>
      <c r="QYP199"/>
      <c r="QYQ199"/>
      <c r="QYR199"/>
      <c r="QYS199"/>
      <c r="QYT199"/>
      <c r="QYU199"/>
      <c r="QYV199"/>
      <c r="QYW199"/>
      <c r="QYX199"/>
      <c r="QYY199"/>
      <c r="QYZ199"/>
      <c r="QZA199"/>
      <c r="QZB199"/>
      <c r="QZC199"/>
      <c r="QZD199"/>
      <c r="QZE199"/>
      <c r="QZF199"/>
      <c r="QZG199"/>
      <c r="QZH199"/>
      <c r="QZI199"/>
      <c r="QZJ199"/>
      <c r="QZK199"/>
      <c r="QZL199"/>
      <c r="QZM199"/>
      <c r="QZN199"/>
      <c r="QZO199"/>
      <c r="QZP199"/>
      <c r="QZQ199"/>
      <c r="QZR199"/>
      <c r="QZS199"/>
      <c r="QZT199"/>
      <c r="QZU199"/>
      <c r="QZV199"/>
      <c r="QZW199"/>
      <c r="QZX199"/>
      <c r="QZY199"/>
      <c r="QZZ199"/>
      <c r="RAA199"/>
      <c r="RAB199"/>
      <c r="RAC199"/>
      <c r="RAD199"/>
      <c r="RAE199"/>
      <c r="RAF199"/>
      <c r="RAG199"/>
      <c r="RAH199"/>
      <c r="RAI199"/>
      <c r="RAJ199"/>
      <c r="RAK199"/>
      <c r="RAL199"/>
      <c r="RAM199"/>
      <c r="RAN199"/>
      <c r="RAO199"/>
      <c r="RAP199"/>
      <c r="RAQ199"/>
      <c r="RAR199"/>
      <c r="RAS199"/>
      <c r="RAT199"/>
      <c r="RAU199"/>
      <c r="RAV199"/>
      <c r="RAW199"/>
      <c r="RAX199"/>
      <c r="RAY199"/>
      <c r="RAZ199"/>
      <c r="RBA199"/>
      <c r="RBB199"/>
      <c r="RBC199"/>
      <c r="RBD199"/>
      <c r="RBE199"/>
      <c r="RBF199"/>
      <c r="RBG199"/>
      <c r="RBH199"/>
      <c r="RBI199"/>
      <c r="RBJ199"/>
      <c r="RBK199"/>
      <c r="RBL199"/>
      <c r="RBM199"/>
      <c r="RBN199"/>
      <c r="RBO199"/>
      <c r="RBP199"/>
      <c r="RBQ199"/>
      <c r="RBR199"/>
      <c r="RBS199"/>
      <c r="RBT199"/>
      <c r="RBU199"/>
      <c r="RBV199"/>
      <c r="RBW199"/>
      <c r="RBX199"/>
      <c r="RBY199"/>
      <c r="RBZ199"/>
      <c r="RCA199"/>
      <c r="RCB199"/>
      <c r="RCC199"/>
      <c r="RCD199"/>
      <c r="RCE199"/>
      <c r="RCF199"/>
      <c r="RCG199"/>
      <c r="RCH199"/>
      <c r="RCI199"/>
      <c r="RCJ199"/>
      <c r="RCK199"/>
      <c r="RCL199"/>
      <c r="RCM199"/>
      <c r="RCN199"/>
      <c r="RCO199"/>
      <c r="RCP199"/>
      <c r="RCQ199"/>
      <c r="RCR199"/>
      <c r="RCS199"/>
      <c r="RCT199"/>
      <c r="RCU199"/>
      <c r="RCV199"/>
      <c r="RCW199"/>
      <c r="RCX199"/>
      <c r="RCY199"/>
      <c r="RCZ199"/>
      <c r="RDA199"/>
      <c r="RDB199"/>
      <c r="RDC199"/>
      <c r="RDD199"/>
      <c r="RDE199"/>
      <c r="RDF199"/>
      <c r="RDG199"/>
      <c r="RDH199"/>
      <c r="RDI199"/>
      <c r="RDJ199"/>
      <c r="RDK199"/>
      <c r="RDL199"/>
      <c r="RDM199"/>
      <c r="RDN199"/>
      <c r="RDO199"/>
      <c r="RDP199"/>
      <c r="RDQ199"/>
      <c r="RDR199"/>
      <c r="RDS199"/>
      <c r="RDT199"/>
      <c r="RDU199"/>
      <c r="RDV199"/>
      <c r="RDW199"/>
      <c r="RDX199"/>
      <c r="RDY199"/>
      <c r="RDZ199"/>
      <c r="REA199"/>
      <c r="REB199"/>
      <c r="REC199"/>
      <c r="RED199"/>
      <c r="REE199"/>
      <c r="REF199"/>
      <c r="REG199"/>
      <c r="REH199"/>
      <c r="REI199"/>
      <c r="REJ199"/>
      <c r="REK199"/>
      <c r="REL199"/>
      <c r="REM199"/>
      <c r="REN199"/>
      <c r="REO199"/>
      <c r="REP199"/>
      <c r="REQ199"/>
      <c r="RER199"/>
      <c r="RES199"/>
      <c r="RET199"/>
      <c r="REU199"/>
      <c r="REV199"/>
      <c r="REW199"/>
      <c r="REX199"/>
      <c r="REY199"/>
      <c r="REZ199"/>
      <c r="RFA199"/>
      <c r="RFB199"/>
      <c r="RFC199"/>
      <c r="RFD199"/>
      <c r="RFE199"/>
      <c r="RFF199"/>
      <c r="RFG199"/>
      <c r="RFH199"/>
      <c r="RFI199"/>
      <c r="RFJ199"/>
      <c r="RFK199"/>
      <c r="RFL199"/>
      <c r="RFM199"/>
      <c r="RFN199"/>
      <c r="RFO199"/>
      <c r="RFP199"/>
      <c r="RFQ199"/>
      <c r="RFR199"/>
      <c r="RFS199"/>
      <c r="RFT199"/>
      <c r="RFU199"/>
      <c r="RFV199"/>
      <c r="RFW199"/>
      <c r="RFX199"/>
      <c r="RFY199"/>
      <c r="RFZ199"/>
      <c r="RGA199"/>
      <c r="RGB199"/>
      <c r="RGC199"/>
      <c r="RGD199"/>
      <c r="RGE199"/>
      <c r="RGF199"/>
      <c r="RGG199"/>
      <c r="RGH199"/>
      <c r="RGI199"/>
      <c r="RGJ199"/>
      <c r="RGK199"/>
      <c r="RGL199"/>
      <c r="RGM199"/>
      <c r="RGN199"/>
      <c r="RGO199"/>
      <c r="RGP199"/>
      <c r="RGQ199"/>
      <c r="RGR199"/>
      <c r="RGS199"/>
      <c r="RGT199"/>
      <c r="RGU199"/>
      <c r="RGV199"/>
      <c r="RGW199"/>
      <c r="RGX199"/>
      <c r="RGY199"/>
      <c r="RGZ199"/>
      <c r="RHA199"/>
      <c r="RHB199"/>
      <c r="RHC199"/>
      <c r="RHD199"/>
      <c r="RHE199"/>
      <c r="RHF199"/>
      <c r="RHG199"/>
      <c r="RHH199"/>
      <c r="RHI199"/>
      <c r="RHJ199"/>
      <c r="RHK199"/>
      <c r="RHL199"/>
      <c r="RHM199"/>
      <c r="RHN199"/>
      <c r="RHO199"/>
      <c r="RHP199"/>
      <c r="RHQ199"/>
      <c r="RHR199"/>
      <c r="RHS199"/>
      <c r="RHT199"/>
      <c r="RHU199"/>
      <c r="RHV199"/>
      <c r="RHW199"/>
      <c r="RHX199"/>
      <c r="RHY199"/>
      <c r="RHZ199"/>
      <c r="RIA199"/>
      <c r="RIB199"/>
      <c r="RIC199"/>
      <c r="RID199"/>
      <c r="RIE199"/>
      <c r="RIF199"/>
      <c r="RIG199"/>
      <c r="RIH199"/>
      <c r="RII199"/>
      <c r="RIJ199"/>
      <c r="RIK199"/>
      <c r="RIL199"/>
      <c r="RIM199"/>
      <c r="RIN199"/>
      <c r="RIO199"/>
      <c r="RIP199"/>
      <c r="RIQ199"/>
      <c r="RIR199"/>
      <c r="RIS199"/>
      <c r="RIT199"/>
      <c r="RIU199"/>
      <c r="RIV199"/>
      <c r="RIW199"/>
      <c r="RIX199"/>
      <c r="RIY199"/>
      <c r="RIZ199"/>
      <c r="RJA199"/>
      <c r="RJB199"/>
      <c r="RJC199"/>
      <c r="RJD199"/>
      <c r="RJE199"/>
      <c r="RJF199"/>
      <c r="RJG199"/>
      <c r="RJH199"/>
      <c r="RJI199"/>
      <c r="RJJ199"/>
      <c r="RJK199"/>
      <c r="RJL199"/>
      <c r="RJM199"/>
      <c r="RJN199"/>
      <c r="RJO199"/>
      <c r="RJP199"/>
      <c r="RJQ199"/>
      <c r="RJR199"/>
      <c r="RJS199"/>
      <c r="RJT199"/>
      <c r="RJU199"/>
      <c r="RJV199"/>
      <c r="RJW199"/>
      <c r="RJX199"/>
      <c r="RJY199"/>
      <c r="RJZ199"/>
      <c r="RKA199"/>
      <c r="RKB199"/>
      <c r="RKC199"/>
      <c r="RKD199"/>
      <c r="RKE199"/>
      <c r="RKF199"/>
      <c r="RKG199"/>
      <c r="RKH199"/>
      <c r="RKI199"/>
      <c r="RKJ199"/>
      <c r="RKK199"/>
      <c r="RKL199"/>
      <c r="RKM199"/>
      <c r="RKN199"/>
      <c r="RKO199"/>
      <c r="RKP199"/>
      <c r="RKQ199"/>
      <c r="RKR199"/>
      <c r="RKS199"/>
      <c r="RKT199"/>
      <c r="RKU199"/>
      <c r="RKV199"/>
      <c r="RKW199"/>
      <c r="RKX199"/>
      <c r="RKY199"/>
      <c r="RKZ199"/>
      <c r="RLA199"/>
      <c r="RLB199"/>
      <c r="RLC199"/>
      <c r="RLD199"/>
      <c r="RLE199"/>
      <c r="RLF199"/>
      <c r="RLG199"/>
      <c r="RLH199"/>
      <c r="RLI199"/>
      <c r="RLJ199"/>
      <c r="RLK199"/>
      <c r="RLL199"/>
      <c r="RLM199"/>
      <c r="RLN199"/>
      <c r="RLO199"/>
      <c r="RLP199"/>
      <c r="RLQ199"/>
      <c r="RLR199"/>
      <c r="RLS199"/>
      <c r="RLT199"/>
      <c r="RLU199"/>
      <c r="RLV199"/>
      <c r="RLW199"/>
      <c r="RLX199"/>
      <c r="RLY199"/>
      <c r="RLZ199"/>
      <c r="RMA199"/>
      <c r="RMB199"/>
      <c r="RMC199"/>
      <c r="RMD199"/>
      <c r="RME199"/>
      <c r="RMF199"/>
      <c r="RMG199"/>
      <c r="RMH199"/>
      <c r="RMI199"/>
      <c r="RMJ199"/>
      <c r="RMK199"/>
      <c r="RML199"/>
      <c r="RMM199"/>
      <c r="RMN199"/>
      <c r="RMO199"/>
      <c r="RMP199"/>
      <c r="RMQ199"/>
      <c r="RMR199"/>
      <c r="RMS199"/>
      <c r="RMT199"/>
      <c r="RMU199"/>
      <c r="RMV199"/>
      <c r="RMW199"/>
      <c r="RMX199"/>
      <c r="RMY199"/>
      <c r="RMZ199"/>
      <c r="RNA199"/>
      <c r="RNB199"/>
      <c r="RNC199"/>
      <c r="RND199"/>
      <c r="RNE199"/>
      <c r="RNF199"/>
      <c r="RNG199"/>
      <c r="RNH199"/>
      <c r="RNI199"/>
      <c r="RNJ199"/>
      <c r="RNK199"/>
      <c r="RNL199"/>
      <c r="RNM199"/>
      <c r="RNN199"/>
      <c r="RNO199"/>
      <c r="RNP199"/>
      <c r="RNQ199"/>
      <c r="RNR199"/>
      <c r="RNS199"/>
      <c r="RNT199"/>
      <c r="RNU199"/>
      <c r="RNV199"/>
      <c r="RNW199"/>
      <c r="RNX199"/>
      <c r="RNY199"/>
      <c r="RNZ199"/>
      <c r="ROA199"/>
      <c r="ROB199"/>
      <c r="ROC199"/>
      <c r="ROD199"/>
      <c r="ROE199"/>
      <c r="ROF199"/>
      <c r="ROG199"/>
      <c r="ROH199"/>
      <c r="ROI199"/>
      <c r="ROJ199"/>
      <c r="ROK199"/>
      <c r="ROL199"/>
      <c r="ROM199"/>
      <c r="RON199"/>
      <c r="ROO199"/>
      <c r="ROP199"/>
      <c r="ROQ199"/>
      <c r="ROR199"/>
      <c r="ROS199"/>
      <c r="ROT199"/>
      <c r="ROU199"/>
      <c r="ROV199"/>
      <c r="ROW199"/>
      <c r="ROX199"/>
      <c r="ROY199"/>
      <c r="ROZ199"/>
      <c r="RPA199"/>
      <c r="RPB199"/>
      <c r="RPC199"/>
      <c r="RPD199"/>
      <c r="RPE199"/>
      <c r="RPF199"/>
      <c r="RPG199"/>
      <c r="RPH199"/>
      <c r="RPI199"/>
      <c r="RPJ199"/>
      <c r="RPK199"/>
      <c r="RPL199"/>
      <c r="RPM199"/>
      <c r="RPN199"/>
      <c r="RPO199"/>
      <c r="RPP199"/>
      <c r="RPQ199"/>
      <c r="RPR199"/>
      <c r="RPS199"/>
      <c r="RPT199"/>
      <c r="RPU199"/>
      <c r="RPV199"/>
      <c r="RPW199"/>
      <c r="RPX199"/>
      <c r="RPY199"/>
      <c r="RPZ199"/>
      <c r="RQA199"/>
      <c r="RQB199"/>
      <c r="RQC199"/>
      <c r="RQD199"/>
      <c r="RQE199"/>
      <c r="RQF199"/>
      <c r="RQG199"/>
      <c r="RQH199"/>
      <c r="RQI199"/>
      <c r="RQJ199"/>
      <c r="RQK199"/>
      <c r="RQL199"/>
      <c r="RQM199"/>
      <c r="RQN199"/>
      <c r="RQO199"/>
      <c r="RQP199"/>
      <c r="RQQ199"/>
      <c r="RQR199"/>
      <c r="RQS199"/>
      <c r="RQT199"/>
      <c r="RQU199"/>
      <c r="RQV199"/>
      <c r="RQW199"/>
      <c r="RQX199"/>
      <c r="RQY199"/>
      <c r="RQZ199"/>
      <c r="RRA199"/>
      <c r="RRB199"/>
      <c r="RRC199"/>
      <c r="RRD199"/>
      <c r="RRE199"/>
      <c r="RRF199"/>
      <c r="RRG199"/>
      <c r="RRH199"/>
      <c r="RRI199"/>
      <c r="RRJ199"/>
      <c r="RRK199"/>
      <c r="RRL199"/>
      <c r="RRM199"/>
      <c r="RRN199"/>
      <c r="RRO199"/>
      <c r="RRP199"/>
      <c r="RRQ199"/>
      <c r="RRR199"/>
      <c r="RRS199"/>
      <c r="RRT199"/>
      <c r="RRU199"/>
      <c r="RRV199"/>
      <c r="RRW199"/>
      <c r="RRX199"/>
      <c r="RRY199"/>
      <c r="RRZ199"/>
      <c r="RSA199"/>
      <c r="RSB199"/>
      <c r="RSC199"/>
      <c r="RSD199"/>
      <c r="RSE199"/>
      <c r="RSF199"/>
      <c r="RSG199"/>
      <c r="RSH199"/>
      <c r="RSI199"/>
      <c r="RSJ199"/>
      <c r="RSK199"/>
      <c r="RSL199"/>
      <c r="RSM199"/>
      <c r="RSN199"/>
      <c r="RSO199"/>
      <c r="RSP199"/>
      <c r="RSQ199"/>
      <c r="RSR199"/>
      <c r="RSS199"/>
      <c r="RST199"/>
      <c r="RSU199"/>
      <c r="RSV199"/>
      <c r="RSW199"/>
      <c r="RSX199"/>
      <c r="RSY199"/>
      <c r="RSZ199"/>
      <c r="RTA199"/>
      <c r="RTB199"/>
      <c r="RTC199"/>
      <c r="RTD199"/>
      <c r="RTE199"/>
      <c r="RTF199"/>
      <c r="RTG199"/>
      <c r="RTH199"/>
      <c r="RTI199"/>
      <c r="RTJ199"/>
      <c r="RTK199"/>
      <c r="RTL199"/>
      <c r="RTM199"/>
      <c r="RTN199"/>
      <c r="RTO199"/>
      <c r="RTP199"/>
      <c r="RTQ199"/>
      <c r="RTR199"/>
      <c r="RTS199"/>
      <c r="RTT199"/>
      <c r="RTU199"/>
      <c r="RTV199"/>
      <c r="RTW199"/>
      <c r="RTX199"/>
      <c r="RTY199"/>
      <c r="RTZ199"/>
      <c r="RUA199"/>
      <c r="RUB199"/>
      <c r="RUC199"/>
      <c r="RUD199"/>
      <c r="RUE199"/>
      <c r="RUF199"/>
      <c r="RUG199"/>
      <c r="RUH199"/>
      <c r="RUI199"/>
      <c r="RUJ199"/>
      <c r="RUK199"/>
      <c r="RUL199"/>
      <c r="RUM199"/>
      <c r="RUN199"/>
      <c r="RUO199"/>
      <c r="RUP199"/>
      <c r="RUQ199"/>
      <c r="RUR199"/>
      <c r="RUS199"/>
      <c r="RUT199"/>
      <c r="RUU199"/>
      <c r="RUV199"/>
      <c r="RUW199"/>
      <c r="RUX199"/>
      <c r="RUY199"/>
      <c r="RUZ199"/>
      <c r="RVA199"/>
      <c r="RVB199"/>
      <c r="RVC199"/>
      <c r="RVD199"/>
      <c r="RVE199"/>
      <c r="RVF199"/>
      <c r="RVG199"/>
      <c r="RVH199"/>
      <c r="RVI199"/>
      <c r="RVJ199"/>
      <c r="RVK199"/>
      <c r="RVL199"/>
      <c r="RVM199"/>
      <c r="RVN199"/>
      <c r="RVO199"/>
      <c r="RVP199"/>
      <c r="RVQ199"/>
      <c r="RVR199"/>
      <c r="RVS199"/>
      <c r="RVT199"/>
      <c r="RVU199"/>
      <c r="RVV199"/>
      <c r="RVW199"/>
      <c r="RVX199"/>
      <c r="RVY199"/>
      <c r="RVZ199"/>
      <c r="RWA199"/>
      <c r="RWB199"/>
      <c r="RWC199"/>
      <c r="RWD199"/>
      <c r="RWE199"/>
      <c r="RWF199"/>
      <c r="RWG199"/>
      <c r="RWH199"/>
      <c r="RWI199"/>
      <c r="RWJ199"/>
      <c r="RWK199"/>
      <c r="RWL199"/>
      <c r="RWM199"/>
      <c r="RWN199"/>
      <c r="RWO199"/>
      <c r="RWP199"/>
      <c r="RWQ199"/>
      <c r="RWR199"/>
      <c r="RWS199"/>
      <c r="RWT199"/>
      <c r="RWU199"/>
      <c r="RWV199"/>
      <c r="RWW199"/>
      <c r="RWX199"/>
      <c r="RWY199"/>
      <c r="RWZ199"/>
      <c r="RXA199"/>
      <c r="RXB199"/>
      <c r="RXC199"/>
      <c r="RXD199"/>
      <c r="RXE199"/>
      <c r="RXF199"/>
      <c r="RXG199"/>
      <c r="RXH199"/>
      <c r="RXI199"/>
      <c r="RXJ199"/>
      <c r="RXK199"/>
      <c r="RXL199"/>
      <c r="RXM199"/>
      <c r="RXN199"/>
      <c r="RXO199"/>
      <c r="RXP199"/>
      <c r="RXQ199"/>
      <c r="RXR199"/>
      <c r="RXS199"/>
      <c r="RXT199"/>
      <c r="RXU199"/>
      <c r="RXV199"/>
      <c r="RXW199"/>
      <c r="RXX199"/>
      <c r="RXY199"/>
      <c r="RXZ199"/>
      <c r="RYA199"/>
      <c r="RYB199"/>
      <c r="RYC199"/>
      <c r="RYD199"/>
      <c r="RYE199"/>
      <c r="RYF199"/>
      <c r="RYG199"/>
      <c r="RYH199"/>
      <c r="RYI199"/>
      <c r="RYJ199"/>
      <c r="RYK199"/>
      <c r="RYL199"/>
      <c r="RYM199"/>
      <c r="RYN199"/>
      <c r="RYO199"/>
      <c r="RYP199"/>
      <c r="RYQ199"/>
      <c r="RYR199"/>
      <c r="RYS199"/>
      <c r="RYT199"/>
      <c r="RYU199"/>
      <c r="RYV199"/>
      <c r="RYW199"/>
      <c r="RYX199"/>
      <c r="RYY199"/>
      <c r="RYZ199"/>
      <c r="RZA199"/>
      <c r="RZB199"/>
      <c r="RZC199"/>
      <c r="RZD199"/>
      <c r="RZE199"/>
      <c r="RZF199"/>
      <c r="RZG199"/>
      <c r="RZH199"/>
      <c r="RZI199"/>
      <c r="RZJ199"/>
      <c r="RZK199"/>
      <c r="RZL199"/>
      <c r="RZM199"/>
      <c r="RZN199"/>
      <c r="RZO199"/>
      <c r="RZP199"/>
      <c r="RZQ199"/>
      <c r="RZR199"/>
      <c r="RZS199"/>
      <c r="RZT199"/>
      <c r="RZU199"/>
      <c r="RZV199"/>
      <c r="RZW199"/>
      <c r="RZX199"/>
      <c r="RZY199"/>
      <c r="RZZ199"/>
      <c r="SAA199"/>
      <c r="SAB199"/>
      <c r="SAC199"/>
      <c r="SAD199"/>
      <c r="SAE199"/>
      <c r="SAF199"/>
      <c r="SAG199"/>
      <c r="SAH199"/>
      <c r="SAI199"/>
      <c r="SAJ199"/>
      <c r="SAK199"/>
      <c r="SAL199"/>
      <c r="SAM199"/>
      <c r="SAN199"/>
      <c r="SAO199"/>
      <c r="SAP199"/>
      <c r="SAQ199"/>
      <c r="SAR199"/>
      <c r="SAS199"/>
      <c r="SAT199"/>
      <c r="SAU199"/>
      <c r="SAV199"/>
      <c r="SAW199"/>
      <c r="SAX199"/>
      <c r="SAY199"/>
      <c r="SAZ199"/>
      <c r="SBA199"/>
      <c r="SBB199"/>
      <c r="SBC199"/>
      <c r="SBD199"/>
      <c r="SBE199"/>
      <c r="SBF199"/>
      <c r="SBG199"/>
      <c r="SBH199"/>
      <c r="SBI199"/>
      <c r="SBJ199"/>
      <c r="SBK199"/>
      <c r="SBL199"/>
      <c r="SBM199"/>
      <c r="SBN199"/>
      <c r="SBO199"/>
      <c r="SBP199"/>
      <c r="SBQ199"/>
      <c r="SBR199"/>
      <c r="SBS199"/>
      <c r="SBT199"/>
      <c r="SBU199"/>
      <c r="SBV199"/>
      <c r="SBW199"/>
      <c r="SBX199"/>
      <c r="SBY199"/>
      <c r="SBZ199"/>
      <c r="SCA199"/>
      <c r="SCB199"/>
      <c r="SCC199"/>
      <c r="SCD199"/>
      <c r="SCE199"/>
      <c r="SCF199"/>
      <c r="SCG199"/>
      <c r="SCH199"/>
      <c r="SCI199"/>
      <c r="SCJ199"/>
      <c r="SCK199"/>
      <c r="SCL199"/>
      <c r="SCM199"/>
      <c r="SCN199"/>
      <c r="SCO199"/>
      <c r="SCP199"/>
      <c r="SCQ199"/>
      <c r="SCR199"/>
      <c r="SCS199"/>
      <c r="SCT199"/>
      <c r="SCU199"/>
      <c r="SCV199"/>
      <c r="SCW199"/>
      <c r="SCX199"/>
      <c r="SCY199"/>
      <c r="SCZ199"/>
      <c r="SDA199"/>
      <c r="SDB199"/>
      <c r="SDC199"/>
      <c r="SDD199"/>
      <c r="SDE199"/>
      <c r="SDF199"/>
      <c r="SDG199"/>
      <c r="SDH199"/>
      <c r="SDI199"/>
      <c r="SDJ199"/>
      <c r="SDK199"/>
      <c r="SDL199"/>
      <c r="SDM199"/>
      <c r="SDN199"/>
      <c r="SDO199"/>
      <c r="SDP199"/>
      <c r="SDQ199"/>
      <c r="SDR199"/>
      <c r="SDS199"/>
      <c r="SDT199"/>
      <c r="SDU199"/>
      <c r="SDV199"/>
      <c r="SDW199"/>
      <c r="SDX199"/>
      <c r="SDY199"/>
      <c r="SDZ199"/>
      <c r="SEA199"/>
      <c r="SEB199"/>
      <c r="SEC199"/>
      <c r="SED199"/>
      <c r="SEE199"/>
      <c r="SEF199"/>
      <c r="SEG199"/>
      <c r="SEH199"/>
      <c r="SEI199"/>
      <c r="SEJ199"/>
      <c r="SEK199"/>
      <c r="SEL199"/>
      <c r="SEM199"/>
      <c r="SEN199"/>
      <c r="SEO199"/>
      <c r="SEP199"/>
      <c r="SEQ199"/>
      <c r="SER199"/>
      <c r="SES199"/>
      <c r="SET199"/>
      <c r="SEU199"/>
      <c r="SEV199"/>
      <c r="SEW199"/>
      <c r="SEX199"/>
      <c r="SEY199"/>
      <c r="SEZ199"/>
      <c r="SFA199"/>
      <c r="SFB199"/>
      <c r="SFC199"/>
      <c r="SFD199"/>
      <c r="SFE199"/>
      <c r="SFF199"/>
      <c r="SFG199"/>
      <c r="SFH199"/>
      <c r="SFI199"/>
      <c r="SFJ199"/>
      <c r="SFK199"/>
      <c r="SFL199"/>
      <c r="SFM199"/>
      <c r="SFN199"/>
      <c r="SFO199"/>
      <c r="SFP199"/>
      <c r="SFQ199"/>
      <c r="SFR199"/>
      <c r="SFS199"/>
      <c r="SFT199"/>
      <c r="SFU199"/>
      <c r="SFV199"/>
      <c r="SFW199"/>
      <c r="SFX199"/>
      <c r="SFY199"/>
      <c r="SFZ199"/>
      <c r="SGA199"/>
      <c r="SGB199"/>
      <c r="SGC199"/>
      <c r="SGD199"/>
      <c r="SGE199"/>
      <c r="SGF199"/>
      <c r="SGG199"/>
      <c r="SGH199"/>
      <c r="SGI199"/>
      <c r="SGJ199"/>
      <c r="SGK199"/>
      <c r="SGL199"/>
      <c r="SGM199"/>
      <c r="SGN199"/>
      <c r="SGO199"/>
      <c r="SGP199"/>
      <c r="SGQ199"/>
      <c r="SGR199"/>
      <c r="SGS199"/>
      <c r="SGT199"/>
      <c r="SGU199"/>
      <c r="SGV199"/>
      <c r="SGW199"/>
      <c r="SGX199"/>
      <c r="SGY199"/>
      <c r="SGZ199"/>
      <c r="SHA199"/>
      <c r="SHB199"/>
      <c r="SHC199"/>
      <c r="SHD199"/>
      <c r="SHE199"/>
      <c r="SHF199"/>
      <c r="SHG199"/>
      <c r="SHH199"/>
      <c r="SHI199"/>
      <c r="SHJ199"/>
      <c r="SHK199"/>
      <c r="SHL199"/>
      <c r="SHM199"/>
      <c r="SHN199"/>
      <c r="SHO199"/>
      <c r="SHP199"/>
      <c r="SHQ199"/>
      <c r="SHR199"/>
      <c r="SHS199"/>
      <c r="SHT199"/>
      <c r="SHU199"/>
      <c r="SHV199"/>
      <c r="SHW199"/>
      <c r="SHX199"/>
      <c r="SHY199"/>
      <c r="SHZ199"/>
      <c r="SIA199"/>
      <c r="SIB199"/>
      <c r="SIC199"/>
      <c r="SID199"/>
      <c r="SIE199"/>
      <c r="SIF199"/>
      <c r="SIG199"/>
      <c r="SIH199"/>
      <c r="SII199"/>
      <c r="SIJ199"/>
      <c r="SIK199"/>
      <c r="SIL199"/>
      <c r="SIM199"/>
      <c r="SIN199"/>
      <c r="SIO199"/>
      <c r="SIP199"/>
      <c r="SIQ199"/>
      <c r="SIR199"/>
      <c r="SIS199"/>
      <c r="SIT199"/>
      <c r="SIU199"/>
      <c r="SIV199"/>
      <c r="SIW199"/>
      <c r="SIX199"/>
      <c r="SIY199"/>
      <c r="SIZ199"/>
      <c r="SJA199"/>
      <c r="SJB199"/>
      <c r="SJC199"/>
      <c r="SJD199"/>
      <c r="SJE199"/>
      <c r="SJF199"/>
      <c r="SJG199"/>
      <c r="SJH199"/>
      <c r="SJI199"/>
      <c r="SJJ199"/>
      <c r="SJK199"/>
      <c r="SJL199"/>
      <c r="SJM199"/>
      <c r="SJN199"/>
      <c r="SJO199"/>
      <c r="SJP199"/>
      <c r="SJQ199"/>
      <c r="SJR199"/>
      <c r="SJS199"/>
      <c r="SJT199"/>
      <c r="SJU199"/>
      <c r="SJV199"/>
      <c r="SJW199"/>
      <c r="SJX199"/>
      <c r="SJY199"/>
      <c r="SJZ199"/>
      <c r="SKA199"/>
      <c r="SKB199"/>
      <c r="SKC199"/>
      <c r="SKD199"/>
      <c r="SKE199"/>
      <c r="SKF199"/>
      <c r="SKG199"/>
      <c r="SKH199"/>
      <c r="SKI199"/>
      <c r="SKJ199"/>
      <c r="SKK199"/>
      <c r="SKL199"/>
      <c r="SKM199"/>
      <c r="SKN199"/>
      <c r="SKO199"/>
      <c r="SKP199"/>
      <c r="SKQ199"/>
      <c r="SKR199"/>
      <c r="SKS199"/>
      <c r="SKT199"/>
      <c r="SKU199"/>
      <c r="SKV199"/>
      <c r="SKW199"/>
      <c r="SKX199"/>
      <c r="SKY199"/>
      <c r="SKZ199"/>
      <c r="SLA199"/>
      <c r="SLB199"/>
      <c r="SLC199"/>
      <c r="SLD199"/>
      <c r="SLE199"/>
      <c r="SLF199"/>
      <c r="SLG199"/>
      <c r="SLH199"/>
      <c r="SLI199"/>
      <c r="SLJ199"/>
      <c r="SLK199"/>
      <c r="SLL199"/>
      <c r="SLM199"/>
      <c r="SLN199"/>
      <c r="SLO199"/>
      <c r="SLP199"/>
      <c r="SLQ199"/>
      <c r="SLR199"/>
      <c r="SLS199"/>
      <c r="SLT199"/>
      <c r="SLU199"/>
      <c r="SLV199"/>
      <c r="SLW199"/>
      <c r="SLX199"/>
      <c r="SLY199"/>
      <c r="SLZ199"/>
      <c r="SMA199"/>
      <c r="SMB199"/>
      <c r="SMC199"/>
      <c r="SMD199"/>
      <c r="SME199"/>
      <c r="SMF199"/>
      <c r="SMG199"/>
      <c r="SMH199"/>
      <c r="SMI199"/>
      <c r="SMJ199"/>
      <c r="SMK199"/>
      <c r="SML199"/>
      <c r="SMM199"/>
      <c r="SMN199"/>
      <c r="SMO199"/>
      <c r="SMP199"/>
      <c r="SMQ199"/>
      <c r="SMR199"/>
      <c r="SMS199"/>
      <c r="SMT199"/>
      <c r="SMU199"/>
      <c r="SMV199"/>
      <c r="SMW199"/>
      <c r="SMX199"/>
      <c r="SMY199"/>
      <c r="SMZ199"/>
      <c r="SNA199"/>
      <c r="SNB199"/>
      <c r="SNC199"/>
      <c r="SND199"/>
      <c r="SNE199"/>
      <c r="SNF199"/>
      <c r="SNG199"/>
      <c r="SNH199"/>
      <c r="SNI199"/>
      <c r="SNJ199"/>
      <c r="SNK199"/>
      <c r="SNL199"/>
      <c r="SNM199"/>
      <c r="SNN199"/>
      <c r="SNO199"/>
      <c r="SNP199"/>
      <c r="SNQ199"/>
      <c r="SNR199"/>
      <c r="SNS199"/>
      <c r="SNT199"/>
      <c r="SNU199"/>
      <c r="SNV199"/>
      <c r="SNW199"/>
      <c r="SNX199"/>
      <c r="SNY199"/>
      <c r="SNZ199"/>
      <c r="SOA199"/>
      <c r="SOB199"/>
      <c r="SOC199"/>
      <c r="SOD199"/>
      <c r="SOE199"/>
      <c r="SOF199"/>
      <c r="SOG199"/>
      <c r="SOH199"/>
      <c r="SOI199"/>
      <c r="SOJ199"/>
      <c r="SOK199"/>
      <c r="SOL199"/>
      <c r="SOM199"/>
      <c r="SON199"/>
      <c r="SOO199"/>
      <c r="SOP199"/>
      <c r="SOQ199"/>
      <c r="SOR199"/>
      <c r="SOS199"/>
      <c r="SOT199"/>
      <c r="SOU199"/>
      <c r="SOV199"/>
      <c r="SOW199"/>
      <c r="SOX199"/>
      <c r="SOY199"/>
      <c r="SOZ199"/>
      <c r="SPA199"/>
      <c r="SPB199"/>
      <c r="SPC199"/>
      <c r="SPD199"/>
      <c r="SPE199"/>
      <c r="SPF199"/>
      <c r="SPG199"/>
      <c r="SPH199"/>
      <c r="SPI199"/>
      <c r="SPJ199"/>
      <c r="SPK199"/>
      <c r="SPL199"/>
      <c r="SPM199"/>
      <c r="SPN199"/>
      <c r="SPO199"/>
      <c r="SPP199"/>
      <c r="SPQ199"/>
      <c r="SPR199"/>
      <c r="SPS199"/>
      <c r="SPT199"/>
      <c r="SPU199"/>
      <c r="SPV199"/>
      <c r="SPW199"/>
      <c r="SPX199"/>
      <c r="SPY199"/>
      <c r="SPZ199"/>
      <c r="SQA199"/>
      <c r="SQB199"/>
      <c r="SQC199"/>
      <c r="SQD199"/>
      <c r="SQE199"/>
      <c r="SQF199"/>
      <c r="SQG199"/>
      <c r="SQH199"/>
      <c r="SQI199"/>
      <c r="SQJ199"/>
      <c r="SQK199"/>
      <c r="SQL199"/>
      <c r="SQM199"/>
      <c r="SQN199"/>
      <c r="SQO199"/>
      <c r="SQP199"/>
      <c r="SQQ199"/>
      <c r="SQR199"/>
      <c r="SQS199"/>
      <c r="SQT199"/>
      <c r="SQU199"/>
      <c r="SQV199"/>
      <c r="SQW199"/>
      <c r="SQX199"/>
      <c r="SQY199"/>
      <c r="SQZ199"/>
      <c r="SRA199"/>
      <c r="SRB199"/>
      <c r="SRC199"/>
      <c r="SRD199"/>
      <c r="SRE199"/>
      <c r="SRF199"/>
      <c r="SRG199"/>
      <c r="SRH199"/>
      <c r="SRI199"/>
      <c r="SRJ199"/>
      <c r="SRK199"/>
      <c r="SRL199"/>
      <c r="SRM199"/>
      <c r="SRN199"/>
      <c r="SRO199"/>
      <c r="SRP199"/>
      <c r="SRQ199"/>
      <c r="SRR199"/>
      <c r="SRS199"/>
      <c r="SRT199"/>
      <c r="SRU199"/>
      <c r="SRV199"/>
      <c r="SRW199"/>
      <c r="SRX199"/>
      <c r="SRY199"/>
      <c r="SRZ199"/>
      <c r="SSA199"/>
      <c r="SSB199"/>
      <c r="SSC199"/>
      <c r="SSD199"/>
      <c r="SSE199"/>
      <c r="SSF199"/>
      <c r="SSG199"/>
      <c r="SSH199"/>
      <c r="SSI199"/>
      <c r="SSJ199"/>
      <c r="SSK199"/>
      <c r="SSL199"/>
      <c r="SSM199"/>
      <c r="SSN199"/>
      <c r="SSO199"/>
      <c r="SSP199"/>
      <c r="SSQ199"/>
      <c r="SSR199"/>
      <c r="SSS199"/>
      <c r="SST199"/>
      <c r="SSU199"/>
      <c r="SSV199"/>
      <c r="SSW199"/>
      <c r="SSX199"/>
      <c r="SSY199"/>
      <c r="SSZ199"/>
      <c r="STA199"/>
      <c r="STB199"/>
      <c r="STC199"/>
      <c r="STD199"/>
      <c r="STE199"/>
      <c r="STF199"/>
      <c r="STG199"/>
      <c r="STH199"/>
      <c r="STI199"/>
      <c r="STJ199"/>
      <c r="STK199"/>
      <c r="STL199"/>
      <c r="STM199"/>
      <c r="STN199"/>
      <c r="STO199"/>
      <c r="STP199"/>
      <c r="STQ199"/>
      <c r="STR199"/>
      <c r="STS199"/>
      <c r="STT199"/>
      <c r="STU199"/>
      <c r="STV199"/>
      <c r="STW199"/>
      <c r="STX199"/>
      <c r="STY199"/>
      <c r="STZ199"/>
      <c r="SUA199"/>
      <c r="SUB199"/>
      <c r="SUC199"/>
      <c r="SUD199"/>
      <c r="SUE199"/>
      <c r="SUF199"/>
      <c r="SUG199"/>
      <c r="SUH199"/>
      <c r="SUI199"/>
      <c r="SUJ199"/>
      <c r="SUK199"/>
      <c r="SUL199"/>
      <c r="SUM199"/>
      <c r="SUN199"/>
      <c r="SUO199"/>
      <c r="SUP199"/>
      <c r="SUQ199"/>
      <c r="SUR199"/>
      <c r="SUS199"/>
      <c r="SUT199"/>
      <c r="SUU199"/>
      <c r="SUV199"/>
      <c r="SUW199"/>
      <c r="SUX199"/>
      <c r="SUY199"/>
      <c r="SUZ199"/>
      <c r="SVA199"/>
      <c r="SVB199"/>
      <c r="SVC199"/>
      <c r="SVD199"/>
      <c r="SVE199"/>
      <c r="SVF199"/>
      <c r="SVG199"/>
      <c r="SVH199"/>
      <c r="SVI199"/>
      <c r="SVJ199"/>
      <c r="SVK199"/>
      <c r="SVL199"/>
      <c r="SVM199"/>
      <c r="SVN199"/>
      <c r="SVO199"/>
      <c r="SVP199"/>
      <c r="SVQ199"/>
      <c r="SVR199"/>
      <c r="SVS199"/>
      <c r="SVT199"/>
      <c r="SVU199"/>
      <c r="SVV199"/>
      <c r="SVW199"/>
      <c r="SVX199"/>
      <c r="SVY199"/>
      <c r="SVZ199"/>
      <c r="SWA199"/>
      <c r="SWB199"/>
      <c r="SWC199"/>
      <c r="SWD199"/>
      <c r="SWE199"/>
      <c r="SWF199"/>
      <c r="SWG199"/>
      <c r="SWH199"/>
      <c r="SWI199"/>
      <c r="SWJ199"/>
      <c r="SWK199"/>
      <c r="SWL199"/>
      <c r="SWM199"/>
      <c r="SWN199"/>
      <c r="SWO199"/>
      <c r="SWP199"/>
      <c r="SWQ199"/>
      <c r="SWR199"/>
      <c r="SWS199"/>
      <c r="SWT199"/>
      <c r="SWU199"/>
      <c r="SWV199"/>
      <c r="SWW199"/>
      <c r="SWX199"/>
      <c r="SWY199"/>
      <c r="SWZ199"/>
      <c r="SXA199"/>
      <c r="SXB199"/>
      <c r="SXC199"/>
      <c r="SXD199"/>
      <c r="SXE199"/>
      <c r="SXF199"/>
      <c r="SXG199"/>
      <c r="SXH199"/>
      <c r="SXI199"/>
      <c r="SXJ199"/>
      <c r="SXK199"/>
      <c r="SXL199"/>
      <c r="SXM199"/>
      <c r="SXN199"/>
      <c r="SXO199"/>
      <c r="SXP199"/>
      <c r="SXQ199"/>
      <c r="SXR199"/>
      <c r="SXS199"/>
      <c r="SXT199"/>
      <c r="SXU199"/>
      <c r="SXV199"/>
      <c r="SXW199"/>
      <c r="SXX199"/>
      <c r="SXY199"/>
      <c r="SXZ199"/>
      <c r="SYA199"/>
      <c r="SYB199"/>
      <c r="SYC199"/>
      <c r="SYD199"/>
      <c r="SYE199"/>
      <c r="SYF199"/>
      <c r="SYG199"/>
      <c r="SYH199"/>
      <c r="SYI199"/>
      <c r="SYJ199"/>
      <c r="SYK199"/>
      <c r="SYL199"/>
      <c r="SYM199"/>
      <c r="SYN199"/>
      <c r="SYO199"/>
      <c r="SYP199"/>
      <c r="SYQ199"/>
      <c r="SYR199"/>
      <c r="SYS199"/>
      <c r="SYT199"/>
      <c r="SYU199"/>
      <c r="SYV199"/>
      <c r="SYW199"/>
      <c r="SYX199"/>
      <c r="SYY199"/>
      <c r="SYZ199"/>
      <c r="SZA199"/>
      <c r="SZB199"/>
      <c r="SZC199"/>
      <c r="SZD199"/>
      <c r="SZE199"/>
      <c r="SZF199"/>
      <c r="SZG199"/>
      <c r="SZH199"/>
      <c r="SZI199"/>
      <c r="SZJ199"/>
      <c r="SZK199"/>
      <c r="SZL199"/>
      <c r="SZM199"/>
      <c r="SZN199"/>
      <c r="SZO199"/>
      <c r="SZP199"/>
      <c r="SZQ199"/>
      <c r="SZR199"/>
      <c r="SZS199"/>
      <c r="SZT199"/>
      <c r="SZU199"/>
      <c r="SZV199"/>
      <c r="SZW199"/>
      <c r="SZX199"/>
      <c r="SZY199"/>
      <c r="SZZ199"/>
      <c r="TAA199"/>
      <c r="TAB199"/>
      <c r="TAC199"/>
      <c r="TAD199"/>
      <c r="TAE199"/>
      <c r="TAF199"/>
      <c r="TAG199"/>
      <c r="TAH199"/>
      <c r="TAI199"/>
      <c r="TAJ199"/>
      <c r="TAK199"/>
      <c r="TAL199"/>
      <c r="TAM199"/>
      <c r="TAN199"/>
      <c r="TAO199"/>
      <c r="TAP199"/>
      <c r="TAQ199"/>
      <c r="TAR199"/>
      <c r="TAS199"/>
      <c r="TAT199"/>
      <c r="TAU199"/>
      <c r="TAV199"/>
      <c r="TAW199"/>
      <c r="TAX199"/>
      <c r="TAY199"/>
      <c r="TAZ199"/>
      <c r="TBA199"/>
      <c r="TBB199"/>
      <c r="TBC199"/>
      <c r="TBD199"/>
      <c r="TBE199"/>
      <c r="TBF199"/>
      <c r="TBG199"/>
      <c r="TBH199"/>
      <c r="TBI199"/>
      <c r="TBJ199"/>
      <c r="TBK199"/>
      <c r="TBL199"/>
      <c r="TBM199"/>
      <c r="TBN199"/>
      <c r="TBO199"/>
      <c r="TBP199"/>
      <c r="TBQ199"/>
      <c r="TBR199"/>
      <c r="TBS199"/>
      <c r="TBT199"/>
      <c r="TBU199"/>
      <c r="TBV199"/>
      <c r="TBW199"/>
      <c r="TBX199"/>
      <c r="TBY199"/>
      <c r="TBZ199"/>
      <c r="TCA199"/>
      <c r="TCB199"/>
      <c r="TCC199"/>
      <c r="TCD199"/>
      <c r="TCE199"/>
      <c r="TCF199"/>
      <c r="TCG199"/>
      <c r="TCH199"/>
      <c r="TCI199"/>
      <c r="TCJ199"/>
      <c r="TCK199"/>
      <c r="TCL199"/>
      <c r="TCM199"/>
      <c r="TCN199"/>
      <c r="TCO199"/>
      <c r="TCP199"/>
      <c r="TCQ199"/>
      <c r="TCR199"/>
      <c r="TCS199"/>
      <c r="TCT199"/>
      <c r="TCU199"/>
      <c r="TCV199"/>
      <c r="TCW199"/>
      <c r="TCX199"/>
      <c r="TCY199"/>
      <c r="TCZ199"/>
      <c r="TDA199"/>
      <c r="TDB199"/>
      <c r="TDC199"/>
      <c r="TDD199"/>
      <c r="TDE199"/>
      <c r="TDF199"/>
      <c r="TDG199"/>
      <c r="TDH199"/>
      <c r="TDI199"/>
      <c r="TDJ199"/>
      <c r="TDK199"/>
      <c r="TDL199"/>
      <c r="TDM199"/>
      <c r="TDN199"/>
      <c r="TDO199"/>
      <c r="TDP199"/>
      <c r="TDQ199"/>
      <c r="TDR199"/>
      <c r="TDS199"/>
      <c r="TDT199"/>
      <c r="TDU199"/>
      <c r="TDV199"/>
      <c r="TDW199"/>
      <c r="TDX199"/>
      <c r="TDY199"/>
      <c r="TDZ199"/>
      <c r="TEA199"/>
      <c r="TEB199"/>
      <c r="TEC199"/>
      <c r="TED199"/>
      <c r="TEE199"/>
      <c r="TEF199"/>
      <c r="TEG199"/>
      <c r="TEH199"/>
      <c r="TEI199"/>
      <c r="TEJ199"/>
      <c r="TEK199"/>
      <c r="TEL199"/>
      <c r="TEM199"/>
      <c r="TEN199"/>
      <c r="TEO199"/>
      <c r="TEP199"/>
      <c r="TEQ199"/>
      <c r="TER199"/>
      <c r="TES199"/>
      <c r="TET199"/>
      <c r="TEU199"/>
      <c r="TEV199"/>
      <c r="TEW199"/>
      <c r="TEX199"/>
      <c r="TEY199"/>
      <c r="TEZ199"/>
      <c r="TFA199"/>
      <c r="TFB199"/>
      <c r="TFC199"/>
      <c r="TFD199"/>
      <c r="TFE199"/>
      <c r="TFF199"/>
      <c r="TFG199"/>
      <c r="TFH199"/>
      <c r="TFI199"/>
      <c r="TFJ199"/>
      <c r="TFK199"/>
      <c r="TFL199"/>
      <c r="TFM199"/>
      <c r="TFN199"/>
      <c r="TFO199"/>
      <c r="TFP199"/>
      <c r="TFQ199"/>
      <c r="TFR199"/>
      <c r="TFS199"/>
      <c r="TFT199"/>
      <c r="TFU199"/>
      <c r="TFV199"/>
      <c r="TFW199"/>
      <c r="TFX199"/>
      <c r="TFY199"/>
      <c r="TFZ199"/>
      <c r="TGA199"/>
      <c r="TGB199"/>
      <c r="TGC199"/>
      <c r="TGD199"/>
      <c r="TGE199"/>
      <c r="TGF199"/>
      <c r="TGG199"/>
      <c r="TGH199"/>
      <c r="TGI199"/>
      <c r="TGJ199"/>
      <c r="TGK199"/>
      <c r="TGL199"/>
      <c r="TGM199"/>
      <c r="TGN199"/>
      <c r="TGO199"/>
      <c r="TGP199"/>
      <c r="TGQ199"/>
      <c r="TGR199"/>
      <c r="TGS199"/>
      <c r="TGT199"/>
      <c r="TGU199"/>
      <c r="TGV199"/>
      <c r="TGW199"/>
      <c r="TGX199"/>
      <c r="TGY199"/>
      <c r="TGZ199"/>
      <c r="THA199"/>
      <c r="THB199"/>
      <c r="THC199"/>
      <c r="THD199"/>
      <c r="THE199"/>
      <c r="THF199"/>
      <c r="THG199"/>
      <c r="THH199"/>
      <c r="THI199"/>
      <c r="THJ199"/>
      <c r="THK199"/>
      <c r="THL199"/>
      <c r="THM199"/>
      <c r="THN199"/>
      <c r="THO199"/>
      <c r="THP199"/>
      <c r="THQ199"/>
      <c r="THR199"/>
      <c r="THS199"/>
      <c r="THT199"/>
      <c r="THU199"/>
      <c r="THV199"/>
      <c r="THW199"/>
      <c r="THX199"/>
      <c r="THY199"/>
      <c r="THZ199"/>
      <c r="TIA199"/>
      <c r="TIB199"/>
      <c r="TIC199"/>
      <c r="TID199"/>
      <c r="TIE199"/>
      <c r="TIF199"/>
      <c r="TIG199"/>
      <c r="TIH199"/>
      <c r="TII199"/>
      <c r="TIJ199"/>
      <c r="TIK199"/>
      <c r="TIL199"/>
      <c r="TIM199"/>
      <c r="TIN199"/>
      <c r="TIO199"/>
      <c r="TIP199"/>
      <c r="TIQ199"/>
      <c r="TIR199"/>
      <c r="TIS199"/>
      <c r="TIT199"/>
      <c r="TIU199"/>
      <c r="TIV199"/>
      <c r="TIW199"/>
      <c r="TIX199"/>
      <c r="TIY199"/>
      <c r="TIZ199"/>
      <c r="TJA199"/>
      <c r="TJB199"/>
      <c r="TJC199"/>
      <c r="TJD199"/>
      <c r="TJE199"/>
      <c r="TJF199"/>
      <c r="TJG199"/>
      <c r="TJH199"/>
      <c r="TJI199"/>
      <c r="TJJ199"/>
      <c r="TJK199"/>
      <c r="TJL199"/>
      <c r="TJM199"/>
      <c r="TJN199"/>
      <c r="TJO199"/>
      <c r="TJP199"/>
      <c r="TJQ199"/>
      <c r="TJR199"/>
      <c r="TJS199"/>
      <c r="TJT199"/>
      <c r="TJU199"/>
      <c r="TJV199"/>
      <c r="TJW199"/>
      <c r="TJX199"/>
      <c r="TJY199"/>
      <c r="TJZ199"/>
      <c r="TKA199"/>
      <c r="TKB199"/>
      <c r="TKC199"/>
      <c r="TKD199"/>
      <c r="TKE199"/>
      <c r="TKF199"/>
      <c r="TKG199"/>
      <c r="TKH199"/>
      <c r="TKI199"/>
      <c r="TKJ199"/>
      <c r="TKK199"/>
      <c r="TKL199"/>
      <c r="TKM199"/>
      <c r="TKN199"/>
      <c r="TKO199"/>
      <c r="TKP199"/>
      <c r="TKQ199"/>
      <c r="TKR199"/>
      <c r="TKS199"/>
      <c r="TKT199"/>
      <c r="TKU199"/>
      <c r="TKV199"/>
      <c r="TKW199"/>
      <c r="TKX199"/>
      <c r="TKY199"/>
      <c r="TKZ199"/>
      <c r="TLA199"/>
      <c r="TLB199"/>
      <c r="TLC199"/>
      <c r="TLD199"/>
      <c r="TLE199"/>
      <c r="TLF199"/>
      <c r="TLG199"/>
      <c r="TLH199"/>
      <c r="TLI199"/>
      <c r="TLJ199"/>
      <c r="TLK199"/>
      <c r="TLL199"/>
      <c r="TLM199"/>
      <c r="TLN199"/>
      <c r="TLO199"/>
      <c r="TLP199"/>
      <c r="TLQ199"/>
      <c r="TLR199"/>
      <c r="TLS199"/>
      <c r="TLT199"/>
      <c r="TLU199"/>
      <c r="TLV199"/>
      <c r="TLW199"/>
      <c r="TLX199"/>
      <c r="TLY199"/>
      <c r="TLZ199"/>
      <c r="TMA199"/>
      <c r="TMB199"/>
      <c r="TMC199"/>
      <c r="TMD199"/>
      <c r="TME199"/>
      <c r="TMF199"/>
      <c r="TMG199"/>
      <c r="TMH199"/>
      <c r="TMI199"/>
      <c r="TMJ199"/>
      <c r="TMK199"/>
      <c r="TML199"/>
      <c r="TMM199"/>
      <c r="TMN199"/>
      <c r="TMO199"/>
      <c r="TMP199"/>
      <c r="TMQ199"/>
      <c r="TMR199"/>
      <c r="TMS199"/>
      <c r="TMT199"/>
      <c r="TMU199"/>
      <c r="TMV199"/>
      <c r="TMW199"/>
      <c r="TMX199"/>
      <c r="TMY199"/>
      <c r="TMZ199"/>
      <c r="TNA199"/>
      <c r="TNB199"/>
      <c r="TNC199"/>
      <c r="TND199"/>
      <c r="TNE199"/>
      <c r="TNF199"/>
      <c r="TNG199"/>
      <c r="TNH199"/>
      <c r="TNI199"/>
      <c r="TNJ199"/>
      <c r="TNK199"/>
      <c r="TNL199"/>
      <c r="TNM199"/>
      <c r="TNN199"/>
      <c r="TNO199"/>
      <c r="TNP199"/>
      <c r="TNQ199"/>
      <c r="TNR199"/>
      <c r="TNS199"/>
      <c r="TNT199"/>
      <c r="TNU199"/>
      <c r="TNV199"/>
      <c r="TNW199"/>
      <c r="TNX199"/>
      <c r="TNY199"/>
      <c r="TNZ199"/>
      <c r="TOA199"/>
      <c r="TOB199"/>
      <c r="TOC199"/>
      <c r="TOD199"/>
      <c r="TOE199"/>
      <c r="TOF199"/>
      <c r="TOG199"/>
      <c r="TOH199"/>
      <c r="TOI199"/>
      <c r="TOJ199"/>
      <c r="TOK199"/>
      <c r="TOL199"/>
      <c r="TOM199"/>
      <c r="TON199"/>
      <c r="TOO199"/>
      <c r="TOP199"/>
      <c r="TOQ199"/>
      <c r="TOR199"/>
      <c r="TOS199"/>
      <c r="TOT199"/>
      <c r="TOU199"/>
      <c r="TOV199"/>
      <c r="TOW199"/>
      <c r="TOX199"/>
      <c r="TOY199"/>
      <c r="TOZ199"/>
      <c r="TPA199"/>
      <c r="TPB199"/>
      <c r="TPC199"/>
      <c r="TPD199"/>
      <c r="TPE199"/>
      <c r="TPF199"/>
      <c r="TPG199"/>
      <c r="TPH199"/>
      <c r="TPI199"/>
      <c r="TPJ199"/>
      <c r="TPK199"/>
      <c r="TPL199"/>
      <c r="TPM199"/>
      <c r="TPN199"/>
      <c r="TPO199"/>
      <c r="TPP199"/>
      <c r="TPQ199"/>
      <c r="TPR199"/>
      <c r="TPS199"/>
      <c r="TPT199"/>
      <c r="TPU199"/>
      <c r="TPV199"/>
      <c r="TPW199"/>
      <c r="TPX199"/>
      <c r="TPY199"/>
      <c r="TPZ199"/>
      <c r="TQA199"/>
      <c r="TQB199"/>
      <c r="TQC199"/>
      <c r="TQD199"/>
      <c r="TQE199"/>
      <c r="TQF199"/>
      <c r="TQG199"/>
      <c r="TQH199"/>
      <c r="TQI199"/>
      <c r="TQJ199"/>
      <c r="TQK199"/>
      <c r="TQL199"/>
      <c r="TQM199"/>
      <c r="TQN199"/>
      <c r="TQO199"/>
      <c r="TQP199"/>
      <c r="TQQ199"/>
      <c r="TQR199"/>
      <c r="TQS199"/>
      <c r="TQT199"/>
      <c r="TQU199"/>
      <c r="TQV199"/>
      <c r="TQW199"/>
      <c r="TQX199"/>
      <c r="TQY199"/>
      <c r="TQZ199"/>
      <c r="TRA199"/>
      <c r="TRB199"/>
      <c r="TRC199"/>
      <c r="TRD199"/>
      <c r="TRE199"/>
      <c r="TRF199"/>
      <c r="TRG199"/>
      <c r="TRH199"/>
      <c r="TRI199"/>
      <c r="TRJ199"/>
      <c r="TRK199"/>
      <c r="TRL199"/>
      <c r="TRM199"/>
      <c r="TRN199"/>
      <c r="TRO199"/>
      <c r="TRP199"/>
      <c r="TRQ199"/>
      <c r="TRR199"/>
      <c r="TRS199"/>
      <c r="TRT199"/>
      <c r="TRU199"/>
      <c r="TRV199"/>
      <c r="TRW199"/>
      <c r="TRX199"/>
      <c r="TRY199"/>
      <c r="TRZ199"/>
      <c r="TSA199"/>
      <c r="TSB199"/>
      <c r="TSC199"/>
      <c r="TSD199"/>
      <c r="TSE199"/>
      <c r="TSF199"/>
      <c r="TSG199"/>
      <c r="TSH199"/>
      <c r="TSI199"/>
      <c r="TSJ199"/>
      <c r="TSK199"/>
      <c r="TSL199"/>
      <c r="TSM199"/>
      <c r="TSN199"/>
      <c r="TSO199"/>
      <c r="TSP199"/>
      <c r="TSQ199"/>
      <c r="TSR199"/>
      <c r="TSS199"/>
      <c r="TST199"/>
      <c r="TSU199"/>
      <c r="TSV199"/>
      <c r="TSW199"/>
      <c r="TSX199"/>
      <c r="TSY199"/>
      <c r="TSZ199"/>
      <c r="TTA199"/>
      <c r="TTB199"/>
      <c r="TTC199"/>
      <c r="TTD199"/>
      <c r="TTE199"/>
      <c r="TTF199"/>
      <c r="TTG199"/>
      <c r="TTH199"/>
      <c r="TTI199"/>
      <c r="TTJ199"/>
      <c r="TTK199"/>
      <c r="TTL199"/>
      <c r="TTM199"/>
      <c r="TTN199"/>
      <c r="TTO199"/>
      <c r="TTP199"/>
      <c r="TTQ199"/>
      <c r="TTR199"/>
      <c r="TTS199"/>
      <c r="TTT199"/>
      <c r="TTU199"/>
      <c r="TTV199"/>
      <c r="TTW199"/>
      <c r="TTX199"/>
      <c r="TTY199"/>
      <c r="TTZ199"/>
      <c r="TUA199"/>
      <c r="TUB199"/>
      <c r="TUC199"/>
      <c r="TUD199"/>
      <c r="TUE199"/>
      <c r="TUF199"/>
      <c r="TUG199"/>
      <c r="TUH199"/>
      <c r="TUI199"/>
      <c r="TUJ199"/>
      <c r="TUK199"/>
      <c r="TUL199"/>
      <c r="TUM199"/>
      <c r="TUN199"/>
      <c r="TUO199"/>
      <c r="TUP199"/>
      <c r="TUQ199"/>
      <c r="TUR199"/>
      <c r="TUS199"/>
      <c r="TUT199"/>
      <c r="TUU199"/>
      <c r="TUV199"/>
      <c r="TUW199"/>
      <c r="TUX199"/>
      <c r="TUY199"/>
      <c r="TUZ199"/>
      <c r="TVA199"/>
      <c r="TVB199"/>
      <c r="TVC199"/>
      <c r="TVD199"/>
      <c r="TVE199"/>
      <c r="TVF199"/>
      <c r="TVG199"/>
      <c r="TVH199"/>
      <c r="TVI199"/>
      <c r="TVJ199"/>
      <c r="TVK199"/>
      <c r="TVL199"/>
      <c r="TVM199"/>
      <c r="TVN199"/>
      <c r="TVO199"/>
      <c r="TVP199"/>
      <c r="TVQ199"/>
      <c r="TVR199"/>
      <c r="TVS199"/>
      <c r="TVT199"/>
      <c r="TVU199"/>
      <c r="TVV199"/>
      <c r="TVW199"/>
      <c r="TVX199"/>
      <c r="TVY199"/>
      <c r="TVZ199"/>
      <c r="TWA199"/>
      <c r="TWB199"/>
      <c r="TWC199"/>
      <c r="TWD199"/>
      <c r="TWE199"/>
      <c r="TWF199"/>
      <c r="TWG199"/>
      <c r="TWH199"/>
      <c r="TWI199"/>
      <c r="TWJ199"/>
      <c r="TWK199"/>
      <c r="TWL199"/>
      <c r="TWM199"/>
      <c r="TWN199"/>
      <c r="TWO199"/>
      <c r="TWP199"/>
      <c r="TWQ199"/>
      <c r="TWR199"/>
      <c r="TWS199"/>
      <c r="TWT199"/>
      <c r="TWU199"/>
      <c r="TWV199"/>
      <c r="TWW199"/>
      <c r="TWX199"/>
      <c r="TWY199"/>
      <c r="TWZ199"/>
      <c r="TXA199"/>
      <c r="TXB199"/>
      <c r="TXC199"/>
      <c r="TXD199"/>
      <c r="TXE199"/>
      <c r="TXF199"/>
      <c r="TXG199"/>
      <c r="TXH199"/>
      <c r="TXI199"/>
      <c r="TXJ199"/>
      <c r="TXK199"/>
      <c r="TXL199"/>
      <c r="TXM199"/>
      <c r="TXN199"/>
      <c r="TXO199"/>
      <c r="TXP199"/>
      <c r="TXQ199"/>
      <c r="TXR199"/>
      <c r="TXS199"/>
      <c r="TXT199"/>
      <c r="TXU199"/>
      <c r="TXV199"/>
      <c r="TXW199"/>
      <c r="TXX199"/>
      <c r="TXY199"/>
      <c r="TXZ199"/>
      <c r="TYA199"/>
      <c r="TYB199"/>
      <c r="TYC199"/>
      <c r="TYD199"/>
      <c r="TYE199"/>
      <c r="TYF199"/>
      <c r="TYG199"/>
      <c r="TYH199"/>
      <c r="TYI199"/>
      <c r="TYJ199"/>
      <c r="TYK199"/>
      <c r="TYL199"/>
      <c r="TYM199"/>
      <c r="TYN199"/>
      <c r="TYO199"/>
      <c r="TYP199"/>
      <c r="TYQ199"/>
      <c r="TYR199"/>
      <c r="TYS199"/>
      <c r="TYT199"/>
      <c r="TYU199"/>
      <c r="TYV199"/>
      <c r="TYW199"/>
      <c r="TYX199"/>
      <c r="TYY199"/>
      <c r="TYZ199"/>
      <c r="TZA199"/>
      <c r="TZB199"/>
      <c r="TZC199"/>
      <c r="TZD199"/>
      <c r="TZE199"/>
      <c r="TZF199"/>
      <c r="TZG199"/>
      <c r="TZH199"/>
      <c r="TZI199"/>
      <c r="TZJ199"/>
      <c r="TZK199"/>
      <c r="TZL199"/>
      <c r="TZM199"/>
      <c r="TZN199"/>
      <c r="TZO199"/>
      <c r="TZP199"/>
      <c r="TZQ199"/>
      <c r="TZR199"/>
      <c r="TZS199"/>
      <c r="TZT199"/>
      <c r="TZU199"/>
      <c r="TZV199"/>
      <c r="TZW199"/>
      <c r="TZX199"/>
      <c r="TZY199"/>
      <c r="TZZ199"/>
      <c r="UAA199"/>
      <c r="UAB199"/>
      <c r="UAC199"/>
      <c r="UAD199"/>
      <c r="UAE199"/>
      <c r="UAF199"/>
      <c r="UAG199"/>
      <c r="UAH199"/>
      <c r="UAI199"/>
      <c r="UAJ199"/>
      <c r="UAK199"/>
      <c r="UAL199"/>
      <c r="UAM199"/>
      <c r="UAN199"/>
      <c r="UAO199"/>
      <c r="UAP199"/>
      <c r="UAQ199"/>
      <c r="UAR199"/>
      <c r="UAS199"/>
      <c r="UAT199"/>
      <c r="UAU199"/>
      <c r="UAV199"/>
      <c r="UAW199"/>
      <c r="UAX199"/>
      <c r="UAY199"/>
      <c r="UAZ199"/>
      <c r="UBA199"/>
      <c r="UBB199"/>
      <c r="UBC199"/>
      <c r="UBD199"/>
      <c r="UBE199"/>
      <c r="UBF199"/>
      <c r="UBG199"/>
      <c r="UBH199"/>
      <c r="UBI199"/>
      <c r="UBJ199"/>
      <c r="UBK199"/>
      <c r="UBL199"/>
      <c r="UBM199"/>
      <c r="UBN199"/>
      <c r="UBO199"/>
      <c r="UBP199"/>
      <c r="UBQ199"/>
      <c r="UBR199"/>
      <c r="UBS199"/>
      <c r="UBT199"/>
      <c r="UBU199"/>
      <c r="UBV199"/>
      <c r="UBW199"/>
      <c r="UBX199"/>
      <c r="UBY199"/>
      <c r="UBZ199"/>
      <c r="UCA199"/>
      <c r="UCB199"/>
      <c r="UCC199"/>
      <c r="UCD199"/>
      <c r="UCE199"/>
      <c r="UCF199"/>
      <c r="UCG199"/>
      <c r="UCH199"/>
      <c r="UCI199"/>
      <c r="UCJ199"/>
      <c r="UCK199"/>
      <c r="UCL199"/>
      <c r="UCM199"/>
      <c r="UCN199"/>
      <c r="UCO199"/>
      <c r="UCP199"/>
      <c r="UCQ199"/>
      <c r="UCR199"/>
      <c r="UCS199"/>
      <c r="UCT199"/>
      <c r="UCU199"/>
      <c r="UCV199"/>
      <c r="UCW199"/>
      <c r="UCX199"/>
      <c r="UCY199"/>
      <c r="UCZ199"/>
      <c r="UDA199"/>
      <c r="UDB199"/>
      <c r="UDC199"/>
      <c r="UDD199"/>
      <c r="UDE199"/>
      <c r="UDF199"/>
      <c r="UDG199"/>
      <c r="UDH199"/>
      <c r="UDI199"/>
      <c r="UDJ199"/>
      <c r="UDK199"/>
      <c r="UDL199"/>
      <c r="UDM199"/>
      <c r="UDN199"/>
      <c r="UDO199"/>
      <c r="UDP199"/>
      <c r="UDQ199"/>
      <c r="UDR199"/>
      <c r="UDS199"/>
      <c r="UDT199"/>
      <c r="UDU199"/>
      <c r="UDV199"/>
      <c r="UDW199"/>
      <c r="UDX199"/>
      <c r="UDY199"/>
      <c r="UDZ199"/>
      <c r="UEA199"/>
      <c r="UEB199"/>
      <c r="UEC199"/>
      <c r="UED199"/>
      <c r="UEE199"/>
      <c r="UEF199"/>
      <c r="UEG199"/>
      <c r="UEH199"/>
      <c r="UEI199"/>
      <c r="UEJ199"/>
      <c r="UEK199"/>
      <c r="UEL199"/>
      <c r="UEM199"/>
      <c r="UEN199"/>
      <c r="UEO199"/>
      <c r="UEP199"/>
      <c r="UEQ199"/>
      <c r="UER199"/>
      <c r="UES199"/>
      <c r="UET199"/>
      <c r="UEU199"/>
      <c r="UEV199"/>
      <c r="UEW199"/>
      <c r="UEX199"/>
      <c r="UEY199"/>
      <c r="UEZ199"/>
      <c r="UFA199"/>
      <c r="UFB199"/>
      <c r="UFC199"/>
      <c r="UFD199"/>
      <c r="UFE199"/>
      <c r="UFF199"/>
      <c r="UFG199"/>
      <c r="UFH199"/>
      <c r="UFI199"/>
      <c r="UFJ199"/>
      <c r="UFK199"/>
      <c r="UFL199"/>
      <c r="UFM199"/>
      <c r="UFN199"/>
      <c r="UFO199"/>
      <c r="UFP199"/>
      <c r="UFQ199"/>
      <c r="UFR199"/>
      <c r="UFS199"/>
      <c r="UFT199"/>
      <c r="UFU199"/>
      <c r="UFV199"/>
      <c r="UFW199"/>
      <c r="UFX199"/>
      <c r="UFY199"/>
      <c r="UFZ199"/>
      <c r="UGA199"/>
      <c r="UGB199"/>
      <c r="UGC199"/>
      <c r="UGD199"/>
      <c r="UGE199"/>
      <c r="UGF199"/>
      <c r="UGG199"/>
      <c r="UGH199"/>
      <c r="UGI199"/>
      <c r="UGJ199"/>
      <c r="UGK199"/>
      <c r="UGL199"/>
      <c r="UGM199"/>
      <c r="UGN199"/>
      <c r="UGO199"/>
      <c r="UGP199"/>
      <c r="UGQ199"/>
      <c r="UGR199"/>
      <c r="UGS199"/>
      <c r="UGT199"/>
      <c r="UGU199"/>
      <c r="UGV199"/>
      <c r="UGW199"/>
      <c r="UGX199"/>
      <c r="UGY199"/>
      <c r="UGZ199"/>
      <c r="UHA199"/>
      <c r="UHB199"/>
      <c r="UHC199"/>
      <c r="UHD199"/>
      <c r="UHE199"/>
      <c r="UHF199"/>
      <c r="UHG199"/>
      <c r="UHH199"/>
      <c r="UHI199"/>
      <c r="UHJ199"/>
      <c r="UHK199"/>
      <c r="UHL199"/>
      <c r="UHM199"/>
      <c r="UHN199"/>
      <c r="UHO199"/>
      <c r="UHP199"/>
      <c r="UHQ199"/>
      <c r="UHR199"/>
      <c r="UHS199"/>
      <c r="UHT199"/>
      <c r="UHU199"/>
      <c r="UHV199"/>
      <c r="UHW199"/>
      <c r="UHX199"/>
      <c r="UHY199"/>
      <c r="UHZ199"/>
      <c r="UIA199"/>
      <c r="UIB199"/>
      <c r="UIC199"/>
      <c r="UID199"/>
      <c r="UIE199"/>
      <c r="UIF199"/>
      <c r="UIG199"/>
      <c r="UIH199"/>
      <c r="UII199"/>
      <c r="UIJ199"/>
      <c r="UIK199"/>
      <c r="UIL199"/>
      <c r="UIM199"/>
      <c r="UIN199"/>
      <c r="UIO199"/>
      <c r="UIP199"/>
      <c r="UIQ199"/>
      <c r="UIR199"/>
      <c r="UIS199"/>
      <c r="UIT199"/>
      <c r="UIU199"/>
      <c r="UIV199"/>
      <c r="UIW199"/>
      <c r="UIX199"/>
      <c r="UIY199"/>
      <c r="UIZ199"/>
      <c r="UJA199"/>
      <c r="UJB199"/>
      <c r="UJC199"/>
      <c r="UJD199"/>
      <c r="UJE199"/>
      <c r="UJF199"/>
      <c r="UJG199"/>
      <c r="UJH199"/>
      <c r="UJI199"/>
      <c r="UJJ199"/>
      <c r="UJK199"/>
      <c r="UJL199"/>
      <c r="UJM199"/>
      <c r="UJN199"/>
      <c r="UJO199"/>
      <c r="UJP199"/>
      <c r="UJQ199"/>
      <c r="UJR199"/>
      <c r="UJS199"/>
      <c r="UJT199"/>
      <c r="UJU199"/>
      <c r="UJV199"/>
      <c r="UJW199"/>
      <c r="UJX199"/>
      <c r="UJY199"/>
      <c r="UJZ199"/>
      <c r="UKA199"/>
      <c r="UKB199"/>
      <c r="UKC199"/>
      <c r="UKD199"/>
      <c r="UKE199"/>
      <c r="UKF199"/>
      <c r="UKG199"/>
      <c r="UKH199"/>
      <c r="UKI199"/>
      <c r="UKJ199"/>
      <c r="UKK199"/>
      <c r="UKL199"/>
      <c r="UKM199"/>
      <c r="UKN199"/>
      <c r="UKO199"/>
      <c r="UKP199"/>
      <c r="UKQ199"/>
      <c r="UKR199"/>
      <c r="UKS199"/>
      <c r="UKT199"/>
      <c r="UKU199"/>
      <c r="UKV199"/>
      <c r="UKW199"/>
      <c r="UKX199"/>
      <c r="UKY199"/>
      <c r="UKZ199"/>
      <c r="ULA199"/>
      <c r="ULB199"/>
      <c r="ULC199"/>
      <c r="ULD199"/>
      <c r="ULE199"/>
      <c r="ULF199"/>
      <c r="ULG199"/>
      <c r="ULH199"/>
      <c r="ULI199"/>
      <c r="ULJ199"/>
      <c r="ULK199"/>
      <c r="ULL199"/>
      <c r="ULM199"/>
      <c r="ULN199"/>
      <c r="ULO199"/>
      <c r="ULP199"/>
      <c r="ULQ199"/>
      <c r="ULR199"/>
      <c r="ULS199"/>
      <c r="ULT199"/>
      <c r="ULU199"/>
      <c r="ULV199"/>
      <c r="ULW199"/>
      <c r="ULX199"/>
      <c r="ULY199"/>
      <c r="ULZ199"/>
      <c r="UMA199"/>
      <c r="UMB199"/>
      <c r="UMC199"/>
      <c r="UMD199"/>
      <c r="UME199"/>
      <c r="UMF199"/>
      <c r="UMG199"/>
      <c r="UMH199"/>
      <c r="UMI199"/>
      <c r="UMJ199"/>
      <c r="UMK199"/>
      <c r="UML199"/>
      <c r="UMM199"/>
      <c r="UMN199"/>
      <c r="UMO199"/>
      <c r="UMP199"/>
      <c r="UMQ199"/>
      <c r="UMR199"/>
      <c r="UMS199"/>
      <c r="UMT199"/>
      <c r="UMU199"/>
      <c r="UMV199"/>
      <c r="UMW199"/>
      <c r="UMX199"/>
      <c r="UMY199"/>
      <c r="UMZ199"/>
      <c r="UNA199"/>
      <c r="UNB199"/>
      <c r="UNC199"/>
      <c r="UND199"/>
      <c r="UNE199"/>
      <c r="UNF199"/>
      <c r="UNG199"/>
      <c r="UNH199"/>
      <c r="UNI199"/>
      <c r="UNJ199"/>
      <c r="UNK199"/>
      <c r="UNL199"/>
      <c r="UNM199"/>
      <c r="UNN199"/>
      <c r="UNO199"/>
      <c r="UNP199"/>
      <c r="UNQ199"/>
      <c r="UNR199"/>
      <c r="UNS199"/>
      <c r="UNT199"/>
      <c r="UNU199"/>
      <c r="UNV199"/>
      <c r="UNW199"/>
      <c r="UNX199"/>
      <c r="UNY199"/>
      <c r="UNZ199"/>
      <c r="UOA199"/>
      <c r="UOB199"/>
      <c r="UOC199"/>
      <c r="UOD199"/>
      <c r="UOE199"/>
      <c r="UOF199"/>
      <c r="UOG199"/>
      <c r="UOH199"/>
      <c r="UOI199"/>
      <c r="UOJ199"/>
      <c r="UOK199"/>
      <c r="UOL199"/>
      <c r="UOM199"/>
      <c r="UON199"/>
      <c r="UOO199"/>
      <c r="UOP199"/>
      <c r="UOQ199"/>
      <c r="UOR199"/>
      <c r="UOS199"/>
      <c r="UOT199"/>
      <c r="UOU199"/>
      <c r="UOV199"/>
      <c r="UOW199"/>
      <c r="UOX199"/>
      <c r="UOY199"/>
      <c r="UOZ199"/>
      <c r="UPA199"/>
      <c r="UPB199"/>
      <c r="UPC199"/>
      <c r="UPD199"/>
      <c r="UPE199"/>
      <c r="UPF199"/>
      <c r="UPG199"/>
      <c r="UPH199"/>
      <c r="UPI199"/>
      <c r="UPJ199"/>
      <c r="UPK199"/>
      <c r="UPL199"/>
      <c r="UPM199"/>
      <c r="UPN199"/>
      <c r="UPO199"/>
      <c r="UPP199"/>
      <c r="UPQ199"/>
      <c r="UPR199"/>
      <c r="UPS199"/>
      <c r="UPT199"/>
      <c r="UPU199"/>
      <c r="UPV199"/>
      <c r="UPW199"/>
      <c r="UPX199"/>
      <c r="UPY199"/>
      <c r="UPZ199"/>
      <c r="UQA199"/>
      <c r="UQB199"/>
      <c r="UQC199"/>
      <c r="UQD199"/>
      <c r="UQE199"/>
      <c r="UQF199"/>
      <c r="UQG199"/>
      <c r="UQH199"/>
      <c r="UQI199"/>
      <c r="UQJ199"/>
      <c r="UQK199"/>
      <c r="UQL199"/>
      <c r="UQM199"/>
      <c r="UQN199"/>
      <c r="UQO199"/>
      <c r="UQP199"/>
      <c r="UQQ199"/>
      <c r="UQR199"/>
      <c r="UQS199"/>
      <c r="UQT199"/>
      <c r="UQU199"/>
      <c r="UQV199"/>
      <c r="UQW199"/>
      <c r="UQX199"/>
      <c r="UQY199"/>
      <c r="UQZ199"/>
      <c r="URA199"/>
      <c r="URB199"/>
      <c r="URC199"/>
      <c r="URD199"/>
      <c r="URE199"/>
      <c r="URF199"/>
      <c r="URG199"/>
      <c r="URH199"/>
      <c r="URI199"/>
      <c r="URJ199"/>
      <c r="URK199"/>
      <c r="URL199"/>
      <c r="URM199"/>
      <c r="URN199"/>
      <c r="URO199"/>
      <c r="URP199"/>
      <c r="URQ199"/>
      <c r="URR199"/>
      <c r="URS199"/>
      <c r="URT199"/>
      <c r="URU199"/>
      <c r="URV199"/>
      <c r="URW199"/>
      <c r="URX199"/>
      <c r="URY199"/>
      <c r="URZ199"/>
      <c r="USA199"/>
      <c r="USB199"/>
      <c r="USC199"/>
      <c r="USD199"/>
      <c r="USE199"/>
      <c r="USF199"/>
      <c r="USG199"/>
      <c r="USH199"/>
      <c r="USI199"/>
      <c r="USJ199"/>
      <c r="USK199"/>
      <c r="USL199"/>
      <c r="USM199"/>
      <c r="USN199"/>
      <c r="USO199"/>
      <c r="USP199"/>
      <c r="USQ199"/>
      <c r="USR199"/>
      <c r="USS199"/>
      <c r="UST199"/>
      <c r="USU199"/>
      <c r="USV199"/>
      <c r="USW199"/>
      <c r="USX199"/>
      <c r="USY199"/>
      <c r="USZ199"/>
      <c r="UTA199"/>
      <c r="UTB199"/>
      <c r="UTC199"/>
      <c r="UTD199"/>
      <c r="UTE199"/>
      <c r="UTF199"/>
      <c r="UTG199"/>
      <c r="UTH199"/>
      <c r="UTI199"/>
      <c r="UTJ199"/>
      <c r="UTK199"/>
      <c r="UTL199"/>
      <c r="UTM199"/>
      <c r="UTN199"/>
      <c r="UTO199"/>
      <c r="UTP199"/>
      <c r="UTQ199"/>
      <c r="UTR199"/>
      <c r="UTS199"/>
      <c r="UTT199"/>
      <c r="UTU199"/>
      <c r="UTV199"/>
      <c r="UTW199"/>
      <c r="UTX199"/>
      <c r="UTY199"/>
      <c r="UTZ199"/>
      <c r="UUA199"/>
      <c r="UUB199"/>
      <c r="UUC199"/>
      <c r="UUD199"/>
      <c r="UUE199"/>
      <c r="UUF199"/>
      <c r="UUG199"/>
      <c r="UUH199"/>
      <c r="UUI199"/>
      <c r="UUJ199"/>
      <c r="UUK199"/>
      <c r="UUL199"/>
      <c r="UUM199"/>
      <c r="UUN199"/>
      <c r="UUO199"/>
      <c r="UUP199"/>
      <c r="UUQ199"/>
      <c r="UUR199"/>
      <c r="UUS199"/>
      <c r="UUT199"/>
      <c r="UUU199"/>
      <c r="UUV199"/>
      <c r="UUW199"/>
      <c r="UUX199"/>
      <c r="UUY199"/>
      <c r="UUZ199"/>
      <c r="UVA199"/>
      <c r="UVB199"/>
      <c r="UVC199"/>
      <c r="UVD199"/>
      <c r="UVE199"/>
      <c r="UVF199"/>
      <c r="UVG199"/>
      <c r="UVH199"/>
      <c r="UVI199"/>
      <c r="UVJ199"/>
      <c r="UVK199"/>
      <c r="UVL199"/>
      <c r="UVM199"/>
      <c r="UVN199"/>
      <c r="UVO199"/>
      <c r="UVP199"/>
      <c r="UVQ199"/>
      <c r="UVR199"/>
      <c r="UVS199"/>
      <c r="UVT199"/>
      <c r="UVU199"/>
      <c r="UVV199"/>
      <c r="UVW199"/>
      <c r="UVX199"/>
      <c r="UVY199"/>
      <c r="UVZ199"/>
      <c r="UWA199"/>
      <c r="UWB199"/>
      <c r="UWC199"/>
      <c r="UWD199"/>
      <c r="UWE199"/>
      <c r="UWF199"/>
      <c r="UWG199"/>
      <c r="UWH199"/>
      <c r="UWI199"/>
      <c r="UWJ199"/>
      <c r="UWK199"/>
      <c r="UWL199"/>
      <c r="UWM199"/>
      <c r="UWN199"/>
      <c r="UWO199"/>
      <c r="UWP199"/>
      <c r="UWQ199"/>
      <c r="UWR199"/>
      <c r="UWS199"/>
      <c r="UWT199"/>
      <c r="UWU199"/>
      <c r="UWV199"/>
      <c r="UWW199"/>
      <c r="UWX199"/>
      <c r="UWY199"/>
      <c r="UWZ199"/>
      <c r="UXA199"/>
      <c r="UXB199"/>
      <c r="UXC199"/>
      <c r="UXD199"/>
      <c r="UXE199"/>
      <c r="UXF199"/>
      <c r="UXG199"/>
      <c r="UXH199"/>
      <c r="UXI199"/>
      <c r="UXJ199"/>
      <c r="UXK199"/>
      <c r="UXL199"/>
      <c r="UXM199"/>
      <c r="UXN199"/>
      <c r="UXO199"/>
      <c r="UXP199"/>
      <c r="UXQ199"/>
      <c r="UXR199"/>
      <c r="UXS199"/>
      <c r="UXT199"/>
      <c r="UXU199"/>
      <c r="UXV199"/>
      <c r="UXW199"/>
      <c r="UXX199"/>
      <c r="UXY199"/>
      <c r="UXZ199"/>
      <c r="UYA199"/>
      <c r="UYB199"/>
      <c r="UYC199"/>
      <c r="UYD199"/>
      <c r="UYE199"/>
      <c r="UYF199"/>
      <c r="UYG199"/>
      <c r="UYH199"/>
      <c r="UYI199"/>
      <c r="UYJ199"/>
      <c r="UYK199"/>
      <c r="UYL199"/>
      <c r="UYM199"/>
      <c r="UYN199"/>
      <c r="UYO199"/>
      <c r="UYP199"/>
      <c r="UYQ199"/>
      <c r="UYR199"/>
      <c r="UYS199"/>
      <c r="UYT199"/>
      <c r="UYU199"/>
      <c r="UYV199"/>
      <c r="UYW199"/>
      <c r="UYX199"/>
      <c r="UYY199"/>
      <c r="UYZ199"/>
      <c r="UZA199"/>
      <c r="UZB199"/>
      <c r="UZC199"/>
      <c r="UZD199"/>
      <c r="UZE199"/>
      <c r="UZF199"/>
      <c r="UZG199"/>
      <c r="UZH199"/>
      <c r="UZI199"/>
      <c r="UZJ199"/>
      <c r="UZK199"/>
      <c r="UZL199"/>
      <c r="UZM199"/>
      <c r="UZN199"/>
      <c r="UZO199"/>
      <c r="UZP199"/>
      <c r="UZQ199"/>
      <c r="UZR199"/>
      <c r="UZS199"/>
      <c r="UZT199"/>
      <c r="UZU199"/>
      <c r="UZV199"/>
      <c r="UZW199"/>
      <c r="UZX199"/>
      <c r="UZY199"/>
      <c r="UZZ199"/>
      <c r="VAA199"/>
      <c r="VAB199"/>
      <c r="VAC199"/>
      <c r="VAD199"/>
      <c r="VAE199"/>
      <c r="VAF199"/>
      <c r="VAG199"/>
      <c r="VAH199"/>
      <c r="VAI199"/>
      <c r="VAJ199"/>
      <c r="VAK199"/>
      <c r="VAL199"/>
      <c r="VAM199"/>
      <c r="VAN199"/>
      <c r="VAO199"/>
      <c r="VAP199"/>
      <c r="VAQ199"/>
      <c r="VAR199"/>
      <c r="VAS199"/>
      <c r="VAT199"/>
      <c r="VAU199"/>
      <c r="VAV199"/>
      <c r="VAW199"/>
      <c r="VAX199"/>
      <c r="VAY199"/>
      <c r="VAZ199"/>
      <c r="VBA199"/>
      <c r="VBB199"/>
      <c r="VBC199"/>
      <c r="VBD199"/>
      <c r="VBE199"/>
      <c r="VBF199"/>
      <c r="VBG199"/>
      <c r="VBH199"/>
      <c r="VBI199"/>
      <c r="VBJ199"/>
      <c r="VBK199"/>
      <c r="VBL199"/>
      <c r="VBM199"/>
      <c r="VBN199"/>
      <c r="VBO199"/>
      <c r="VBP199"/>
      <c r="VBQ199"/>
      <c r="VBR199"/>
      <c r="VBS199"/>
      <c r="VBT199"/>
      <c r="VBU199"/>
      <c r="VBV199"/>
      <c r="VBW199"/>
      <c r="VBX199"/>
      <c r="VBY199"/>
      <c r="VBZ199"/>
      <c r="VCA199"/>
      <c r="VCB199"/>
      <c r="VCC199"/>
      <c r="VCD199"/>
      <c r="VCE199"/>
      <c r="VCF199"/>
      <c r="VCG199"/>
      <c r="VCH199"/>
      <c r="VCI199"/>
      <c r="VCJ199"/>
      <c r="VCK199"/>
      <c r="VCL199"/>
      <c r="VCM199"/>
      <c r="VCN199"/>
      <c r="VCO199"/>
      <c r="VCP199"/>
      <c r="VCQ199"/>
      <c r="VCR199"/>
      <c r="VCS199"/>
      <c r="VCT199"/>
      <c r="VCU199"/>
      <c r="VCV199"/>
      <c r="VCW199"/>
      <c r="VCX199"/>
      <c r="VCY199"/>
      <c r="VCZ199"/>
      <c r="VDA199"/>
      <c r="VDB199"/>
      <c r="VDC199"/>
      <c r="VDD199"/>
      <c r="VDE199"/>
      <c r="VDF199"/>
      <c r="VDG199"/>
      <c r="VDH199"/>
      <c r="VDI199"/>
      <c r="VDJ199"/>
      <c r="VDK199"/>
      <c r="VDL199"/>
      <c r="VDM199"/>
      <c r="VDN199"/>
      <c r="VDO199"/>
      <c r="VDP199"/>
      <c r="VDQ199"/>
      <c r="VDR199"/>
      <c r="VDS199"/>
      <c r="VDT199"/>
      <c r="VDU199"/>
      <c r="VDV199"/>
      <c r="VDW199"/>
      <c r="VDX199"/>
      <c r="VDY199"/>
      <c r="VDZ199"/>
      <c r="VEA199"/>
      <c r="VEB199"/>
      <c r="VEC199"/>
      <c r="VED199"/>
      <c r="VEE199"/>
      <c r="VEF199"/>
      <c r="VEG199"/>
      <c r="VEH199"/>
      <c r="VEI199"/>
      <c r="VEJ199"/>
      <c r="VEK199"/>
      <c r="VEL199"/>
      <c r="VEM199"/>
      <c r="VEN199"/>
      <c r="VEO199"/>
      <c r="VEP199"/>
      <c r="VEQ199"/>
      <c r="VER199"/>
      <c r="VES199"/>
      <c r="VET199"/>
      <c r="VEU199"/>
      <c r="VEV199"/>
      <c r="VEW199"/>
      <c r="VEX199"/>
      <c r="VEY199"/>
      <c r="VEZ199"/>
      <c r="VFA199"/>
      <c r="VFB199"/>
      <c r="VFC199"/>
      <c r="VFD199"/>
      <c r="VFE199"/>
      <c r="VFF199"/>
      <c r="VFG199"/>
      <c r="VFH199"/>
      <c r="VFI199"/>
      <c r="VFJ199"/>
      <c r="VFK199"/>
      <c r="VFL199"/>
      <c r="VFM199"/>
      <c r="VFN199"/>
      <c r="VFO199"/>
      <c r="VFP199"/>
      <c r="VFQ199"/>
      <c r="VFR199"/>
      <c r="VFS199"/>
      <c r="VFT199"/>
      <c r="VFU199"/>
      <c r="VFV199"/>
      <c r="VFW199"/>
      <c r="VFX199"/>
      <c r="VFY199"/>
      <c r="VFZ199"/>
      <c r="VGA199"/>
      <c r="VGB199"/>
      <c r="VGC199"/>
      <c r="VGD199"/>
      <c r="VGE199"/>
      <c r="VGF199"/>
      <c r="VGG199"/>
      <c r="VGH199"/>
      <c r="VGI199"/>
      <c r="VGJ199"/>
      <c r="VGK199"/>
      <c r="VGL199"/>
      <c r="VGM199"/>
      <c r="VGN199"/>
      <c r="VGO199"/>
      <c r="VGP199"/>
      <c r="VGQ199"/>
      <c r="VGR199"/>
      <c r="VGS199"/>
      <c r="VGT199"/>
      <c r="VGU199"/>
      <c r="VGV199"/>
      <c r="VGW199"/>
      <c r="VGX199"/>
      <c r="VGY199"/>
      <c r="VGZ199"/>
      <c r="VHA199"/>
      <c r="VHB199"/>
      <c r="VHC199"/>
      <c r="VHD199"/>
      <c r="VHE199"/>
      <c r="VHF199"/>
      <c r="VHG199"/>
      <c r="VHH199"/>
      <c r="VHI199"/>
      <c r="VHJ199"/>
      <c r="VHK199"/>
      <c r="VHL199"/>
      <c r="VHM199"/>
      <c r="VHN199"/>
      <c r="VHO199"/>
      <c r="VHP199"/>
      <c r="VHQ199"/>
      <c r="VHR199"/>
      <c r="VHS199"/>
      <c r="VHT199"/>
      <c r="VHU199"/>
      <c r="VHV199"/>
      <c r="VHW199"/>
      <c r="VHX199"/>
      <c r="VHY199"/>
      <c r="VHZ199"/>
      <c r="VIA199"/>
      <c r="VIB199"/>
      <c r="VIC199"/>
      <c r="VID199"/>
      <c r="VIE199"/>
      <c r="VIF199"/>
      <c r="VIG199"/>
      <c r="VIH199"/>
      <c r="VII199"/>
      <c r="VIJ199"/>
      <c r="VIK199"/>
      <c r="VIL199"/>
      <c r="VIM199"/>
      <c r="VIN199"/>
      <c r="VIO199"/>
      <c r="VIP199"/>
      <c r="VIQ199"/>
      <c r="VIR199"/>
      <c r="VIS199"/>
      <c r="VIT199"/>
      <c r="VIU199"/>
      <c r="VIV199"/>
      <c r="VIW199"/>
      <c r="VIX199"/>
      <c r="VIY199"/>
      <c r="VIZ199"/>
      <c r="VJA199"/>
      <c r="VJB199"/>
      <c r="VJC199"/>
      <c r="VJD199"/>
      <c r="VJE199"/>
      <c r="VJF199"/>
      <c r="VJG199"/>
      <c r="VJH199"/>
      <c r="VJI199"/>
      <c r="VJJ199"/>
      <c r="VJK199"/>
      <c r="VJL199"/>
      <c r="VJM199"/>
      <c r="VJN199"/>
      <c r="VJO199"/>
      <c r="VJP199"/>
      <c r="VJQ199"/>
      <c r="VJR199"/>
      <c r="VJS199"/>
      <c r="VJT199"/>
      <c r="VJU199"/>
      <c r="VJV199"/>
      <c r="VJW199"/>
      <c r="VJX199"/>
      <c r="VJY199"/>
      <c r="VJZ199"/>
      <c r="VKA199"/>
      <c r="VKB199"/>
      <c r="VKC199"/>
      <c r="VKD199"/>
      <c r="VKE199"/>
      <c r="VKF199"/>
      <c r="VKG199"/>
      <c r="VKH199"/>
      <c r="VKI199"/>
      <c r="VKJ199"/>
      <c r="VKK199"/>
      <c r="VKL199"/>
      <c r="VKM199"/>
      <c r="VKN199"/>
      <c r="VKO199"/>
      <c r="VKP199"/>
      <c r="VKQ199"/>
      <c r="VKR199"/>
      <c r="VKS199"/>
      <c r="VKT199"/>
      <c r="VKU199"/>
      <c r="VKV199"/>
      <c r="VKW199"/>
      <c r="VKX199"/>
      <c r="VKY199"/>
      <c r="VKZ199"/>
      <c r="VLA199"/>
      <c r="VLB199"/>
      <c r="VLC199"/>
      <c r="VLD199"/>
      <c r="VLE199"/>
      <c r="VLF199"/>
      <c r="VLG199"/>
      <c r="VLH199"/>
      <c r="VLI199"/>
      <c r="VLJ199"/>
      <c r="VLK199"/>
      <c r="VLL199"/>
      <c r="VLM199"/>
      <c r="VLN199"/>
      <c r="VLO199"/>
      <c r="VLP199"/>
      <c r="VLQ199"/>
      <c r="VLR199"/>
      <c r="VLS199"/>
      <c r="VLT199"/>
      <c r="VLU199"/>
      <c r="VLV199"/>
      <c r="VLW199"/>
      <c r="VLX199"/>
      <c r="VLY199"/>
      <c r="VLZ199"/>
      <c r="VMA199"/>
      <c r="VMB199"/>
      <c r="VMC199"/>
      <c r="VMD199"/>
      <c r="VME199"/>
      <c r="VMF199"/>
      <c r="VMG199"/>
      <c r="VMH199"/>
      <c r="VMI199"/>
      <c r="VMJ199"/>
      <c r="VMK199"/>
      <c r="VML199"/>
      <c r="VMM199"/>
      <c r="VMN199"/>
      <c r="VMO199"/>
      <c r="VMP199"/>
      <c r="VMQ199"/>
      <c r="VMR199"/>
      <c r="VMS199"/>
      <c r="VMT199"/>
      <c r="VMU199"/>
      <c r="VMV199"/>
      <c r="VMW199"/>
      <c r="VMX199"/>
      <c r="VMY199"/>
      <c r="VMZ199"/>
      <c r="VNA199"/>
      <c r="VNB199"/>
      <c r="VNC199"/>
      <c r="VND199"/>
      <c r="VNE199"/>
      <c r="VNF199"/>
      <c r="VNG199"/>
      <c r="VNH199"/>
      <c r="VNI199"/>
      <c r="VNJ199"/>
      <c r="VNK199"/>
      <c r="VNL199"/>
      <c r="VNM199"/>
      <c r="VNN199"/>
      <c r="VNO199"/>
      <c r="VNP199"/>
      <c r="VNQ199"/>
      <c r="VNR199"/>
      <c r="VNS199"/>
      <c r="VNT199"/>
      <c r="VNU199"/>
      <c r="VNV199"/>
      <c r="VNW199"/>
      <c r="VNX199"/>
      <c r="VNY199"/>
      <c r="VNZ199"/>
      <c r="VOA199"/>
      <c r="VOB199"/>
      <c r="VOC199"/>
      <c r="VOD199"/>
      <c r="VOE199"/>
      <c r="VOF199"/>
      <c r="VOG199"/>
      <c r="VOH199"/>
      <c r="VOI199"/>
      <c r="VOJ199"/>
      <c r="VOK199"/>
      <c r="VOL199"/>
      <c r="VOM199"/>
      <c r="VON199"/>
      <c r="VOO199"/>
      <c r="VOP199"/>
      <c r="VOQ199"/>
      <c r="VOR199"/>
      <c r="VOS199"/>
      <c r="VOT199"/>
      <c r="VOU199"/>
      <c r="VOV199"/>
      <c r="VOW199"/>
      <c r="VOX199"/>
      <c r="VOY199"/>
      <c r="VOZ199"/>
      <c r="VPA199"/>
      <c r="VPB199"/>
      <c r="VPC199"/>
      <c r="VPD199"/>
      <c r="VPE199"/>
      <c r="VPF199"/>
      <c r="VPG199"/>
      <c r="VPH199"/>
      <c r="VPI199"/>
      <c r="VPJ199"/>
      <c r="VPK199"/>
      <c r="VPL199"/>
      <c r="VPM199"/>
      <c r="VPN199"/>
      <c r="VPO199"/>
      <c r="VPP199"/>
      <c r="VPQ199"/>
      <c r="VPR199"/>
      <c r="VPS199"/>
      <c r="VPT199"/>
      <c r="VPU199"/>
      <c r="VPV199"/>
      <c r="VPW199"/>
      <c r="VPX199"/>
      <c r="VPY199"/>
      <c r="VPZ199"/>
      <c r="VQA199"/>
      <c r="VQB199"/>
      <c r="VQC199"/>
      <c r="VQD199"/>
      <c r="VQE199"/>
      <c r="VQF199"/>
      <c r="VQG199"/>
      <c r="VQH199"/>
      <c r="VQI199"/>
      <c r="VQJ199"/>
      <c r="VQK199"/>
      <c r="VQL199"/>
      <c r="VQM199"/>
      <c r="VQN199"/>
      <c r="VQO199"/>
      <c r="VQP199"/>
      <c r="VQQ199"/>
      <c r="VQR199"/>
      <c r="VQS199"/>
      <c r="VQT199"/>
      <c r="VQU199"/>
      <c r="VQV199"/>
      <c r="VQW199"/>
      <c r="VQX199"/>
      <c r="VQY199"/>
      <c r="VQZ199"/>
      <c r="VRA199"/>
      <c r="VRB199"/>
      <c r="VRC199"/>
      <c r="VRD199"/>
      <c r="VRE199"/>
      <c r="VRF199"/>
      <c r="VRG199"/>
      <c r="VRH199"/>
      <c r="VRI199"/>
      <c r="VRJ199"/>
      <c r="VRK199"/>
      <c r="VRL199"/>
      <c r="VRM199"/>
      <c r="VRN199"/>
      <c r="VRO199"/>
      <c r="VRP199"/>
      <c r="VRQ199"/>
      <c r="VRR199"/>
      <c r="VRS199"/>
      <c r="VRT199"/>
      <c r="VRU199"/>
      <c r="VRV199"/>
      <c r="VRW199"/>
      <c r="VRX199"/>
      <c r="VRY199"/>
      <c r="VRZ199"/>
      <c r="VSA199"/>
      <c r="VSB199"/>
      <c r="VSC199"/>
      <c r="VSD199"/>
      <c r="VSE199"/>
      <c r="VSF199"/>
      <c r="VSG199"/>
      <c r="VSH199"/>
      <c r="VSI199"/>
      <c r="VSJ199"/>
      <c r="VSK199"/>
      <c r="VSL199"/>
      <c r="VSM199"/>
      <c r="VSN199"/>
      <c r="VSO199"/>
      <c r="VSP199"/>
      <c r="VSQ199"/>
      <c r="VSR199"/>
      <c r="VSS199"/>
      <c r="VST199"/>
      <c r="VSU199"/>
      <c r="VSV199"/>
      <c r="VSW199"/>
      <c r="VSX199"/>
      <c r="VSY199"/>
      <c r="VSZ199"/>
      <c r="VTA199"/>
      <c r="VTB199"/>
      <c r="VTC199"/>
      <c r="VTD199"/>
      <c r="VTE199"/>
      <c r="VTF199"/>
      <c r="VTG199"/>
      <c r="VTH199"/>
      <c r="VTI199"/>
      <c r="VTJ199"/>
      <c r="VTK199"/>
      <c r="VTL199"/>
      <c r="VTM199"/>
      <c r="VTN199"/>
      <c r="VTO199"/>
      <c r="VTP199"/>
      <c r="VTQ199"/>
      <c r="VTR199"/>
      <c r="VTS199"/>
      <c r="VTT199"/>
      <c r="VTU199"/>
      <c r="VTV199"/>
      <c r="VTW199"/>
      <c r="VTX199"/>
      <c r="VTY199"/>
      <c r="VTZ199"/>
      <c r="VUA199"/>
      <c r="VUB199"/>
      <c r="VUC199"/>
      <c r="VUD199"/>
      <c r="VUE199"/>
      <c r="VUF199"/>
      <c r="VUG199"/>
      <c r="VUH199"/>
      <c r="VUI199"/>
      <c r="VUJ199"/>
      <c r="VUK199"/>
      <c r="VUL199"/>
      <c r="VUM199"/>
      <c r="VUN199"/>
      <c r="VUO199"/>
      <c r="VUP199"/>
      <c r="VUQ199"/>
      <c r="VUR199"/>
      <c r="VUS199"/>
      <c r="VUT199"/>
      <c r="VUU199"/>
      <c r="VUV199"/>
      <c r="VUW199"/>
      <c r="VUX199"/>
      <c r="VUY199"/>
      <c r="VUZ199"/>
      <c r="VVA199"/>
      <c r="VVB199"/>
      <c r="VVC199"/>
      <c r="VVD199"/>
      <c r="VVE199"/>
      <c r="VVF199"/>
      <c r="VVG199"/>
      <c r="VVH199"/>
      <c r="VVI199"/>
      <c r="VVJ199"/>
      <c r="VVK199"/>
      <c r="VVL199"/>
      <c r="VVM199"/>
      <c r="VVN199"/>
      <c r="VVO199"/>
      <c r="VVP199"/>
      <c r="VVQ199"/>
      <c r="VVR199"/>
      <c r="VVS199"/>
      <c r="VVT199"/>
      <c r="VVU199"/>
      <c r="VVV199"/>
      <c r="VVW199"/>
      <c r="VVX199"/>
      <c r="VVY199"/>
      <c r="VVZ199"/>
      <c r="VWA199"/>
      <c r="VWB199"/>
      <c r="VWC199"/>
      <c r="VWD199"/>
      <c r="VWE199"/>
      <c r="VWF199"/>
      <c r="VWG199"/>
      <c r="VWH199"/>
      <c r="VWI199"/>
      <c r="VWJ199"/>
      <c r="VWK199"/>
      <c r="VWL199"/>
      <c r="VWM199"/>
      <c r="VWN199"/>
      <c r="VWO199"/>
      <c r="VWP199"/>
      <c r="VWQ199"/>
      <c r="VWR199"/>
      <c r="VWS199"/>
      <c r="VWT199"/>
      <c r="VWU199"/>
      <c r="VWV199"/>
      <c r="VWW199"/>
      <c r="VWX199"/>
      <c r="VWY199"/>
      <c r="VWZ199"/>
      <c r="VXA199"/>
      <c r="VXB199"/>
      <c r="VXC199"/>
      <c r="VXD199"/>
      <c r="VXE199"/>
      <c r="VXF199"/>
      <c r="VXG199"/>
      <c r="VXH199"/>
      <c r="VXI199"/>
      <c r="VXJ199"/>
      <c r="VXK199"/>
      <c r="VXL199"/>
      <c r="VXM199"/>
      <c r="VXN199"/>
      <c r="VXO199"/>
      <c r="VXP199"/>
      <c r="VXQ199"/>
      <c r="VXR199"/>
      <c r="VXS199"/>
      <c r="VXT199"/>
      <c r="VXU199"/>
      <c r="VXV199"/>
      <c r="VXW199"/>
      <c r="VXX199"/>
      <c r="VXY199"/>
      <c r="VXZ199"/>
      <c r="VYA199"/>
      <c r="VYB199"/>
      <c r="VYC199"/>
      <c r="VYD199"/>
      <c r="VYE199"/>
      <c r="VYF199"/>
      <c r="VYG199"/>
      <c r="VYH199"/>
      <c r="VYI199"/>
      <c r="VYJ199"/>
      <c r="VYK199"/>
      <c r="VYL199"/>
      <c r="VYM199"/>
      <c r="VYN199"/>
      <c r="VYO199"/>
      <c r="VYP199"/>
      <c r="VYQ199"/>
      <c r="VYR199"/>
      <c r="VYS199"/>
      <c r="VYT199"/>
      <c r="VYU199"/>
      <c r="VYV199"/>
      <c r="VYW199"/>
      <c r="VYX199"/>
      <c r="VYY199"/>
      <c r="VYZ199"/>
      <c r="VZA199"/>
      <c r="VZB199"/>
      <c r="VZC199"/>
      <c r="VZD199"/>
      <c r="VZE199"/>
      <c r="VZF199"/>
      <c r="VZG199"/>
      <c r="VZH199"/>
      <c r="VZI199"/>
      <c r="VZJ199"/>
      <c r="VZK199"/>
      <c r="VZL199"/>
      <c r="VZM199"/>
      <c r="VZN199"/>
      <c r="VZO199"/>
      <c r="VZP199"/>
      <c r="VZQ199"/>
      <c r="VZR199"/>
      <c r="VZS199"/>
      <c r="VZT199"/>
      <c r="VZU199"/>
      <c r="VZV199"/>
      <c r="VZW199"/>
      <c r="VZX199"/>
      <c r="VZY199"/>
      <c r="VZZ199"/>
      <c r="WAA199"/>
      <c r="WAB199"/>
      <c r="WAC199"/>
      <c r="WAD199"/>
      <c r="WAE199"/>
      <c r="WAF199"/>
      <c r="WAG199"/>
      <c r="WAH199"/>
      <c r="WAI199"/>
      <c r="WAJ199"/>
      <c r="WAK199"/>
      <c r="WAL199"/>
      <c r="WAM199"/>
      <c r="WAN199"/>
      <c r="WAO199"/>
      <c r="WAP199"/>
      <c r="WAQ199"/>
      <c r="WAR199"/>
      <c r="WAS199"/>
      <c r="WAT199"/>
      <c r="WAU199"/>
      <c r="WAV199"/>
      <c r="WAW199"/>
      <c r="WAX199"/>
      <c r="WAY199"/>
      <c r="WAZ199"/>
      <c r="WBA199"/>
      <c r="WBB199"/>
      <c r="WBC199"/>
      <c r="WBD199"/>
      <c r="WBE199"/>
      <c r="WBF199"/>
      <c r="WBG199"/>
      <c r="WBH199"/>
      <c r="WBI199"/>
      <c r="WBJ199"/>
      <c r="WBK199"/>
      <c r="WBL199"/>
      <c r="WBM199"/>
      <c r="WBN199"/>
      <c r="WBO199"/>
      <c r="WBP199"/>
      <c r="WBQ199"/>
      <c r="WBR199"/>
      <c r="WBS199"/>
      <c r="WBT199"/>
      <c r="WBU199"/>
      <c r="WBV199"/>
      <c r="WBW199"/>
      <c r="WBX199"/>
      <c r="WBY199"/>
      <c r="WBZ199"/>
      <c r="WCA199"/>
      <c r="WCB199"/>
      <c r="WCC199"/>
      <c r="WCD199"/>
      <c r="WCE199"/>
      <c r="WCF199"/>
      <c r="WCG199"/>
      <c r="WCH199"/>
      <c r="WCI199"/>
      <c r="WCJ199"/>
      <c r="WCK199"/>
      <c r="WCL199"/>
      <c r="WCM199"/>
      <c r="WCN199"/>
      <c r="WCO199"/>
      <c r="WCP199"/>
      <c r="WCQ199"/>
      <c r="WCR199"/>
      <c r="WCS199"/>
      <c r="WCT199"/>
      <c r="WCU199"/>
      <c r="WCV199"/>
      <c r="WCW199"/>
      <c r="WCX199"/>
      <c r="WCY199"/>
      <c r="WCZ199"/>
      <c r="WDA199"/>
      <c r="WDB199"/>
      <c r="WDC199"/>
      <c r="WDD199"/>
      <c r="WDE199"/>
      <c r="WDF199"/>
      <c r="WDG199"/>
      <c r="WDH199"/>
      <c r="WDI199"/>
      <c r="WDJ199"/>
      <c r="WDK199"/>
      <c r="WDL199"/>
      <c r="WDM199"/>
      <c r="WDN199"/>
      <c r="WDO199"/>
      <c r="WDP199"/>
      <c r="WDQ199"/>
      <c r="WDR199"/>
      <c r="WDS199"/>
      <c r="WDT199"/>
      <c r="WDU199"/>
      <c r="WDV199"/>
      <c r="WDW199"/>
      <c r="WDX199"/>
      <c r="WDY199"/>
      <c r="WDZ199"/>
      <c r="WEA199"/>
      <c r="WEB199"/>
      <c r="WEC199"/>
      <c r="WED199"/>
      <c r="WEE199"/>
      <c r="WEF199"/>
      <c r="WEG199"/>
      <c r="WEH199"/>
      <c r="WEI199"/>
      <c r="WEJ199"/>
      <c r="WEK199"/>
      <c r="WEL199"/>
      <c r="WEM199"/>
      <c r="WEN199"/>
      <c r="WEO199"/>
      <c r="WEP199"/>
      <c r="WEQ199"/>
      <c r="WER199"/>
      <c r="WES199"/>
      <c r="WET199"/>
      <c r="WEU199"/>
      <c r="WEV199"/>
      <c r="WEW199"/>
      <c r="WEX199"/>
      <c r="WEY199"/>
      <c r="WEZ199"/>
      <c r="WFA199"/>
      <c r="WFB199"/>
      <c r="WFC199"/>
      <c r="WFD199"/>
      <c r="WFE199"/>
      <c r="WFF199"/>
      <c r="WFG199"/>
      <c r="WFH199"/>
      <c r="WFI199"/>
      <c r="WFJ199"/>
      <c r="WFK199"/>
      <c r="WFL199"/>
      <c r="WFM199"/>
      <c r="WFN199"/>
      <c r="WFO199"/>
      <c r="WFP199"/>
      <c r="WFQ199"/>
      <c r="WFR199"/>
      <c r="WFS199"/>
      <c r="WFT199"/>
      <c r="WFU199"/>
      <c r="WFV199"/>
      <c r="WFW199"/>
      <c r="WFX199"/>
      <c r="WFY199"/>
      <c r="WFZ199"/>
      <c r="WGA199"/>
      <c r="WGB199"/>
      <c r="WGC199"/>
      <c r="WGD199"/>
      <c r="WGE199"/>
      <c r="WGF199"/>
      <c r="WGG199"/>
      <c r="WGH199"/>
      <c r="WGI199"/>
      <c r="WGJ199"/>
      <c r="WGK199"/>
      <c r="WGL199"/>
      <c r="WGM199"/>
      <c r="WGN199"/>
      <c r="WGO199"/>
      <c r="WGP199"/>
      <c r="WGQ199"/>
      <c r="WGR199"/>
      <c r="WGS199"/>
      <c r="WGT199"/>
      <c r="WGU199"/>
      <c r="WGV199"/>
      <c r="WGW199"/>
      <c r="WGX199"/>
      <c r="WGY199"/>
      <c r="WGZ199"/>
      <c r="WHA199"/>
      <c r="WHB199"/>
      <c r="WHC199"/>
      <c r="WHD199"/>
      <c r="WHE199"/>
      <c r="WHF199"/>
      <c r="WHG199"/>
      <c r="WHH199"/>
      <c r="WHI199"/>
      <c r="WHJ199"/>
      <c r="WHK199"/>
      <c r="WHL199"/>
      <c r="WHM199"/>
      <c r="WHN199"/>
      <c r="WHO199"/>
      <c r="WHP199"/>
      <c r="WHQ199"/>
      <c r="WHR199"/>
      <c r="WHS199"/>
      <c r="WHT199"/>
      <c r="WHU199"/>
      <c r="WHV199"/>
      <c r="WHW199"/>
      <c r="WHX199"/>
      <c r="WHY199"/>
      <c r="WHZ199"/>
      <c r="WIA199"/>
      <c r="WIB199"/>
      <c r="WIC199"/>
      <c r="WID199"/>
      <c r="WIE199"/>
      <c r="WIF199"/>
      <c r="WIG199"/>
      <c r="WIH199"/>
      <c r="WII199"/>
      <c r="WIJ199"/>
      <c r="WIK199"/>
      <c r="WIL199"/>
      <c r="WIM199"/>
      <c r="WIN199"/>
      <c r="WIO199"/>
      <c r="WIP199"/>
      <c r="WIQ199"/>
      <c r="WIR199"/>
      <c r="WIS199"/>
      <c r="WIT199"/>
      <c r="WIU199"/>
      <c r="WIV199"/>
      <c r="WIW199"/>
      <c r="WIX199"/>
      <c r="WIY199"/>
      <c r="WIZ199"/>
      <c r="WJA199"/>
      <c r="WJB199"/>
      <c r="WJC199"/>
      <c r="WJD199"/>
      <c r="WJE199"/>
      <c r="WJF199"/>
      <c r="WJG199"/>
      <c r="WJH199"/>
      <c r="WJI199"/>
      <c r="WJJ199"/>
      <c r="WJK199"/>
      <c r="WJL199"/>
      <c r="WJM199"/>
      <c r="WJN199"/>
      <c r="WJO199"/>
      <c r="WJP199"/>
      <c r="WJQ199"/>
      <c r="WJR199"/>
      <c r="WJS199"/>
      <c r="WJT199"/>
      <c r="WJU199"/>
      <c r="WJV199"/>
      <c r="WJW199"/>
      <c r="WJX199"/>
      <c r="WJY199"/>
      <c r="WJZ199"/>
      <c r="WKA199"/>
      <c r="WKB199"/>
      <c r="WKC199"/>
      <c r="WKD199"/>
      <c r="WKE199"/>
      <c r="WKF199"/>
      <c r="WKG199"/>
      <c r="WKH199"/>
      <c r="WKI199"/>
      <c r="WKJ199"/>
      <c r="WKK199"/>
      <c r="WKL199"/>
      <c r="WKM199"/>
      <c r="WKN199"/>
      <c r="WKO199"/>
      <c r="WKP199"/>
      <c r="WKQ199"/>
      <c r="WKR199"/>
      <c r="WKS199"/>
      <c r="WKT199"/>
      <c r="WKU199"/>
      <c r="WKV199"/>
      <c r="WKW199"/>
      <c r="WKX199"/>
      <c r="WKY199"/>
      <c r="WKZ199"/>
      <c r="WLA199"/>
      <c r="WLB199"/>
      <c r="WLC199"/>
      <c r="WLD199"/>
      <c r="WLE199"/>
      <c r="WLF199"/>
      <c r="WLG199"/>
      <c r="WLH199"/>
      <c r="WLI199"/>
      <c r="WLJ199"/>
      <c r="WLK199"/>
      <c r="WLL199"/>
      <c r="WLM199"/>
      <c r="WLN199"/>
      <c r="WLO199"/>
      <c r="WLP199"/>
      <c r="WLQ199"/>
      <c r="WLR199"/>
      <c r="WLS199"/>
      <c r="WLT199"/>
      <c r="WLU199"/>
      <c r="WLV199"/>
      <c r="WLW199"/>
      <c r="WLX199"/>
      <c r="WLY199"/>
      <c r="WLZ199"/>
      <c r="WMA199"/>
      <c r="WMB199"/>
      <c r="WMC199"/>
      <c r="WMD199"/>
      <c r="WME199"/>
      <c r="WMF199"/>
      <c r="WMG199"/>
      <c r="WMH199"/>
      <c r="WMI199"/>
      <c r="WMJ199"/>
      <c r="WMK199"/>
      <c r="WML199"/>
      <c r="WMM199"/>
      <c r="WMN199"/>
      <c r="WMO199"/>
      <c r="WMP199"/>
      <c r="WMQ199"/>
      <c r="WMR199"/>
      <c r="WMS199"/>
      <c r="WMT199"/>
      <c r="WMU199"/>
      <c r="WMV199"/>
      <c r="WMW199"/>
      <c r="WMX199"/>
      <c r="WMY199"/>
      <c r="WMZ199"/>
      <c r="WNA199"/>
      <c r="WNB199"/>
      <c r="WNC199"/>
      <c r="WND199"/>
      <c r="WNE199"/>
      <c r="WNF199"/>
      <c r="WNG199"/>
      <c r="WNH199"/>
      <c r="WNI199"/>
      <c r="WNJ199"/>
      <c r="WNK199"/>
      <c r="WNL199"/>
      <c r="WNM199"/>
      <c r="WNN199"/>
      <c r="WNO199"/>
      <c r="WNP199"/>
      <c r="WNQ199"/>
      <c r="WNR199"/>
      <c r="WNS199"/>
      <c r="WNT199"/>
      <c r="WNU199"/>
      <c r="WNV199"/>
      <c r="WNW199"/>
      <c r="WNX199"/>
      <c r="WNY199"/>
      <c r="WNZ199"/>
      <c r="WOA199"/>
      <c r="WOB199"/>
      <c r="WOC199"/>
      <c r="WOD199"/>
      <c r="WOE199"/>
      <c r="WOF199"/>
      <c r="WOG199"/>
      <c r="WOH199"/>
      <c r="WOI199"/>
      <c r="WOJ199"/>
      <c r="WOK199"/>
      <c r="WOL199"/>
      <c r="WOM199"/>
      <c r="WON199"/>
      <c r="WOO199"/>
      <c r="WOP199"/>
      <c r="WOQ199"/>
      <c r="WOR199"/>
      <c r="WOS199"/>
      <c r="WOT199"/>
      <c r="WOU199"/>
      <c r="WOV199"/>
      <c r="WOW199"/>
      <c r="WOX199"/>
      <c r="WOY199"/>
      <c r="WOZ199"/>
      <c r="WPA199"/>
      <c r="WPB199"/>
      <c r="WPC199"/>
      <c r="WPD199"/>
      <c r="WPE199"/>
      <c r="WPF199"/>
      <c r="WPG199"/>
      <c r="WPH199"/>
      <c r="WPI199"/>
      <c r="WPJ199"/>
      <c r="WPK199"/>
      <c r="WPL199"/>
      <c r="WPM199"/>
      <c r="WPN199"/>
      <c r="WPO199"/>
      <c r="WPP199"/>
      <c r="WPQ199"/>
      <c r="WPR199"/>
      <c r="WPS199"/>
      <c r="WPT199"/>
      <c r="WPU199"/>
      <c r="WPV199"/>
      <c r="WPW199"/>
      <c r="WPX199"/>
      <c r="WPY199"/>
      <c r="WPZ199"/>
      <c r="WQA199"/>
      <c r="WQB199"/>
      <c r="WQC199"/>
      <c r="WQD199"/>
      <c r="WQE199"/>
      <c r="WQF199"/>
      <c r="WQG199"/>
      <c r="WQH199"/>
      <c r="WQI199"/>
      <c r="WQJ199"/>
      <c r="WQK199"/>
      <c r="WQL199"/>
      <c r="WQM199"/>
      <c r="WQN199"/>
      <c r="WQO199"/>
      <c r="WQP199"/>
      <c r="WQQ199"/>
      <c r="WQR199"/>
      <c r="WQS199"/>
      <c r="WQT199"/>
      <c r="WQU199"/>
      <c r="WQV199"/>
      <c r="WQW199"/>
      <c r="WQX199"/>
      <c r="WQY199"/>
      <c r="WQZ199"/>
      <c r="WRA199"/>
      <c r="WRB199"/>
      <c r="WRC199"/>
      <c r="WRD199"/>
      <c r="WRE199"/>
      <c r="WRF199"/>
      <c r="WRG199"/>
      <c r="WRH199"/>
      <c r="WRI199"/>
      <c r="WRJ199"/>
      <c r="WRK199"/>
      <c r="WRL199"/>
      <c r="WRM199"/>
      <c r="WRN199"/>
      <c r="WRO199"/>
      <c r="WRP199"/>
      <c r="WRQ199"/>
      <c r="WRR199"/>
      <c r="WRS199"/>
      <c r="WRT199"/>
      <c r="WRU199"/>
      <c r="WRV199"/>
      <c r="WRW199"/>
      <c r="WRX199"/>
      <c r="WRY199"/>
      <c r="WRZ199"/>
      <c r="WSA199"/>
      <c r="WSB199"/>
      <c r="WSC199"/>
      <c r="WSD199"/>
      <c r="WSE199"/>
      <c r="WSF199"/>
      <c r="WSG199"/>
      <c r="WSH199"/>
      <c r="WSI199"/>
      <c r="WSJ199"/>
      <c r="WSK199"/>
      <c r="WSL199"/>
      <c r="WSM199"/>
      <c r="WSN199"/>
      <c r="WSO199"/>
      <c r="WSP199"/>
      <c r="WSQ199"/>
      <c r="WSR199"/>
      <c r="WSS199"/>
      <c r="WST199"/>
      <c r="WSU199"/>
      <c r="WSV199"/>
      <c r="WSW199"/>
      <c r="WSX199"/>
      <c r="WSY199"/>
      <c r="WSZ199"/>
      <c r="WTA199"/>
      <c r="WTB199"/>
      <c r="WTC199"/>
      <c r="WTD199"/>
      <c r="WTE199"/>
      <c r="WTF199"/>
      <c r="WTG199"/>
      <c r="WTH199"/>
      <c r="WTI199"/>
      <c r="WTJ199"/>
      <c r="WTK199"/>
      <c r="WTL199"/>
      <c r="WTM199"/>
      <c r="WTN199"/>
      <c r="WTO199"/>
      <c r="WTP199"/>
      <c r="WTQ199"/>
      <c r="WTR199"/>
      <c r="WTS199"/>
      <c r="WTT199"/>
      <c r="WTU199"/>
      <c r="WTV199"/>
      <c r="WTW199"/>
      <c r="WTX199"/>
      <c r="WTY199"/>
      <c r="WTZ199"/>
      <c r="WUA199"/>
      <c r="WUB199"/>
      <c r="WUC199"/>
      <c r="WUD199"/>
      <c r="WUE199"/>
      <c r="WUF199"/>
      <c r="WUG199"/>
      <c r="WUH199"/>
      <c r="WUI199"/>
      <c r="WUJ199"/>
      <c r="WUK199"/>
      <c r="WUL199"/>
      <c r="WUM199"/>
      <c r="WUN199"/>
      <c r="WUO199"/>
      <c r="WUP199"/>
      <c r="WUQ199"/>
      <c r="WUR199"/>
      <c r="WUS199"/>
      <c r="WUT199"/>
      <c r="WUU199"/>
      <c r="WUV199"/>
      <c r="WUW199"/>
      <c r="WUX199"/>
      <c r="WUY199"/>
      <c r="WUZ199"/>
      <c r="WVA199"/>
      <c r="WVB199"/>
      <c r="WVC199"/>
      <c r="WVD199"/>
      <c r="WVE199"/>
      <c r="WVF199"/>
      <c r="WVG199"/>
      <c r="WVH199"/>
      <c r="WVI199"/>
      <c r="WVJ199"/>
      <c r="WVK199"/>
      <c r="WVL199"/>
      <c r="WVM199"/>
      <c r="WVN199"/>
      <c r="WVO199"/>
      <c r="WVP199"/>
      <c r="WVQ199"/>
      <c r="WVR199"/>
      <c r="WVS199"/>
      <c r="WVT199"/>
      <c r="WVU199"/>
      <c r="WVV199"/>
      <c r="WVW199"/>
      <c r="WVX199"/>
      <c r="WVY199"/>
      <c r="WVZ199"/>
      <c r="WWA199"/>
      <c r="WWB199"/>
      <c r="WWC199"/>
      <c r="WWD199"/>
      <c r="WWE199"/>
      <c r="WWF199"/>
      <c r="WWG199"/>
      <c r="WWH199"/>
      <c r="WWI199"/>
      <c r="WWJ199"/>
      <c r="WWK199"/>
      <c r="WWL199"/>
      <c r="WWM199"/>
      <c r="WWN199"/>
      <c r="WWO199"/>
      <c r="WWP199"/>
      <c r="WWQ199"/>
      <c r="WWR199"/>
      <c r="WWS199"/>
      <c r="WWT199"/>
      <c r="WWU199"/>
      <c r="WWV199"/>
      <c r="WWW199"/>
      <c r="WWX199"/>
      <c r="WWY199"/>
      <c r="WWZ199"/>
      <c r="WXA199"/>
      <c r="WXB199"/>
      <c r="WXC199"/>
      <c r="WXD199"/>
      <c r="WXE199"/>
      <c r="WXF199"/>
      <c r="WXG199"/>
      <c r="WXH199"/>
      <c r="WXI199"/>
      <c r="WXJ199"/>
      <c r="WXK199"/>
      <c r="WXL199"/>
      <c r="WXM199"/>
      <c r="WXN199"/>
      <c r="WXO199"/>
      <c r="WXP199"/>
      <c r="WXQ199"/>
      <c r="WXR199"/>
      <c r="WXS199"/>
      <c r="WXT199"/>
      <c r="WXU199"/>
      <c r="WXV199"/>
      <c r="WXW199"/>
      <c r="WXX199"/>
      <c r="WXY199"/>
      <c r="WXZ199"/>
      <c r="WYA199"/>
      <c r="WYB199"/>
      <c r="WYC199"/>
      <c r="WYD199"/>
      <c r="WYE199"/>
      <c r="WYF199"/>
      <c r="WYG199"/>
      <c r="WYH199"/>
      <c r="WYI199"/>
      <c r="WYJ199"/>
      <c r="WYK199"/>
      <c r="WYL199"/>
      <c r="WYM199"/>
      <c r="WYN199"/>
      <c r="WYO199"/>
      <c r="WYP199"/>
      <c r="WYQ199"/>
      <c r="WYR199"/>
      <c r="WYS199"/>
      <c r="WYT199"/>
      <c r="WYU199"/>
      <c r="WYV199"/>
      <c r="WYW199"/>
      <c r="WYX199"/>
      <c r="WYY199"/>
      <c r="WYZ199"/>
      <c r="WZA199"/>
      <c r="WZB199"/>
      <c r="WZC199"/>
      <c r="WZD199"/>
      <c r="WZE199"/>
      <c r="WZF199"/>
      <c r="WZG199"/>
      <c r="WZH199"/>
      <c r="WZI199"/>
      <c r="WZJ199"/>
      <c r="WZK199"/>
      <c r="WZL199"/>
      <c r="WZM199"/>
      <c r="WZN199"/>
      <c r="WZO199"/>
      <c r="WZP199"/>
      <c r="WZQ199"/>
      <c r="WZR199"/>
      <c r="WZS199"/>
      <c r="WZT199"/>
      <c r="WZU199"/>
      <c r="WZV199"/>
      <c r="WZW199"/>
      <c r="WZX199"/>
      <c r="WZY199"/>
      <c r="WZZ199"/>
      <c r="XAA199"/>
      <c r="XAB199"/>
      <c r="XAC199"/>
      <c r="XAD199"/>
      <c r="XAE199"/>
      <c r="XAF199"/>
      <c r="XAG199"/>
      <c r="XAH199"/>
      <c r="XAI199"/>
      <c r="XAJ199"/>
      <c r="XAK199"/>
      <c r="XAL199"/>
      <c r="XAM199"/>
      <c r="XAN199"/>
      <c r="XAO199"/>
      <c r="XAP199"/>
      <c r="XAQ199"/>
      <c r="XAR199"/>
      <c r="XAS199"/>
      <c r="XAT199"/>
      <c r="XAU199"/>
      <c r="XAV199"/>
      <c r="XAW199"/>
      <c r="XAX199"/>
      <c r="XAY199"/>
      <c r="XAZ199"/>
      <c r="XBA199"/>
      <c r="XBB199"/>
      <c r="XBC199"/>
      <c r="XBD199"/>
      <c r="XBE199"/>
      <c r="XBF199"/>
      <c r="XBG199"/>
      <c r="XBH199"/>
      <c r="XBI199"/>
      <c r="XBJ199"/>
      <c r="XBK199"/>
      <c r="XBL199"/>
      <c r="XBM199"/>
      <c r="XBN199"/>
      <c r="XBO199"/>
      <c r="XBP199"/>
      <c r="XBQ199"/>
      <c r="XBR199"/>
      <c r="XBS199"/>
      <c r="XBT199"/>
      <c r="XBU199"/>
      <c r="XBV199"/>
      <c r="XBW199"/>
      <c r="XBX199"/>
      <c r="XBY199"/>
      <c r="XBZ199"/>
      <c r="XCA199"/>
      <c r="XCB199"/>
      <c r="XCC199"/>
      <c r="XCD199"/>
      <c r="XCE199"/>
      <c r="XCF199"/>
      <c r="XCG199"/>
      <c r="XCH199"/>
      <c r="XCI199"/>
      <c r="XCJ199"/>
      <c r="XCK199"/>
      <c r="XCL199"/>
      <c r="XCM199"/>
      <c r="XCN199"/>
      <c r="XCO199"/>
      <c r="XCP199"/>
      <c r="XCQ199"/>
      <c r="XCR199"/>
      <c r="XCS199"/>
      <c r="XCT199"/>
      <c r="XCU199"/>
      <c r="XCV199"/>
      <c r="XCW199"/>
      <c r="XCX199"/>
      <c r="XCY199"/>
      <c r="XCZ199"/>
      <c r="XDA199"/>
      <c r="XDB199"/>
      <c r="XDC199"/>
      <c r="XDD199"/>
      <c r="XDE199"/>
      <c r="XDF199"/>
      <c r="XDG199"/>
      <c r="XDH199"/>
      <c r="XDI199"/>
      <c r="XDJ199"/>
      <c r="XDK199"/>
      <c r="XDL199"/>
      <c r="XDM199"/>
      <c r="XDN199"/>
      <c r="XDO199"/>
      <c r="XDP199"/>
      <c r="XDQ199"/>
      <c r="XDR199"/>
      <c r="XDS199"/>
      <c r="XDT199"/>
      <c r="XDU199"/>
      <c r="XDV199"/>
      <c r="XDW199"/>
      <c r="XDX199"/>
      <c r="XDY199"/>
      <c r="XDZ199"/>
      <c r="XEA199"/>
      <c r="XEB199"/>
      <c r="XEC199"/>
      <c r="XED199"/>
      <c r="XEE199"/>
      <c r="XEF199"/>
      <c r="XEG199"/>
      <c r="XEH199"/>
      <c r="XEI199"/>
      <c r="XEJ199"/>
      <c r="XEK199"/>
      <c r="XEL199"/>
      <c r="XEM199"/>
      <c r="XEN199"/>
      <c r="XEO199"/>
      <c r="XEP199"/>
      <c r="XEQ199"/>
      <c r="XER199"/>
      <c r="XES199"/>
      <c r="XET199"/>
      <c r="XEU199"/>
      <c r="XEV199"/>
      <c r="XEW199"/>
      <c r="XEX199"/>
      <c r="XEY199"/>
      <c r="XEZ199"/>
      <c r="XFA199"/>
    </row>
    <row r="200" spans="1:16381" ht="10.050000000000001" customHeight="1" x14ac:dyDescent="0.2">
      <c r="A200" t="s">
        <v>100</v>
      </c>
      <c r="B200" t="s">
        <v>138</v>
      </c>
      <c r="C200" t="s">
        <v>60</v>
      </c>
      <c r="D200" s="58" t="s">
        <v>84</v>
      </c>
      <c r="E200" s="264">
        <v>814200</v>
      </c>
      <c r="F200" s="18" t="s">
        <v>182</v>
      </c>
      <c r="G200" s="6" t="s">
        <v>157</v>
      </c>
      <c r="H200" s="100" t="s">
        <v>177</v>
      </c>
      <c r="I200" s="224">
        <v>45818</v>
      </c>
      <c r="J200" t="s">
        <v>11</v>
      </c>
      <c r="L200" s="20" t="s">
        <v>10</v>
      </c>
      <c r="M200" s="253">
        <v>387</v>
      </c>
      <c r="N200" s="35">
        <f>IFERROR(INDEX(Tableau6[],MATCH(Tableau3[[#This Row],[FACTURE]],Tableau6[NUM DE FACTURE],0),4),"")</f>
        <v>387</v>
      </c>
      <c r="O200" s="21" t="str">
        <f>IF(Tableau3[[#This Row],[CLIENTS]]="","",CONCATENATE(Tableau3[[#This Row],[MODE ]]," ",Tableau3[[#This Row],[ETS PAYEUR]]," ","F/",Tableau3[[#This Row],[FACTURE]]))</f>
        <v>CHEQUE ORABANK F/387</v>
      </c>
      <c r="Q200">
        <f>+ROW()-ROW(Tableau3[[#Headers],[N° LIGNE_RF]])</f>
        <v>197</v>
      </c>
      <c r="R200" s="6">
        <f>IF(Tableau3[[#This Row],[REFERENCE ]]="","",MATCH(Tableau3[[#This Row],[REFERENCE ]],Tableau3[[REFERENCE ]],0))</f>
        <v>192</v>
      </c>
      <c r="S200" s="70"/>
      <c r="T200" s="70"/>
      <c r="Y200"/>
      <c r="AA200"/>
      <c r="AF200"/>
      <c r="AG200"/>
    </row>
    <row r="201" spans="1:16381" s="1" customFormat="1" ht="10.050000000000001" customHeight="1" x14ac:dyDescent="0.2">
      <c r="A201" s="461" t="s">
        <v>100</v>
      </c>
      <c r="B201" s="461" t="s">
        <v>138</v>
      </c>
      <c r="C201" s="461" t="s">
        <v>60</v>
      </c>
      <c r="D201" s="462" t="s">
        <v>84</v>
      </c>
      <c r="E201" s="463">
        <v>5664000</v>
      </c>
      <c r="F201" s="464" t="s">
        <v>171</v>
      </c>
      <c r="G201" s="460" t="s">
        <v>157</v>
      </c>
      <c r="H201" s="468" t="s">
        <v>177</v>
      </c>
      <c r="I201" s="466">
        <v>45818</v>
      </c>
      <c r="J201" s="461" t="s">
        <v>11</v>
      </c>
      <c r="K201" s="461"/>
      <c r="L201" s="464" t="s">
        <v>10</v>
      </c>
      <c r="M201" s="469">
        <v>4</v>
      </c>
      <c r="N201" s="470">
        <f>IFERROR(INDEX(Tableau6[],MATCH(Tableau3[[#This Row],[FACTURE]],Tableau6[NUM DE FACTURE],0),4),"")</f>
        <v>4</v>
      </c>
      <c r="O201" s="471" t="str">
        <f>IF(Tableau3[[#This Row],[CLIENTS]]="","",CONCATENATE(Tableau3[[#This Row],[MODE ]]," ",Tableau3[[#This Row],[ETS PAYEUR]]," ","F/",Tableau3[[#This Row],[FACTURE]]))</f>
        <v>CHEQUE ORABANK F/4</v>
      </c>
      <c r="P201" s="461"/>
      <c r="Q201">
        <f>+ROW()-ROW(Tableau3[[#Headers],[N° LIGNE_RF]])</f>
        <v>198</v>
      </c>
      <c r="R201" s="460">
        <f>IF(Tableau3[[#This Row],[REFERENCE ]]="","",MATCH(Tableau3[[#This Row],[REFERENCE ]],Tableau3[[REFERENCE ]],0))</f>
        <v>192</v>
      </c>
      <c r="S201" s="476"/>
      <c r="T201" s="476"/>
    </row>
    <row r="202" spans="1:16381" s="1" customFormat="1" ht="10.050000000000001" customHeight="1" x14ac:dyDescent="0.2">
      <c r="A202" s="461" t="s">
        <v>100</v>
      </c>
      <c r="B202" s="461" t="s">
        <v>138</v>
      </c>
      <c r="C202" s="461" t="s">
        <v>60</v>
      </c>
      <c r="D202" s="462" t="s">
        <v>84</v>
      </c>
      <c r="E202" s="463">
        <v>5097600</v>
      </c>
      <c r="F202" s="464" t="s">
        <v>174</v>
      </c>
      <c r="G202" s="460" t="s">
        <v>157</v>
      </c>
      <c r="H202" s="465" t="s">
        <v>177</v>
      </c>
      <c r="I202" s="466">
        <v>45818</v>
      </c>
      <c r="J202" s="461" t="s">
        <v>11</v>
      </c>
      <c r="K202" s="461"/>
      <c r="L202" s="464" t="s">
        <v>10</v>
      </c>
      <c r="M202" s="460">
        <v>5</v>
      </c>
      <c r="N202" s="467">
        <f>IFERROR(INDEX(Tableau6[],MATCH(Tableau3[[#This Row],[FACTURE]],Tableau6[NUM DE FACTURE],0),4),"")</f>
        <v>5</v>
      </c>
      <c r="O202" s="461" t="str">
        <f>IF(Tableau3[[#This Row],[CLIENTS]]="","",CONCATENATE(Tableau3[[#This Row],[MODE ]]," ",Tableau3[[#This Row],[ETS PAYEUR]]," ","F/",Tableau3[[#This Row],[FACTURE]]))</f>
        <v>CHEQUE ORABANK F/5</v>
      </c>
      <c r="P202" s="461"/>
      <c r="Q202">
        <f>+ROW()-ROW(Tableau3[[#Headers],[N° LIGNE_RF]])</f>
        <v>199</v>
      </c>
      <c r="R202" s="460">
        <f>IF(Tableau3[[#This Row],[REFERENCE ]]="","",MATCH(Tableau3[[#This Row],[REFERENCE ]],Tableau3[[REFERENCE ]],0))</f>
        <v>192</v>
      </c>
      <c r="S202" s="476"/>
      <c r="T202" s="476"/>
    </row>
    <row r="203" spans="1:16381" ht="10.050000000000001" customHeight="1" x14ac:dyDescent="0.2">
      <c r="A203" t="s">
        <v>100</v>
      </c>
      <c r="B203" t="s">
        <v>138</v>
      </c>
      <c r="C203" t="s">
        <v>60</v>
      </c>
      <c r="D203" s="58" t="s">
        <v>84</v>
      </c>
      <c r="E203" s="264">
        <v>944000</v>
      </c>
      <c r="F203" s="18" t="s">
        <v>179</v>
      </c>
      <c r="G203" s="6" t="s">
        <v>157</v>
      </c>
      <c r="H203" s="100" t="s">
        <v>177</v>
      </c>
      <c r="I203" s="224">
        <v>45818</v>
      </c>
      <c r="J203" t="s">
        <v>11</v>
      </c>
      <c r="L203" s="20" t="s">
        <v>10</v>
      </c>
      <c r="M203" s="6">
        <v>380</v>
      </c>
      <c r="N203" s="3">
        <f>IFERROR(INDEX(Tableau6[],MATCH(Tableau3[[#This Row],[FACTURE]],Tableau6[NUM DE FACTURE],0),4),"")</f>
        <v>380</v>
      </c>
      <c r="O203" t="str">
        <f>IF(Tableau3[[#This Row],[CLIENTS]]="","",CONCATENATE(Tableau3[[#This Row],[MODE ]]," ",Tableau3[[#This Row],[ETS PAYEUR]]," ","F/",Tableau3[[#This Row],[FACTURE]]))</f>
        <v>CHEQUE ORABANK F/380</v>
      </c>
      <c r="Q203">
        <f>+ROW()-ROW(Tableau3[[#Headers],[N° LIGNE_RF]])</f>
        <v>200</v>
      </c>
      <c r="R203" s="6">
        <f>IF(Tableau3[[#This Row],[REFERENCE ]]="","",MATCH(Tableau3[[#This Row],[REFERENCE ]],Tableau3[[REFERENCE ]],0))</f>
        <v>192</v>
      </c>
      <c r="S203" s="70"/>
      <c r="T203" s="70"/>
      <c r="Y203"/>
      <c r="AA203"/>
      <c r="AF203"/>
      <c r="AG203"/>
    </row>
    <row r="204" spans="1:16381" s="1" customFormat="1" ht="10.050000000000001" customHeight="1" x14ac:dyDescent="0.2">
      <c r="A204" s="461" t="s">
        <v>100</v>
      </c>
      <c r="B204" s="461" t="s">
        <v>138</v>
      </c>
      <c r="C204" s="461" t="s">
        <v>60</v>
      </c>
      <c r="D204" s="462" t="s">
        <v>84</v>
      </c>
      <c r="E204" s="463">
        <v>6796800</v>
      </c>
      <c r="F204" s="464" t="s">
        <v>164</v>
      </c>
      <c r="G204" s="460" t="s">
        <v>157</v>
      </c>
      <c r="H204" s="465" t="s">
        <v>177</v>
      </c>
      <c r="I204" s="466">
        <v>45818</v>
      </c>
      <c r="J204" s="461" t="s">
        <v>11</v>
      </c>
      <c r="K204" s="461"/>
      <c r="L204" s="464" t="s">
        <v>10</v>
      </c>
      <c r="M204" s="460">
        <v>7</v>
      </c>
      <c r="N204" s="467">
        <f>IFERROR(INDEX(Tableau6[],MATCH(Tableau3[[#This Row],[FACTURE]],Tableau6[NUM DE FACTURE],0),4),"")</f>
        <v>7</v>
      </c>
      <c r="O204" s="461" t="str">
        <f>IF(Tableau3[[#This Row],[CLIENTS]]="","",CONCATENATE(Tableau3[[#This Row],[MODE ]]," ",Tableau3[[#This Row],[ETS PAYEUR]]," ","F/",Tableau3[[#This Row],[FACTURE]]))</f>
        <v>CHEQUE ORABANK F/7</v>
      </c>
      <c r="P204" s="461"/>
      <c r="Q204">
        <f>+ROW()-ROW(Tableau3[[#Headers],[N° LIGNE_RF]])</f>
        <v>201</v>
      </c>
      <c r="R204" s="460">
        <f>IF(Tableau3[[#This Row],[REFERENCE ]]="","",MATCH(Tableau3[[#This Row],[REFERENCE ]],Tableau3[[REFERENCE ]],0))</f>
        <v>192</v>
      </c>
      <c r="S204" s="476"/>
      <c r="T204" s="476"/>
    </row>
    <row r="205" spans="1:16381" s="1" customFormat="1" ht="10.050000000000001" customHeight="1" x14ac:dyDescent="0.2">
      <c r="A205" s="461" t="s">
        <v>100</v>
      </c>
      <c r="B205" s="461" t="s">
        <v>138</v>
      </c>
      <c r="C205" s="461" t="s">
        <v>60</v>
      </c>
      <c r="D205" s="462" t="s">
        <v>84</v>
      </c>
      <c r="E205" s="463">
        <v>5734800</v>
      </c>
      <c r="F205" s="464" t="s">
        <v>164</v>
      </c>
      <c r="G205" s="460" t="s">
        <v>157</v>
      </c>
      <c r="H205" s="465" t="s">
        <v>177</v>
      </c>
      <c r="I205" s="466">
        <v>45818</v>
      </c>
      <c r="J205" s="461" t="s">
        <v>11</v>
      </c>
      <c r="K205" s="461"/>
      <c r="L205" s="464" t="s">
        <v>10</v>
      </c>
      <c r="M205" s="460">
        <v>3</v>
      </c>
      <c r="N205" s="467">
        <f>IFERROR(INDEX(Tableau6[],MATCH(Tableau3[[#This Row],[FACTURE]],Tableau6[NUM DE FACTURE],0),4),"")</f>
        <v>3</v>
      </c>
      <c r="O205" s="461" t="str">
        <f>IF(Tableau3[[#This Row],[CLIENTS]]="","",CONCATENATE(Tableau3[[#This Row],[MODE ]]," ",Tableau3[[#This Row],[ETS PAYEUR]]," ","F/",Tableau3[[#This Row],[FACTURE]]))</f>
        <v>CHEQUE ORABANK F/3</v>
      </c>
      <c r="P205" s="461"/>
      <c r="Q205">
        <f>+ROW()-ROW(Tableau3[[#Headers],[N° LIGNE_RF]])</f>
        <v>202</v>
      </c>
      <c r="R205" s="460">
        <f>IF(Tableau3[[#This Row],[REFERENCE ]]="","",MATCH(Tableau3[[#This Row],[REFERENCE ]],Tableau3[[REFERENCE ]],0))</f>
        <v>192</v>
      </c>
      <c r="S205" s="476"/>
      <c r="T205" s="476"/>
    </row>
    <row r="206" spans="1:16381" s="1" customFormat="1" ht="10.050000000000001" customHeight="1" x14ac:dyDescent="0.2">
      <c r="A206" s="461" t="s">
        <v>100</v>
      </c>
      <c r="B206" s="461" t="s">
        <v>138</v>
      </c>
      <c r="C206" s="461" t="s">
        <v>60</v>
      </c>
      <c r="D206" s="462" t="s">
        <v>84</v>
      </c>
      <c r="E206" s="463">
        <v>5734800</v>
      </c>
      <c r="F206" s="464" t="s">
        <v>167</v>
      </c>
      <c r="G206" s="460" t="s">
        <v>157</v>
      </c>
      <c r="H206" s="468" t="s">
        <v>177</v>
      </c>
      <c r="I206" s="466">
        <v>45818</v>
      </c>
      <c r="J206" s="461" t="s">
        <v>11</v>
      </c>
      <c r="K206" s="461"/>
      <c r="L206" s="464" t="s">
        <v>10</v>
      </c>
      <c r="M206" s="469">
        <v>1</v>
      </c>
      <c r="N206" s="470">
        <f>IFERROR(INDEX(Tableau6[],MATCH(Tableau3[[#This Row],[FACTURE]],Tableau6[NUM DE FACTURE],0),4),"")</f>
        <v>1</v>
      </c>
      <c r="O206" s="471" t="str">
        <f>IF(Tableau3[[#This Row],[CLIENTS]]="","",CONCATENATE(Tableau3[[#This Row],[MODE ]]," ",Tableau3[[#This Row],[ETS PAYEUR]]," ","F/",Tableau3[[#This Row],[FACTURE]]))</f>
        <v>CHEQUE ORABANK F/1</v>
      </c>
      <c r="P206" s="461"/>
      <c r="Q206">
        <f>+ROW()-ROW(Tableau3[[#Headers],[N° LIGNE_RF]])</f>
        <v>203</v>
      </c>
      <c r="R206" s="460">
        <f>IF(Tableau3[[#This Row],[REFERENCE ]]="","",MATCH(Tableau3[[#This Row],[REFERENCE ]],Tableau3[[REFERENCE ]],0))</f>
        <v>192</v>
      </c>
      <c r="S206" s="476"/>
      <c r="T206" s="476"/>
    </row>
    <row r="207" spans="1:16381" s="1" customFormat="1" ht="10.050000000000001" customHeight="1" x14ac:dyDescent="0.2">
      <c r="A207" s="461" t="s">
        <v>100</v>
      </c>
      <c r="B207" s="461" t="s">
        <v>138</v>
      </c>
      <c r="C207" s="461" t="s">
        <v>60</v>
      </c>
      <c r="D207" s="462" t="s">
        <v>84</v>
      </c>
      <c r="E207" s="463">
        <v>3711100</v>
      </c>
      <c r="F207" s="464" t="s">
        <v>172</v>
      </c>
      <c r="G207" s="460" t="s">
        <v>157</v>
      </c>
      <c r="H207" s="468" t="s">
        <v>177</v>
      </c>
      <c r="I207" s="466">
        <v>45818</v>
      </c>
      <c r="J207" s="461" t="s">
        <v>11</v>
      </c>
      <c r="K207" s="461"/>
      <c r="L207" s="464" t="s">
        <v>10</v>
      </c>
      <c r="M207" s="469">
        <v>10</v>
      </c>
      <c r="N207" s="470">
        <f>IFERROR(INDEX(Tableau6[],MATCH(Tableau3[[#This Row],[FACTURE]],Tableau6[NUM DE FACTURE],0),4),"")</f>
        <v>10</v>
      </c>
      <c r="O207" s="471" t="str">
        <f>IF(Tableau3[[#This Row],[CLIENTS]]="","",CONCATENATE(Tableau3[[#This Row],[MODE ]]," ",Tableau3[[#This Row],[ETS PAYEUR]]," ","F/",Tableau3[[#This Row],[FACTURE]]))</f>
        <v>CHEQUE ORABANK F/10</v>
      </c>
      <c r="P207" s="461"/>
      <c r="Q207">
        <f>+ROW()-ROW(Tableau3[[#Headers],[N° LIGNE_RF]])</f>
        <v>204</v>
      </c>
      <c r="R207" s="460">
        <f>IF(Tableau3[[#This Row],[REFERENCE ]]="","",MATCH(Tableau3[[#This Row],[REFERENCE ]],Tableau3[[REFERENCE ]],0))</f>
        <v>192</v>
      </c>
      <c r="S207" s="476"/>
      <c r="T207" s="476"/>
    </row>
    <row r="208" spans="1:16381" s="1" customFormat="1" ht="10.050000000000001" customHeight="1" x14ac:dyDescent="0.2">
      <c r="A208" s="461" t="s">
        <v>100</v>
      </c>
      <c r="B208" s="461" t="s">
        <v>138</v>
      </c>
      <c r="C208" s="461" t="s">
        <v>60</v>
      </c>
      <c r="D208" s="462" t="s">
        <v>84</v>
      </c>
      <c r="E208" s="463">
        <v>708000</v>
      </c>
      <c r="F208" s="464" t="s">
        <v>172</v>
      </c>
      <c r="G208" s="460" t="s">
        <v>157</v>
      </c>
      <c r="H208" s="465" t="s">
        <v>177</v>
      </c>
      <c r="I208" s="466">
        <v>45818</v>
      </c>
      <c r="J208" s="461" t="s">
        <v>11</v>
      </c>
      <c r="K208" s="461"/>
      <c r="L208" s="464" t="s">
        <v>10</v>
      </c>
      <c r="M208" s="460">
        <v>9</v>
      </c>
      <c r="N208" s="467">
        <f>IFERROR(INDEX(Tableau6[],MATCH(Tableau3[[#This Row],[FACTURE]],Tableau6[NUM DE FACTURE],0),4),"")</f>
        <v>9</v>
      </c>
      <c r="O208" s="461" t="str">
        <f>IF(Tableau3[[#This Row],[CLIENTS]]="","",CONCATENATE(Tableau3[[#This Row],[MODE ]]," ",Tableau3[[#This Row],[ETS PAYEUR]]," ","F/",Tableau3[[#This Row],[FACTURE]]))</f>
        <v>CHEQUE ORABANK F/9</v>
      </c>
      <c r="P208" s="461"/>
      <c r="Q208">
        <f>+ROW()-ROW(Tableau3[[#Headers],[N° LIGNE_RF]])</f>
        <v>205</v>
      </c>
      <c r="R208" s="460">
        <f>IF(Tableau3[[#This Row],[REFERENCE ]]="","",MATCH(Tableau3[[#This Row],[REFERENCE ]],Tableau3[[REFERENCE ]],0))</f>
        <v>192</v>
      </c>
      <c r="S208" s="476"/>
      <c r="T208" s="476"/>
    </row>
    <row r="209" spans="1:33" ht="10.050000000000001" customHeight="1" x14ac:dyDescent="0.2">
      <c r="A209" t="s">
        <v>100</v>
      </c>
      <c r="B209" t="s">
        <v>138</v>
      </c>
      <c r="C209" t="s">
        <v>60</v>
      </c>
      <c r="D209" s="58" t="s">
        <v>84</v>
      </c>
      <c r="E209" s="270">
        <v>1604800</v>
      </c>
      <c r="F209" s="20" t="s">
        <v>182</v>
      </c>
      <c r="G209" s="6" t="s">
        <v>157</v>
      </c>
      <c r="H209" s="100" t="s">
        <v>177</v>
      </c>
      <c r="I209" s="224">
        <v>45818</v>
      </c>
      <c r="J209" t="s">
        <v>11</v>
      </c>
      <c r="L209" s="20" t="s">
        <v>10</v>
      </c>
      <c r="M209" s="6">
        <v>384</v>
      </c>
      <c r="N209" s="3">
        <f>IFERROR(INDEX(Tableau6[],MATCH(Tableau3[[#This Row],[FACTURE]],Tableau6[NUM DE FACTURE],0),4),"")</f>
        <v>384</v>
      </c>
      <c r="O209" t="str">
        <f>IF(Tableau3[[#This Row],[CLIENTS]]="","",CONCATENATE(Tableau3[[#This Row],[MODE ]]," ",Tableau3[[#This Row],[ETS PAYEUR]]," ","F/",Tableau3[[#This Row],[FACTURE]]))</f>
        <v>CHEQUE ORABANK F/384</v>
      </c>
      <c r="Q209">
        <f>+ROW()-ROW(Tableau3[[#Headers],[N° LIGNE_RF]])</f>
        <v>206</v>
      </c>
      <c r="R209" s="6">
        <f>IF(Tableau3[[#This Row],[REFERENCE ]]="","",MATCH(Tableau3[[#This Row],[REFERENCE ]],Tableau3[[REFERENCE ]],0))</f>
        <v>192</v>
      </c>
      <c r="S209" s="70"/>
      <c r="T209" s="70"/>
      <c r="Y209"/>
      <c r="AA209"/>
      <c r="AF209"/>
      <c r="AG209"/>
    </row>
    <row r="210" spans="1:33" s="1" customFormat="1" ht="10.050000000000001" customHeight="1" x14ac:dyDescent="0.2">
      <c r="A210" s="461" t="s">
        <v>100</v>
      </c>
      <c r="B210" s="461" t="s">
        <v>138</v>
      </c>
      <c r="C210" s="461" t="s">
        <v>60</v>
      </c>
      <c r="D210" s="462" t="s">
        <v>84</v>
      </c>
      <c r="E210" s="463">
        <v>682040</v>
      </c>
      <c r="F210" s="464" t="s">
        <v>168</v>
      </c>
      <c r="G210" s="460" t="s">
        <v>157</v>
      </c>
      <c r="H210" s="468" t="s">
        <v>177</v>
      </c>
      <c r="I210" s="466">
        <v>45818</v>
      </c>
      <c r="J210" s="461" t="s">
        <v>11</v>
      </c>
      <c r="K210" s="461"/>
      <c r="L210" s="464" t="s">
        <v>10</v>
      </c>
      <c r="M210" s="469">
        <v>12</v>
      </c>
      <c r="N210" s="470">
        <f>IFERROR(INDEX(Tableau6[],MATCH(Tableau3[[#This Row],[FACTURE]],Tableau6[NUM DE FACTURE],0),4),"")</f>
        <v>12</v>
      </c>
      <c r="O210" s="471" t="str">
        <f>IF(Tableau3[[#This Row],[CLIENTS]]="","",CONCATENATE(Tableau3[[#This Row],[MODE ]]," ",Tableau3[[#This Row],[ETS PAYEUR]]," ","F/",Tableau3[[#This Row],[FACTURE]]))</f>
        <v>CHEQUE ORABANK F/12</v>
      </c>
      <c r="P210" s="461"/>
      <c r="Q210">
        <f>+ROW()-ROW(Tableau3[[#Headers],[N° LIGNE_RF]])</f>
        <v>207</v>
      </c>
      <c r="R210" s="460">
        <f>IF(Tableau3[[#This Row],[REFERENCE ]]="","",MATCH(Tableau3[[#This Row],[REFERENCE ]],Tableau3[[REFERENCE ]],0))</f>
        <v>192</v>
      </c>
      <c r="S210" s="476"/>
      <c r="T210" s="476"/>
    </row>
    <row r="211" spans="1:33" s="1" customFormat="1" ht="10.050000000000001" customHeight="1" x14ac:dyDescent="0.2">
      <c r="A211" s="461" t="s">
        <v>100</v>
      </c>
      <c r="B211" s="461" t="s">
        <v>138</v>
      </c>
      <c r="C211" s="461" t="s">
        <v>60</v>
      </c>
      <c r="D211" s="462" t="s">
        <v>84</v>
      </c>
      <c r="E211" s="463">
        <v>1475000</v>
      </c>
      <c r="F211" s="464" t="s">
        <v>170</v>
      </c>
      <c r="G211" s="460" t="s">
        <v>157</v>
      </c>
      <c r="H211" s="465" t="s">
        <v>177</v>
      </c>
      <c r="I211" s="466">
        <v>45818</v>
      </c>
      <c r="J211" s="461" t="s">
        <v>11</v>
      </c>
      <c r="K211" s="461"/>
      <c r="L211" s="464" t="s">
        <v>10</v>
      </c>
      <c r="M211" s="460">
        <v>11</v>
      </c>
      <c r="N211" s="467">
        <f>IFERROR(INDEX(Tableau6[],MATCH(Tableau3[[#This Row],[FACTURE]],Tableau6[NUM DE FACTURE],0),4),"")</f>
        <v>11</v>
      </c>
      <c r="O211" s="461" t="str">
        <f>IF(Tableau3[[#This Row],[CLIENTS]]="","",CONCATENATE(Tableau3[[#This Row],[MODE ]]," ",Tableau3[[#This Row],[ETS PAYEUR]]," ","F/",Tableau3[[#This Row],[FACTURE]]))</f>
        <v>CHEQUE ORABANK F/11</v>
      </c>
      <c r="P211" s="461"/>
      <c r="Q211">
        <f>+ROW()-ROW(Tableau3[[#Headers],[N° LIGNE_RF]])</f>
        <v>208</v>
      </c>
      <c r="R211" s="460">
        <f>IF(Tableau3[[#This Row],[REFERENCE ]]="","",MATCH(Tableau3[[#This Row],[REFERENCE ]],Tableau3[[REFERENCE ]],0))</f>
        <v>192</v>
      </c>
      <c r="S211" s="476"/>
      <c r="T211" s="476"/>
    </row>
    <row r="212" spans="1:33" s="1" customFormat="1" ht="10.050000000000001" customHeight="1" x14ac:dyDescent="0.2">
      <c r="A212" s="461" t="s">
        <v>100</v>
      </c>
      <c r="B212" s="461" t="s">
        <v>138</v>
      </c>
      <c r="C212" s="461" t="s">
        <v>60</v>
      </c>
      <c r="D212" s="462" t="s">
        <v>84</v>
      </c>
      <c r="E212" s="463">
        <v>1681500</v>
      </c>
      <c r="F212" s="464" t="s">
        <v>170</v>
      </c>
      <c r="G212" s="460" t="s">
        <v>157</v>
      </c>
      <c r="H212" s="468" t="s">
        <v>177</v>
      </c>
      <c r="I212" s="466">
        <v>45818</v>
      </c>
      <c r="J212" s="461" t="s">
        <v>11</v>
      </c>
      <c r="K212" s="461"/>
      <c r="L212" s="464" t="s">
        <v>10</v>
      </c>
      <c r="M212" s="469">
        <v>18</v>
      </c>
      <c r="N212" s="470">
        <f>IFERROR(INDEX(Tableau6[],MATCH(Tableau3[[#This Row],[FACTURE]],Tableau6[NUM DE FACTURE],0),4),"")</f>
        <v>18</v>
      </c>
      <c r="O212" s="471" t="str">
        <f>IF(Tableau3[[#This Row],[CLIENTS]]="","",CONCATENATE(Tableau3[[#This Row],[MODE ]]," ",Tableau3[[#This Row],[ETS PAYEUR]]," ","F/",Tableau3[[#This Row],[FACTURE]]))</f>
        <v>CHEQUE ORABANK F/18</v>
      </c>
      <c r="P212" s="461"/>
      <c r="Q212">
        <f>+ROW()-ROW(Tableau3[[#Headers],[N° LIGNE_RF]])</f>
        <v>209</v>
      </c>
      <c r="R212" s="460">
        <f>IF(Tableau3[[#This Row],[REFERENCE ]]="","",MATCH(Tableau3[[#This Row],[REFERENCE ]],Tableau3[[REFERENCE ]],0))</f>
        <v>192</v>
      </c>
      <c r="S212" s="476"/>
      <c r="T212" s="476"/>
    </row>
    <row r="213" spans="1:33" s="1" customFormat="1" ht="10.050000000000001" customHeight="1" x14ac:dyDescent="0.2">
      <c r="A213" s="461" t="s">
        <v>100</v>
      </c>
      <c r="B213" s="461" t="s">
        <v>138</v>
      </c>
      <c r="C213" s="461" t="s">
        <v>60</v>
      </c>
      <c r="D213" s="462" t="s">
        <v>84</v>
      </c>
      <c r="E213" s="463">
        <v>5988500</v>
      </c>
      <c r="F213" s="464" t="s">
        <v>170</v>
      </c>
      <c r="G213" s="460" t="s">
        <v>157</v>
      </c>
      <c r="H213" s="468" t="s">
        <v>177</v>
      </c>
      <c r="I213" s="466">
        <v>45818</v>
      </c>
      <c r="J213" s="461" t="s">
        <v>11</v>
      </c>
      <c r="K213" s="461"/>
      <c r="L213" s="464" t="s">
        <v>10</v>
      </c>
      <c r="M213" s="469">
        <v>17</v>
      </c>
      <c r="N213" s="470">
        <f>IFERROR(INDEX(Tableau6[],MATCH(Tableau3[[#This Row],[FACTURE]],Tableau6[NUM DE FACTURE],0),4),"")</f>
        <v>17</v>
      </c>
      <c r="O213" s="471" t="str">
        <f>IF(Tableau3[[#This Row],[CLIENTS]]="","",CONCATENATE(Tableau3[[#This Row],[MODE ]]," ",Tableau3[[#This Row],[ETS PAYEUR]]," ","F/",Tableau3[[#This Row],[FACTURE]]))</f>
        <v>CHEQUE ORABANK F/17</v>
      </c>
      <c r="P213" s="461"/>
      <c r="Q213">
        <f>+ROW()-ROW(Tableau3[[#Headers],[N° LIGNE_RF]])</f>
        <v>210</v>
      </c>
      <c r="R213" s="460">
        <f>IF(Tableau3[[#This Row],[REFERENCE ]]="","",MATCH(Tableau3[[#This Row],[REFERENCE ]],Tableau3[[REFERENCE ]],0))</f>
        <v>192</v>
      </c>
      <c r="S213" s="476"/>
      <c r="T213" s="476"/>
    </row>
    <row r="214" spans="1:33" s="1" customFormat="1" ht="10.050000000000001" customHeight="1" x14ac:dyDescent="0.2">
      <c r="A214" s="461" t="s">
        <v>100</v>
      </c>
      <c r="B214" s="461" t="s">
        <v>138</v>
      </c>
      <c r="C214" s="461" t="s">
        <v>60</v>
      </c>
      <c r="D214" s="462" t="s">
        <v>84</v>
      </c>
      <c r="E214" s="463">
        <v>2950000</v>
      </c>
      <c r="F214" s="464" t="s">
        <v>176</v>
      </c>
      <c r="G214" s="460" t="s">
        <v>157</v>
      </c>
      <c r="H214" s="468" t="s">
        <v>177</v>
      </c>
      <c r="I214" s="466">
        <v>45818</v>
      </c>
      <c r="J214" s="461" t="s">
        <v>11</v>
      </c>
      <c r="K214" s="461"/>
      <c r="L214" s="464" t="s">
        <v>10</v>
      </c>
      <c r="M214" s="469">
        <v>19</v>
      </c>
      <c r="N214" s="470">
        <f>IFERROR(INDEX(Tableau6[],MATCH(Tableau3[[#This Row],[FACTURE]],Tableau6[NUM DE FACTURE],0),4),"")</f>
        <v>19</v>
      </c>
      <c r="O214" s="471" t="str">
        <f>IF(Tableau3[[#This Row],[CLIENTS]]="","",CONCATENATE(Tableau3[[#This Row],[MODE ]]," ",Tableau3[[#This Row],[ETS PAYEUR]]," ","F/",Tableau3[[#This Row],[FACTURE]]))</f>
        <v>CHEQUE ORABANK F/19</v>
      </c>
      <c r="P214" s="461"/>
      <c r="Q214">
        <f>+ROW()-ROW(Tableau3[[#Headers],[N° LIGNE_RF]])</f>
        <v>211</v>
      </c>
      <c r="R214" s="460">
        <f>IF(Tableau3[[#This Row],[REFERENCE ]]="","",MATCH(Tableau3[[#This Row],[REFERENCE ]],Tableau3[[REFERENCE ]],0))</f>
        <v>192</v>
      </c>
      <c r="S214" s="476"/>
      <c r="T214" s="476"/>
    </row>
    <row r="215" spans="1:33" s="1" customFormat="1" ht="10.050000000000001" customHeight="1" x14ac:dyDescent="0.2">
      <c r="A215" s="461" t="s">
        <v>100</v>
      </c>
      <c r="B215" s="461" t="s">
        <v>138</v>
      </c>
      <c r="C215" s="461" t="s">
        <v>60</v>
      </c>
      <c r="D215" s="462" t="s">
        <v>84</v>
      </c>
      <c r="E215" s="463">
        <v>236000</v>
      </c>
      <c r="F215" s="464" t="s">
        <v>166</v>
      </c>
      <c r="G215" s="460" t="s">
        <v>157</v>
      </c>
      <c r="H215" s="468" t="s">
        <v>177</v>
      </c>
      <c r="I215" s="466">
        <v>45818</v>
      </c>
      <c r="J215" s="461" t="s">
        <v>11</v>
      </c>
      <c r="K215" s="461"/>
      <c r="L215" s="464" t="s">
        <v>10</v>
      </c>
      <c r="M215" s="469">
        <v>13</v>
      </c>
      <c r="N215" s="470">
        <f>IFERROR(INDEX(Tableau6[],MATCH(Tableau3[[#This Row],[FACTURE]],Tableau6[NUM DE FACTURE],0),4),"")</f>
        <v>13</v>
      </c>
      <c r="O215" s="471" t="str">
        <f>IF(Tableau3[[#This Row],[CLIENTS]]="","",CONCATENATE(Tableau3[[#This Row],[MODE ]]," ",Tableau3[[#This Row],[ETS PAYEUR]]," ","F/",Tableau3[[#This Row],[FACTURE]]))</f>
        <v>CHEQUE ORABANK F/13</v>
      </c>
      <c r="P215" s="461"/>
      <c r="Q215">
        <f>+ROW()-ROW(Tableau3[[#Headers],[N° LIGNE_RF]])</f>
        <v>212</v>
      </c>
      <c r="R215" s="460">
        <f>IF(Tableau3[[#This Row],[REFERENCE ]]="","",MATCH(Tableau3[[#This Row],[REFERENCE ]],Tableau3[[REFERENCE ]],0))</f>
        <v>192</v>
      </c>
      <c r="S215" s="476"/>
      <c r="T215" s="476"/>
    </row>
    <row r="216" spans="1:33" s="1" customFormat="1" ht="10.050000000000001" customHeight="1" x14ac:dyDescent="0.2">
      <c r="A216" s="461" t="s">
        <v>100</v>
      </c>
      <c r="B216" s="461" t="s">
        <v>138</v>
      </c>
      <c r="C216" s="461" t="s">
        <v>60</v>
      </c>
      <c r="D216" s="462" t="s">
        <v>84</v>
      </c>
      <c r="E216" s="463">
        <v>23292020</v>
      </c>
      <c r="F216" s="464" t="s">
        <v>175</v>
      </c>
      <c r="G216" s="460" t="s">
        <v>157</v>
      </c>
      <c r="H216" s="465" t="s">
        <v>177</v>
      </c>
      <c r="I216" s="466">
        <v>45818</v>
      </c>
      <c r="J216" s="461" t="s">
        <v>11</v>
      </c>
      <c r="K216" s="461"/>
      <c r="L216" s="464" t="s">
        <v>10</v>
      </c>
      <c r="M216" s="460">
        <v>15</v>
      </c>
      <c r="N216" s="467">
        <f>IFERROR(INDEX(Tableau6[],MATCH(Tableau3[[#This Row],[FACTURE]],Tableau6[NUM DE FACTURE],0),4),"")</f>
        <v>15</v>
      </c>
      <c r="O216" s="461" t="str">
        <f>IF(Tableau3[[#This Row],[CLIENTS]]="","",CONCATENATE(Tableau3[[#This Row],[MODE ]]," ",Tableau3[[#This Row],[ETS PAYEUR]]," ","F/",Tableau3[[#This Row],[FACTURE]]))</f>
        <v>CHEQUE ORABANK F/15</v>
      </c>
      <c r="P216" s="461"/>
      <c r="Q216">
        <f>+ROW()-ROW(Tableau3[[#Headers],[N° LIGNE_RF]])</f>
        <v>213</v>
      </c>
      <c r="R216" s="460">
        <f>IF(Tableau3[[#This Row],[REFERENCE ]]="","",MATCH(Tableau3[[#This Row],[REFERENCE ]],Tableau3[[REFERENCE ]],0))</f>
        <v>192</v>
      </c>
      <c r="S216" s="476"/>
      <c r="T216" s="476"/>
    </row>
    <row r="217" spans="1:33" ht="10.050000000000001" customHeight="1" x14ac:dyDescent="0.2">
      <c r="A217" t="s">
        <v>100</v>
      </c>
      <c r="B217" t="s">
        <v>138</v>
      </c>
      <c r="C217" t="s">
        <v>60</v>
      </c>
      <c r="D217" s="58" t="s">
        <v>84</v>
      </c>
      <c r="E217" s="264">
        <v>5212650</v>
      </c>
      <c r="F217" s="18" t="s">
        <v>180</v>
      </c>
      <c r="G217" s="6" t="s">
        <v>157</v>
      </c>
      <c r="H217" s="100" t="s">
        <v>177</v>
      </c>
      <c r="I217" s="224">
        <v>45818</v>
      </c>
      <c r="J217" t="s">
        <v>11</v>
      </c>
      <c r="L217" s="20" t="s">
        <v>10</v>
      </c>
      <c r="M217" s="253">
        <v>381</v>
      </c>
      <c r="N217" s="35">
        <f>IFERROR(INDEX(Tableau6[],MATCH(Tableau3[[#This Row],[FACTURE]],Tableau6[NUM DE FACTURE],0),4),"")</f>
        <v>381</v>
      </c>
      <c r="O217" t="str">
        <f>IF(Tableau3[[#This Row],[CLIENTS]]="","",CONCATENATE(Tableau3[[#This Row],[MODE ]]," ",Tableau3[[#This Row],[ETS PAYEUR]]," ","F/",Tableau3[[#This Row],[FACTURE]]))</f>
        <v>CHEQUE ORABANK F/381</v>
      </c>
      <c r="Q217">
        <f>+ROW()-ROW(Tableau3[[#Headers],[N° LIGNE_RF]])</f>
        <v>214</v>
      </c>
      <c r="R217" s="6">
        <f>IF(Tableau3[[#This Row],[REFERENCE ]]="","",MATCH(Tableau3[[#This Row],[REFERENCE ]],Tableau3[[REFERENCE ]],0))</f>
        <v>192</v>
      </c>
      <c r="S217" s="70"/>
      <c r="T217" s="70"/>
      <c r="Y217"/>
      <c r="AA217"/>
      <c r="AF217"/>
      <c r="AG217"/>
    </row>
    <row r="218" spans="1:33" ht="10.050000000000001" customHeight="1" x14ac:dyDescent="0.2">
      <c r="A218" t="s">
        <v>100</v>
      </c>
      <c r="B218" t="s">
        <v>138</v>
      </c>
      <c r="C218" t="s">
        <v>60</v>
      </c>
      <c r="D218" s="58" t="s">
        <v>84</v>
      </c>
      <c r="E218" s="264">
        <v>8431100</v>
      </c>
      <c r="F218" s="18" t="s">
        <v>182</v>
      </c>
      <c r="G218" s="6" t="s">
        <v>157</v>
      </c>
      <c r="H218" s="100" t="s">
        <v>177</v>
      </c>
      <c r="I218" s="224">
        <v>45818</v>
      </c>
      <c r="J218" t="s">
        <v>11</v>
      </c>
      <c r="L218" s="20" t="s">
        <v>10</v>
      </c>
      <c r="M218" s="253">
        <v>388</v>
      </c>
      <c r="N218" s="35">
        <f>IFERROR(INDEX(Tableau6[],MATCH(Tableau3[[#This Row],[FACTURE]],Tableau6[NUM DE FACTURE],0),4),"")</f>
        <v>388</v>
      </c>
      <c r="O218" s="21" t="str">
        <f>IF(Tableau3[[#This Row],[CLIENTS]]="","",CONCATENATE(Tableau3[[#This Row],[MODE ]]," ",Tableau3[[#This Row],[ETS PAYEUR]]," ","F/",Tableau3[[#This Row],[FACTURE]]))</f>
        <v>CHEQUE ORABANK F/388</v>
      </c>
      <c r="Q218">
        <f>+ROW()-ROW(Tableau3[[#Headers],[N° LIGNE_RF]])</f>
        <v>215</v>
      </c>
      <c r="R218" s="6">
        <f>IF(Tableau3[[#This Row],[REFERENCE ]]="","",MATCH(Tableau3[[#This Row],[REFERENCE ]],Tableau3[[REFERENCE ]],0))</f>
        <v>192</v>
      </c>
      <c r="S218" s="70"/>
      <c r="T218" s="70"/>
      <c r="Y218"/>
      <c r="AA218"/>
      <c r="AF218"/>
      <c r="AG218"/>
    </row>
    <row r="219" spans="1:33" ht="10.050000000000001" customHeight="1" x14ac:dyDescent="0.2">
      <c r="A219" t="s">
        <v>100</v>
      </c>
      <c r="B219" t="s">
        <v>138</v>
      </c>
      <c r="C219" t="s">
        <v>60</v>
      </c>
      <c r="D219" s="58" t="s">
        <v>84</v>
      </c>
      <c r="E219" s="264">
        <v>8814600</v>
      </c>
      <c r="F219" s="18" t="s">
        <v>179</v>
      </c>
      <c r="G219" s="6" t="s">
        <v>157</v>
      </c>
      <c r="H219" s="100" t="s">
        <v>177</v>
      </c>
      <c r="I219" s="224">
        <v>45818</v>
      </c>
      <c r="J219" t="s">
        <v>11</v>
      </c>
      <c r="L219" s="20" t="s">
        <v>10</v>
      </c>
      <c r="M219" s="253">
        <v>386</v>
      </c>
      <c r="N219" s="35">
        <f>IFERROR(INDEX(Tableau6[],MATCH(Tableau3[[#This Row],[FACTURE]],Tableau6[NUM DE FACTURE],0),4),"")</f>
        <v>386</v>
      </c>
      <c r="O219" s="21" t="str">
        <f>IF(Tableau3[[#This Row],[CLIENTS]]="","",CONCATENATE(Tableau3[[#This Row],[MODE ]]," ",Tableau3[[#This Row],[ETS PAYEUR]]," ","F/",Tableau3[[#This Row],[FACTURE]]))</f>
        <v>CHEQUE ORABANK F/386</v>
      </c>
      <c r="Q219">
        <f>+ROW()-ROW(Tableau3[[#Headers],[N° LIGNE_RF]])</f>
        <v>216</v>
      </c>
      <c r="R219" s="6">
        <f>IF(Tableau3[[#This Row],[REFERENCE ]]="","",MATCH(Tableau3[[#This Row],[REFERENCE ]],Tableau3[[REFERENCE ]],0))</f>
        <v>192</v>
      </c>
      <c r="S219" s="70"/>
      <c r="T219" s="70"/>
      <c r="Y219"/>
      <c r="AA219"/>
      <c r="AF219"/>
      <c r="AG219"/>
    </row>
    <row r="220" spans="1:33" x14ac:dyDescent="0.2">
      <c r="A220" t="s">
        <v>100</v>
      </c>
      <c r="B220" t="s">
        <v>138</v>
      </c>
      <c r="C220" t="s">
        <v>60</v>
      </c>
      <c r="D220" s="58" t="s">
        <v>84</v>
      </c>
      <c r="E220" s="264">
        <v>33571018</v>
      </c>
      <c r="F220" s="18" t="s">
        <v>178</v>
      </c>
      <c r="G220" s="6" t="s">
        <v>157</v>
      </c>
      <c r="H220" s="100" t="s">
        <v>177</v>
      </c>
      <c r="I220" s="224">
        <v>45818</v>
      </c>
      <c r="J220" t="s">
        <v>11</v>
      </c>
      <c r="L220" s="20" t="s">
        <v>10</v>
      </c>
      <c r="M220" s="6">
        <v>385</v>
      </c>
      <c r="N220" s="3">
        <f>IFERROR(INDEX(Tableau6[],MATCH(Tableau3[[#This Row],[FACTURE]],Tableau6[NUM DE FACTURE],0),4),"")</f>
        <v>385</v>
      </c>
      <c r="O220" t="str">
        <f>IF(Tableau3[[#This Row],[CLIENTS]]="","",CONCATENATE(Tableau3[[#This Row],[MODE ]]," ",Tableau3[[#This Row],[ETS PAYEUR]]," ","F/",Tableau3[[#This Row],[FACTURE]]))</f>
        <v>CHEQUE ORABANK F/385</v>
      </c>
      <c r="Q220">
        <f>+ROW()-ROW(Tableau3[[#Headers],[N° LIGNE_RF]])</f>
        <v>217</v>
      </c>
      <c r="R220" s="6">
        <f>IF(Tableau3[[#This Row],[REFERENCE ]]="","",MATCH(Tableau3[[#This Row],[REFERENCE ]],Tableau3[[REFERENCE ]],0))</f>
        <v>192</v>
      </c>
      <c r="S220" s="70"/>
      <c r="T220" s="70"/>
      <c r="Y220"/>
      <c r="AA220"/>
      <c r="AF220"/>
      <c r="AG220"/>
    </row>
    <row r="221" spans="1:33" x14ac:dyDescent="0.2">
      <c r="A221" t="s">
        <v>100</v>
      </c>
      <c r="B221" t="s">
        <v>138</v>
      </c>
      <c r="C221" t="s">
        <v>60</v>
      </c>
      <c r="D221" s="58" t="s">
        <v>84</v>
      </c>
      <c r="E221" s="264">
        <v>40100919</v>
      </c>
      <c r="F221" s="18" t="s">
        <v>181</v>
      </c>
      <c r="G221" s="6" t="s">
        <v>157</v>
      </c>
      <c r="H221" s="100" t="s">
        <v>177</v>
      </c>
      <c r="I221" s="224">
        <v>45818</v>
      </c>
      <c r="J221" t="s">
        <v>11</v>
      </c>
      <c r="L221" s="20" t="s">
        <v>10</v>
      </c>
      <c r="M221" s="253">
        <v>382</v>
      </c>
      <c r="N221" s="35">
        <f>IFERROR(INDEX(Tableau6[],MATCH(Tableau3[[#This Row],[FACTURE]],Tableau6[NUM DE FACTURE],0),4),"")</f>
        <v>382</v>
      </c>
      <c r="O221" s="21" t="str">
        <f>IF(Tableau3[[#This Row],[CLIENTS]]="","",CONCATENATE(Tableau3[[#This Row],[MODE ]]," ",Tableau3[[#This Row],[ETS PAYEUR]]," ","F/",Tableau3[[#This Row],[FACTURE]]))</f>
        <v>CHEQUE ORABANK F/382</v>
      </c>
      <c r="Q221">
        <f>+ROW()-ROW(Tableau3[[#Headers],[N° LIGNE_RF]])</f>
        <v>218</v>
      </c>
      <c r="R221" s="6">
        <f>IF(Tableau3[[#This Row],[REFERENCE ]]="","",MATCH(Tableau3[[#This Row],[REFERENCE ]],Tableau3[[REFERENCE ]],0))</f>
        <v>192</v>
      </c>
      <c r="S221" s="70"/>
      <c r="T221" s="70"/>
      <c r="Y221"/>
      <c r="AA221"/>
      <c r="AF221"/>
      <c r="AG221"/>
    </row>
    <row r="222" spans="1:33" x14ac:dyDescent="0.2">
      <c r="A222" t="s">
        <v>100</v>
      </c>
      <c r="B222" t="s">
        <v>138</v>
      </c>
      <c r="C222" t="s">
        <v>60</v>
      </c>
      <c r="D222" s="58" t="s">
        <v>84</v>
      </c>
      <c r="E222" s="270">
        <v>40528880</v>
      </c>
      <c r="F222" s="18" t="s">
        <v>181</v>
      </c>
      <c r="G222" s="6" t="s">
        <v>157</v>
      </c>
      <c r="H222" s="100" t="s">
        <v>177</v>
      </c>
      <c r="I222" s="224">
        <v>45818</v>
      </c>
      <c r="J222" t="s">
        <v>11</v>
      </c>
      <c r="L222" s="20" t="s">
        <v>10</v>
      </c>
      <c r="M222" s="253">
        <v>383</v>
      </c>
      <c r="N222" s="35">
        <f>IFERROR(INDEX(Tableau6[],MATCH(Tableau3[[#This Row],[FACTURE]],Tableau6[NUM DE FACTURE],0),4),"")</f>
        <v>383</v>
      </c>
      <c r="O222" s="21" t="str">
        <f>IF(Tableau3[[#This Row],[CLIENTS]]="","",CONCATENATE(Tableau3[[#This Row],[MODE ]]," ",Tableau3[[#This Row],[ETS PAYEUR]]," ","F/",Tableau3[[#This Row],[FACTURE]]))</f>
        <v>CHEQUE ORABANK F/383</v>
      </c>
      <c r="Q222">
        <f>+ROW()-ROW(Tableau3[[#Headers],[N° LIGNE_RF]])</f>
        <v>219</v>
      </c>
      <c r="R222" s="6">
        <f>IF(Tableau3[[#This Row],[REFERENCE ]]="","",MATCH(Tableau3[[#This Row],[REFERENCE ]],Tableau3[[REFERENCE ]],0))</f>
        <v>192</v>
      </c>
      <c r="S222" s="70"/>
      <c r="T222" s="70"/>
      <c r="Y222"/>
      <c r="AA222"/>
      <c r="AF222"/>
      <c r="AG222"/>
    </row>
    <row r="223" spans="1:33" x14ac:dyDescent="0.2">
      <c r="A223" t="s">
        <v>100</v>
      </c>
      <c r="B223" t="s">
        <v>102</v>
      </c>
      <c r="C223" t="s">
        <v>60</v>
      </c>
      <c r="D223" s="58" t="s">
        <v>84</v>
      </c>
      <c r="E223" s="264">
        <v>19293000</v>
      </c>
      <c r="F223" s="18"/>
      <c r="G223" s="6" t="s">
        <v>157</v>
      </c>
      <c r="H223" s="100" t="s">
        <v>248</v>
      </c>
      <c r="I223" s="224">
        <v>45827</v>
      </c>
      <c r="J223" t="s">
        <v>14</v>
      </c>
      <c r="K223" s="3">
        <v>45828</v>
      </c>
      <c r="L223" s="18" t="s">
        <v>14</v>
      </c>
      <c r="M223" s="6">
        <v>396</v>
      </c>
      <c r="N223" s="3">
        <f>IFERROR(INDEX(Tableau6[],MATCH(Tableau3[[#This Row],[FACTURE]],Tableau6[NUM DE FACTURE],0),4),"")</f>
        <v>396</v>
      </c>
      <c r="O223" t="str">
        <f>IF(Tableau3[[#This Row],[CLIENTS]]="","",CONCATENATE(Tableau3[[#This Row],[MODE ]]," ",Tableau3[[#This Row],[ETS PAYEUR]]," ","F/",Tableau3[[#This Row],[FACTURE]]))</f>
        <v>CHEQUE NSIA F/396</v>
      </c>
      <c r="Q223">
        <f>+ROW()-ROW(Tableau3[[#Headers],[N° LIGNE_RF]])</f>
        <v>220</v>
      </c>
      <c r="R223" s="6">
        <f>IF(Tableau3[[#This Row],[REFERENCE ]]="","",MATCH(Tableau3[[#This Row],[REFERENCE ]],Tableau3[[REFERENCE ]],0))</f>
        <v>220</v>
      </c>
      <c r="S223" s="70"/>
      <c r="T223" s="70"/>
      <c r="Y223"/>
      <c r="AA223"/>
      <c r="AF223"/>
      <c r="AG223"/>
    </row>
    <row r="224" spans="1:33" x14ac:dyDescent="0.2">
      <c r="A224" t="s">
        <v>100</v>
      </c>
      <c r="B224" t="s">
        <v>250</v>
      </c>
      <c r="C224" t="s">
        <v>61</v>
      </c>
      <c r="D224" s="58" t="s">
        <v>83</v>
      </c>
      <c r="E224" s="264">
        <v>800000</v>
      </c>
      <c r="F224" s="18"/>
      <c r="G224" s="6" t="s">
        <v>157</v>
      </c>
      <c r="H224" s="100" t="s">
        <v>251</v>
      </c>
      <c r="I224" s="224">
        <v>45833</v>
      </c>
      <c r="J224" t="s">
        <v>9</v>
      </c>
      <c r="K224" s="3">
        <v>45833</v>
      </c>
      <c r="L224" s="18" t="s">
        <v>9</v>
      </c>
      <c r="M224" s="6"/>
      <c r="N224" s="3" t="str">
        <f>IFERROR(INDEX(Tableau6[],MATCH(Tableau3[[#This Row],[FACTURE]],Tableau6[NUM DE FACTURE],0),4),"")</f>
        <v/>
      </c>
      <c r="O224" t="str">
        <f>IF(Tableau3[[#This Row],[CLIENTS]]="","",CONCATENATE(Tableau3[[#This Row],[MODE ]]," ",Tableau3[[#This Row],[ETS PAYEUR]]," ","F/",Tableau3[[#This Row],[FACTURE]]))</f>
        <v>CHEQUE SGCI F/</v>
      </c>
      <c r="Q224">
        <f>+ROW()-ROW(Tableau3[[#Headers],[N° LIGNE_RF]])</f>
        <v>221</v>
      </c>
      <c r="R224" s="6">
        <f>IF(Tableau3[[#This Row],[REFERENCE ]]="","",MATCH(Tableau3[[#This Row],[REFERENCE ]],Tableau3[[REFERENCE ]],0))</f>
        <v>221</v>
      </c>
      <c r="S224" s="70"/>
      <c r="T224" s="70"/>
      <c r="Y224"/>
      <c r="AA224"/>
      <c r="AF224"/>
      <c r="AG224"/>
    </row>
    <row r="225" spans="1:33" x14ac:dyDescent="0.2">
      <c r="A225" t="s">
        <v>100</v>
      </c>
      <c r="B225" t="s">
        <v>102</v>
      </c>
      <c r="C225" t="s">
        <v>60</v>
      </c>
      <c r="D225" s="58" t="s">
        <v>84</v>
      </c>
      <c r="E225" s="264">
        <v>16213663</v>
      </c>
      <c r="F225" s="18"/>
      <c r="G225" s="6" t="s">
        <v>157</v>
      </c>
      <c r="H225" s="100" t="s">
        <v>247</v>
      </c>
      <c r="I225" s="224">
        <v>45863</v>
      </c>
      <c r="J225" t="s">
        <v>14</v>
      </c>
      <c r="K225" s="3">
        <v>45863</v>
      </c>
      <c r="L225" s="18" t="s">
        <v>14</v>
      </c>
      <c r="M225" s="6">
        <v>24</v>
      </c>
      <c r="N225" s="3">
        <f>IFERROR(INDEX(Tableau6[],MATCH(Tableau3[[#This Row],[FACTURE]],Tableau6[NUM DE FACTURE],0),4),"")</f>
        <v>24</v>
      </c>
      <c r="O225" t="str">
        <f>IF(Tableau3[[#This Row],[CLIENTS]]="","",CONCATENATE(Tableau3[[#This Row],[MODE ]]," ",Tableau3[[#This Row],[ETS PAYEUR]]," ","F/",Tableau3[[#This Row],[FACTURE]]))</f>
        <v>CHEQUE NSIA F/24</v>
      </c>
      <c r="Q225">
        <f>+ROW()-ROW(Tableau3[[#Headers],[N° LIGNE_RF]])</f>
        <v>222</v>
      </c>
      <c r="R225" s="6">
        <f>IF(Tableau3[[#This Row],[REFERENCE ]]="","",MATCH(Tableau3[[#This Row],[REFERENCE ]],Tableau3[[REFERENCE ]],0))</f>
        <v>222</v>
      </c>
      <c r="S225" s="70"/>
      <c r="T225" s="70"/>
      <c r="Y225"/>
      <c r="AA225"/>
      <c r="AF225"/>
      <c r="AG225"/>
    </row>
    <row r="226" spans="1:33" x14ac:dyDescent="0.2">
      <c r="A226" t="s">
        <v>100</v>
      </c>
      <c r="B226" t="s">
        <v>138</v>
      </c>
      <c r="C226" t="s">
        <v>60</v>
      </c>
      <c r="D226" s="58" t="s">
        <v>84</v>
      </c>
      <c r="E226" s="264">
        <v>1504500</v>
      </c>
      <c r="F226" s="18" t="s">
        <v>184</v>
      </c>
      <c r="G226" s="6" t="s">
        <v>157</v>
      </c>
      <c r="H226" s="100" t="s">
        <v>187</v>
      </c>
      <c r="I226" s="224">
        <v>45874</v>
      </c>
      <c r="J226" t="s">
        <v>8</v>
      </c>
      <c r="L226" s="20" t="s">
        <v>10</v>
      </c>
      <c r="M226" s="253">
        <v>25</v>
      </c>
      <c r="N226" s="35">
        <f>IFERROR(INDEX(Tableau6[],MATCH(Tableau3[[#This Row],[FACTURE]],Tableau6[NUM DE FACTURE],0),4),"")</f>
        <v>25</v>
      </c>
      <c r="O226" s="21" t="str">
        <f>IF(Tableau3[[#This Row],[CLIENTS]]="","",CONCATENATE(Tableau3[[#This Row],[MODE ]]," ",Tableau3[[#This Row],[ETS PAYEUR]]," ","F/",Tableau3[[#This Row],[FACTURE]]))</f>
        <v>CHEQUE BNI F/25</v>
      </c>
      <c r="Q226">
        <f>+ROW()-ROW(Tableau3[[#Headers],[N° LIGNE_RF]])</f>
        <v>223</v>
      </c>
      <c r="R226" s="6">
        <f>IF(Tableau3[[#This Row],[REFERENCE ]]="","",MATCH(Tableau3[[#This Row],[REFERENCE ]],Tableau3[[REFERENCE ]],0))</f>
        <v>223</v>
      </c>
      <c r="S226" s="70"/>
      <c r="T226" s="70"/>
      <c r="Y226"/>
      <c r="AA226"/>
      <c r="AF226"/>
      <c r="AG226"/>
    </row>
    <row r="227" spans="1:33" x14ac:dyDescent="0.2">
      <c r="A227" t="s">
        <v>100</v>
      </c>
      <c r="B227" t="s">
        <v>138</v>
      </c>
      <c r="C227" t="s">
        <v>60</v>
      </c>
      <c r="D227" s="58" t="s">
        <v>84</v>
      </c>
      <c r="E227" s="270">
        <v>4130000</v>
      </c>
      <c r="F227" s="20" t="s">
        <v>185</v>
      </c>
      <c r="G227" s="6" t="s">
        <v>157</v>
      </c>
      <c r="H227" s="100" t="s">
        <v>187</v>
      </c>
      <c r="I227" s="224">
        <v>45874</v>
      </c>
      <c r="J227" t="s">
        <v>8</v>
      </c>
      <c r="L227" s="20" t="s">
        <v>10</v>
      </c>
      <c r="M227" s="253">
        <v>23</v>
      </c>
      <c r="N227" s="35">
        <f>IFERROR(INDEX(Tableau6[],MATCH(Tableau3[[#This Row],[FACTURE]],Tableau6[NUM DE FACTURE],0),4),"")</f>
        <v>23</v>
      </c>
      <c r="O227" s="21" t="str">
        <f>IF(Tableau3[[#This Row],[CLIENTS]]="","",CONCATENATE(Tableau3[[#This Row],[MODE ]]," ",Tableau3[[#This Row],[ETS PAYEUR]]," ","F/",Tableau3[[#This Row],[FACTURE]]))</f>
        <v>CHEQUE BNI F/23</v>
      </c>
      <c r="Q227">
        <f>+ROW()-ROW(Tableau3[[#Headers],[N° LIGNE_RF]])</f>
        <v>224</v>
      </c>
      <c r="R227" s="6">
        <f>IF(Tableau3[[#This Row],[REFERENCE ]]="","",MATCH(Tableau3[[#This Row],[REFERENCE ]],Tableau3[[REFERENCE ]],0))</f>
        <v>223</v>
      </c>
      <c r="S227" s="70"/>
      <c r="T227" s="70"/>
      <c r="Y227"/>
      <c r="AA227"/>
      <c r="AF227"/>
      <c r="AG227"/>
    </row>
    <row r="228" spans="1:33" x14ac:dyDescent="0.2">
      <c r="A228" t="s">
        <v>100</v>
      </c>
      <c r="B228" t="s">
        <v>138</v>
      </c>
      <c r="C228" t="s">
        <v>60</v>
      </c>
      <c r="D228" s="58" t="s">
        <v>84</v>
      </c>
      <c r="E228" s="281">
        <v>5522400</v>
      </c>
      <c r="F228" s="18" t="s">
        <v>180</v>
      </c>
      <c r="G228" s="6" t="s">
        <v>157</v>
      </c>
      <c r="H228" s="100" t="s">
        <v>187</v>
      </c>
      <c r="I228" s="224">
        <v>45874</v>
      </c>
      <c r="J228" t="s">
        <v>8</v>
      </c>
      <c r="L228" s="20" t="s">
        <v>10</v>
      </c>
      <c r="M228" s="253">
        <v>28</v>
      </c>
      <c r="N228" s="35">
        <f>IFERROR(INDEX(Tableau6[],MATCH(Tableau3[[#This Row],[FACTURE]],Tableau6[NUM DE FACTURE],0),4),"")</f>
        <v>28</v>
      </c>
      <c r="O228" t="str">
        <f>IF(Tableau3[[#This Row],[CLIENTS]]="","",CONCATENATE(Tableau3[[#This Row],[MODE ]]," ",Tableau3[[#This Row],[ETS PAYEUR]]," ","F/",Tableau3[[#This Row],[FACTURE]]))</f>
        <v>CHEQUE BNI F/28</v>
      </c>
      <c r="Q228">
        <f>+ROW()-ROW(Tableau3[[#Headers],[N° LIGNE_RF]])</f>
        <v>225</v>
      </c>
      <c r="R228" s="6">
        <f>IF(Tableau3[[#This Row],[REFERENCE ]]="","",MATCH(Tableau3[[#This Row],[REFERENCE ]],Tableau3[[REFERENCE ]],0))</f>
        <v>223</v>
      </c>
      <c r="S228" s="70"/>
      <c r="T228" s="70"/>
      <c r="Y228"/>
      <c r="AA228"/>
      <c r="AF228"/>
      <c r="AG228"/>
    </row>
    <row r="229" spans="1:33" x14ac:dyDescent="0.2">
      <c r="A229" t="s">
        <v>100</v>
      </c>
      <c r="B229" t="s">
        <v>138</v>
      </c>
      <c r="C229" t="s">
        <v>60</v>
      </c>
      <c r="D229" s="58" t="s">
        <v>84</v>
      </c>
      <c r="E229" s="281">
        <v>5675811</v>
      </c>
      <c r="F229" s="18" t="s">
        <v>186</v>
      </c>
      <c r="G229" s="6" t="s">
        <v>157</v>
      </c>
      <c r="H229" s="100" t="s">
        <v>187</v>
      </c>
      <c r="I229" s="224">
        <v>45874</v>
      </c>
      <c r="J229" t="s">
        <v>8</v>
      </c>
      <c r="L229" s="20" t="s">
        <v>10</v>
      </c>
      <c r="M229" s="253">
        <v>29</v>
      </c>
      <c r="N229" s="35">
        <f>IFERROR(INDEX(Tableau6[],MATCH(Tableau3[[#This Row],[FACTURE]],Tableau6[NUM DE FACTURE],0),4),"")</f>
        <v>29</v>
      </c>
      <c r="O229" t="str">
        <f>IF(Tableau3[[#This Row],[CLIENTS]]="","",CONCATENATE(Tableau3[[#This Row],[MODE ]]," ",Tableau3[[#This Row],[ETS PAYEUR]]," ","F/",Tableau3[[#This Row],[FACTURE]]))</f>
        <v>CHEQUE BNI F/29</v>
      </c>
      <c r="Q229">
        <f>+ROW()-ROW(Tableau3[[#Headers],[N° LIGNE_RF]])</f>
        <v>226</v>
      </c>
      <c r="R229" s="6">
        <f>IF(Tableau3[[#This Row],[REFERENCE ]]="","",MATCH(Tableau3[[#This Row],[REFERENCE ]],Tableau3[[REFERENCE ]],0))</f>
        <v>223</v>
      </c>
      <c r="S229" s="70"/>
      <c r="T229" s="70"/>
      <c r="Y229"/>
      <c r="AA229"/>
      <c r="AF229"/>
      <c r="AG229"/>
    </row>
    <row r="230" spans="1:33" x14ac:dyDescent="0.2">
      <c r="A230" t="s">
        <v>100</v>
      </c>
      <c r="B230" t="s">
        <v>138</v>
      </c>
      <c r="C230" t="s">
        <v>60</v>
      </c>
      <c r="D230" s="58" t="s">
        <v>84</v>
      </c>
      <c r="E230" s="270">
        <v>9558019</v>
      </c>
      <c r="F230" s="20" t="s">
        <v>178</v>
      </c>
      <c r="G230" s="6" t="s">
        <v>157</v>
      </c>
      <c r="H230" s="100" t="s">
        <v>187</v>
      </c>
      <c r="I230" s="224">
        <v>45874</v>
      </c>
      <c r="J230" t="s">
        <v>8</v>
      </c>
      <c r="L230" s="20" t="s">
        <v>10</v>
      </c>
      <c r="M230" s="253">
        <v>27</v>
      </c>
      <c r="N230" s="35">
        <f>IFERROR(INDEX(Tableau6[],MATCH(Tableau3[[#This Row],[FACTURE]],Tableau6[NUM DE FACTURE],0),4),"")</f>
        <v>27</v>
      </c>
      <c r="O230" t="str">
        <f>IF(Tableau3[[#This Row],[CLIENTS]]="","",CONCATENATE(Tableau3[[#This Row],[MODE ]]," ",Tableau3[[#This Row],[ETS PAYEUR]]," ","F/",Tableau3[[#This Row],[FACTURE]]))</f>
        <v>CHEQUE BNI F/27</v>
      </c>
      <c r="Q230">
        <f>+ROW()-ROW(Tableau3[[#Headers],[N° LIGNE_RF]])</f>
        <v>227</v>
      </c>
      <c r="R230" s="6">
        <f>IF(Tableau3[[#This Row],[REFERENCE ]]="","",MATCH(Tableau3[[#This Row],[REFERENCE ]],Tableau3[[REFERENCE ]],0))</f>
        <v>223</v>
      </c>
      <c r="S230" s="70"/>
      <c r="T230" s="70"/>
      <c r="Y230"/>
      <c r="AA230"/>
      <c r="AF230"/>
      <c r="AG230"/>
    </row>
    <row r="231" spans="1:33" x14ac:dyDescent="0.2">
      <c r="A231" t="s">
        <v>100</v>
      </c>
      <c r="B231" t="s">
        <v>138</v>
      </c>
      <c r="C231" t="s">
        <v>60</v>
      </c>
      <c r="D231" s="58" t="s">
        <v>84</v>
      </c>
      <c r="E231" s="270">
        <v>10148000</v>
      </c>
      <c r="F231" s="20" t="s">
        <v>183</v>
      </c>
      <c r="G231" s="6" t="s">
        <v>157</v>
      </c>
      <c r="H231" s="100" t="s">
        <v>187</v>
      </c>
      <c r="I231" s="224">
        <v>45874</v>
      </c>
      <c r="J231" t="s">
        <v>8</v>
      </c>
      <c r="L231" s="20" t="s">
        <v>10</v>
      </c>
      <c r="M231" s="253">
        <v>22</v>
      </c>
      <c r="N231" s="35">
        <f>IFERROR(INDEX(Tableau6[],MATCH(Tableau3[[#This Row],[FACTURE]],Tableau6[NUM DE FACTURE],0),4),"")</f>
        <v>22</v>
      </c>
      <c r="O231" s="21" t="str">
        <f>IF(Tableau3[[#This Row],[CLIENTS]]="","",CONCATENATE(Tableau3[[#This Row],[MODE ]]," ",Tableau3[[#This Row],[ETS PAYEUR]]," ","F/",Tableau3[[#This Row],[FACTURE]]))</f>
        <v>CHEQUE BNI F/22</v>
      </c>
      <c r="Q231">
        <f>+ROW()-ROW(Tableau3[[#Headers],[N° LIGNE_RF]])</f>
        <v>228</v>
      </c>
      <c r="R231" s="6">
        <f>IF(Tableau3[[#This Row],[REFERENCE ]]="","",MATCH(Tableau3[[#This Row],[REFERENCE ]],Tableau3[[REFERENCE ]],0))</f>
        <v>223</v>
      </c>
      <c r="S231" s="70"/>
      <c r="T231" s="70"/>
      <c r="Y231"/>
      <c r="AA231"/>
      <c r="AF231"/>
      <c r="AG231"/>
    </row>
    <row r="232" spans="1:33" x14ac:dyDescent="0.2">
      <c r="A232" t="s">
        <v>100</v>
      </c>
      <c r="B232" t="s">
        <v>138</v>
      </c>
      <c r="C232" t="s">
        <v>60</v>
      </c>
      <c r="D232" s="58" t="s">
        <v>84</v>
      </c>
      <c r="E232" s="279">
        <v>12555200</v>
      </c>
      <c r="F232" s="18" t="s">
        <v>180</v>
      </c>
      <c r="G232" s="6" t="s">
        <v>157</v>
      </c>
      <c r="H232" s="100" t="s">
        <v>187</v>
      </c>
      <c r="I232" s="224">
        <v>45874</v>
      </c>
      <c r="J232" t="s">
        <v>8</v>
      </c>
      <c r="L232" s="20" t="s">
        <v>10</v>
      </c>
      <c r="M232" s="6">
        <v>26</v>
      </c>
      <c r="N232" s="3">
        <f>IFERROR(INDEX(Tableau6[],MATCH(Tableau3[[#This Row],[FACTURE]],Tableau6[NUM DE FACTURE],0),4),"")</f>
        <v>26</v>
      </c>
      <c r="O232" t="str">
        <f>IF(Tableau3[[#This Row],[CLIENTS]]="","",CONCATENATE(Tableau3[[#This Row],[MODE ]]," ",Tableau3[[#This Row],[ETS PAYEUR]]," ","F/",Tableau3[[#This Row],[FACTURE]]))</f>
        <v>CHEQUE BNI F/26</v>
      </c>
      <c r="Q232">
        <f>+ROW()-ROW(Tableau3[[#Headers],[N° LIGNE_RF]])</f>
        <v>229</v>
      </c>
      <c r="R232" s="6">
        <f>IF(Tableau3[[#This Row],[REFERENCE ]]="","",MATCH(Tableau3[[#This Row],[REFERENCE ]],Tableau3[[REFERENCE ]],0))</f>
        <v>223</v>
      </c>
      <c r="S232" s="70"/>
      <c r="T232" s="70"/>
      <c r="Y232"/>
      <c r="AA232"/>
      <c r="AF232"/>
      <c r="AG232"/>
    </row>
    <row r="233" spans="1:33" x14ac:dyDescent="0.2">
      <c r="A233" t="s">
        <v>100</v>
      </c>
      <c r="B233" t="s">
        <v>138</v>
      </c>
      <c r="C233" t="s">
        <v>60</v>
      </c>
      <c r="D233" s="58" t="s">
        <v>84</v>
      </c>
      <c r="E233" s="270">
        <v>17676419</v>
      </c>
      <c r="F233" s="20" t="s">
        <v>178</v>
      </c>
      <c r="G233" s="6" t="s">
        <v>157</v>
      </c>
      <c r="H233" s="100" t="s">
        <v>187</v>
      </c>
      <c r="I233" s="224">
        <v>45874</v>
      </c>
      <c r="J233" t="s">
        <v>8</v>
      </c>
      <c r="L233" s="20" t="s">
        <v>10</v>
      </c>
      <c r="M233" s="6">
        <v>30</v>
      </c>
      <c r="N233" s="3">
        <f>IFERROR(INDEX(Tableau6[],MATCH(Tableau3[[#This Row],[FACTURE]],Tableau6[NUM DE FACTURE],0),4),"")</f>
        <v>30</v>
      </c>
      <c r="O233" t="str">
        <f>IF(Tableau3[[#This Row],[CLIENTS]]="","",CONCATENATE(Tableau3[[#This Row],[MODE ]]," ",Tableau3[[#This Row],[ETS PAYEUR]]," ","F/",Tableau3[[#This Row],[FACTURE]]))</f>
        <v>CHEQUE BNI F/30</v>
      </c>
      <c r="Q233">
        <f>+ROW()-ROW(Tableau3[[#Headers],[N° LIGNE_RF]])</f>
        <v>230</v>
      </c>
      <c r="R233" s="6">
        <f>IF(Tableau3[[#This Row],[REFERENCE ]]="","",MATCH(Tableau3[[#This Row],[REFERENCE ]],Tableau3[[REFERENCE ]],0))</f>
        <v>223</v>
      </c>
      <c r="S233" s="70"/>
      <c r="T233" s="70"/>
      <c r="Y233"/>
      <c r="AA233"/>
      <c r="AF233"/>
      <c r="AG233"/>
    </row>
    <row r="234" spans="1:33" x14ac:dyDescent="0.2">
      <c r="A234" t="s">
        <v>100</v>
      </c>
      <c r="B234" t="s">
        <v>138</v>
      </c>
      <c r="C234" t="s">
        <v>60</v>
      </c>
      <c r="D234" s="58" t="s">
        <v>84</v>
      </c>
      <c r="E234" s="270">
        <v>19912511</v>
      </c>
      <c r="F234" s="20" t="s">
        <v>186</v>
      </c>
      <c r="G234" s="6" t="s">
        <v>157</v>
      </c>
      <c r="H234" s="100" t="s">
        <v>187</v>
      </c>
      <c r="I234" s="224">
        <v>45874</v>
      </c>
      <c r="J234" t="s">
        <v>8</v>
      </c>
      <c r="L234" s="20" t="s">
        <v>10</v>
      </c>
      <c r="M234" s="253">
        <v>14</v>
      </c>
      <c r="N234" s="35">
        <f>IFERROR(INDEX(Tableau6[],MATCH(Tableau3[[#This Row],[FACTURE]],Tableau6[NUM DE FACTURE],0),4),"")</f>
        <v>14</v>
      </c>
      <c r="O234" t="str">
        <f>IF(Tableau3[[#This Row],[CLIENTS]]="","",CONCATENATE(Tableau3[[#This Row],[MODE ]]," ",Tableau3[[#This Row],[ETS PAYEUR]]," ","F/",Tableau3[[#This Row],[FACTURE]]))</f>
        <v>CHEQUE BNI F/14</v>
      </c>
      <c r="Q234">
        <f>+ROW()-ROW(Tableau3[[#Headers],[N° LIGNE_RF]])</f>
        <v>231</v>
      </c>
      <c r="R234" s="6">
        <f>IF(Tableau3[[#This Row],[REFERENCE ]]="","",MATCH(Tableau3[[#This Row],[REFERENCE ]],Tableau3[[REFERENCE ]],0))</f>
        <v>223</v>
      </c>
      <c r="S234" s="70"/>
      <c r="T234" s="70"/>
      <c r="Y234"/>
      <c r="AA234"/>
      <c r="AF234"/>
      <c r="AG234"/>
    </row>
    <row r="235" spans="1:33" x14ac:dyDescent="0.2">
      <c r="A235" t="s">
        <v>100</v>
      </c>
      <c r="B235" t="s">
        <v>138</v>
      </c>
      <c r="C235" t="s">
        <v>60</v>
      </c>
      <c r="D235" s="58" t="s">
        <v>84</v>
      </c>
      <c r="E235" s="270">
        <v>29088180</v>
      </c>
      <c r="F235" s="18" t="s">
        <v>181</v>
      </c>
      <c r="G235" s="6" t="s">
        <v>157</v>
      </c>
      <c r="H235" s="100" t="s">
        <v>187</v>
      </c>
      <c r="I235" s="224">
        <v>45874</v>
      </c>
      <c r="J235" t="s">
        <v>8</v>
      </c>
      <c r="L235" s="20" t="s">
        <v>10</v>
      </c>
      <c r="M235" s="253">
        <v>15</v>
      </c>
      <c r="N235" s="35">
        <f>IFERROR(INDEX(Tableau6[],MATCH(Tableau3[[#This Row],[FACTURE]],Tableau6[NUM DE FACTURE],0),4),"")</f>
        <v>15</v>
      </c>
      <c r="O235" s="21" t="str">
        <f>IF(Tableau3[[#This Row],[CLIENTS]]="","",CONCATENATE(Tableau3[[#This Row],[MODE ]]," ",Tableau3[[#This Row],[ETS PAYEUR]]," ","F/",Tableau3[[#This Row],[FACTURE]]))</f>
        <v>CHEQUE BNI F/15</v>
      </c>
      <c r="Q235">
        <f>+ROW()-ROW(Tableau3[[#Headers],[N° LIGNE_RF]])</f>
        <v>232</v>
      </c>
      <c r="R235" s="6">
        <f>IF(Tableau3[[#This Row],[REFERENCE ]]="","",MATCH(Tableau3[[#This Row],[REFERENCE ]],Tableau3[[REFERENCE ]],0))</f>
        <v>223</v>
      </c>
      <c r="S235" s="70"/>
      <c r="T235" s="70"/>
      <c r="Y235"/>
      <c r="AA235"/>
      <c r="AF235"/>
      <c r="AG235"/>
    </row>
    <row r="236" spans="1:33" x14ac:dyDescent="0.2">
      <c r="A236" t="s">
        <v>100</v>
      </c>
      <c r="B236" t="s">
        <v>138</v>
      </c>
      <c r="C236" t="s">
        <v>60</v>
      </c>
      <c r="D236" s="58" t="s">
        <v>84</v>
      </c>
      <c r="E236" s="264">
        <v>48303300</v>
      </c>
      <c r="F236" s="18" t="s">
        <v>181</v>
      </c>
      <c r="G236" s="6" t="s">
        <v>157</v>
      </c>
      <c r="H236" s="100" t="s">
        <v>187</v>
      </c>
      <c r="I236" s="224">
        <v>45874</v>
      </c>
      <c r="J236" t="s">
        <v>8</v>
      </c>
      <c r="L236" s="20" t="s">
        <v>10</v>
      </c>
      <c r="M236" s="253">
        <v>16</v>
      </c>
      <c r="N236" s="35">
        <f>IFERROR(INDEX(Tableau6[],MATCH(Tableau3[[#This Row],[FACTURE]],Tableau6[NUM DE FACTURE],0),4),"")</f>
        <v>16</v>
      </c>
      <c r="O236" s="21" t="str">
        <f>IF(Tableau3[[#This Row],[CLIENTS]]="","",CONCATENATE(Tableau3[[#This Row],[MODE ]]," ",Tableau3[[#This Row],[ETS PAYEUR]]," ","F/",Tableau3[[#This Row],[FACTURE]]))</f>
        <v>CHEQUE BNI F/16</v>
      </c>
      <c r="Q236">
        <f>+ROW()-ROW(Tableau3[[#Headers],[N° LIGNE_RF]])</f>
        <v>233</v>
      </c>
      <c r="R236" s="6">
        <f>IF(Tableau3[[#This Row],[REFERENCE ]]="","",MATCH(Tableau3[[#This Row],[REFERENCE ]],Tableau3[[REFERENCE ]],0))</f>
        <v>223</v>
      </c>
      <c r="S236" s="70"/>
      <c r="T236" s="70"/>
      <c r="Y236"/>
      <c r="AA236"/>
      <c r="AF236"/>
      <c r="AG236"/>
    </row>
    <row r="237" spans="1:33" x14ac:dyDescent="0.2">
      <c r="A237" t="s">
        <v>100</v>
      </c>
      <c r="B237" t="s">
        <v>102</v>
      </c>
      <c r="C237" t="s">
        <v>60</v>
      </c>
      <c r="D237" s="58" t="s">
        <v>84</v>
      </c>
      <c r="E237" s="264">
        <v>14132322</v>
      </c>
      <c r="F237" s="18"/>
      <c r="G237" s="6" t="s">
        <v>157</v>
      </c>
      <c r="H237" s="100" t="s">
        <v>249</v>
      </c>
      <c r="I237" s="224">
        <v>45887</v>
      </c>
      <c r="J237" t="s">
        <v>239</v>
      </c>
      <c r="K237" s="3">
        <v>45890</v>
      </c>
      <c r="L237" s="18" t="s">
        <v>14</v>
      </c>
      <c r="M237" s="6">
        <v>49</v>
      </c>
      <c r="N237" s="3">
        <f>IFERROR(INDEX(Tableau6[],MATCH(Tableau3[[#This Row],[FACTURE]],Tableau6[NUM DE FACTURE],0),4),"")</f>
        <v>49</v>
      </c>
      <c r="O237" t="str">
        <f>IF(Tableau3[[#This Row],[CLIENTS]]="","",CONCATENATE(Tableau3[[#This Row],[MODE ]]," ",Tableau3[[#This Row],[ETS PAYEUR]]," ","F/",Tableau3[[#This Row],[FACTURE]]))</f>
        <v>CHEQUE BMS-CI F/49</v>
      </c>
      <c r="Q237">
        <f>+ROW()-ROW(Tableau3[[#Headers],[N° LIGNE_RF]])</f>
        <v>234</v>
      </c>
      <c r="R237" s="6">
        <f>IF(Tableau3[[#This Row],[REFERENCE ]]="","",MATCH(Tableau3[[#This Row],[REFERENCE ]],Tableau3[[REFERENCE ]],0))</f>
        <v>234</v>
      </c>
      <c r="S237" s="70"/>
      <c r="T237" s="70"/>
      <c r="Y237"/>
      <c r="AA237"/>
      <c r="AF237"/>
      <c r="AG237"/>
    </row>
    <row r="238" spans="1:33" x14ac:dyDescent="0.2">
      <c r="A238" t="s">
        <v>100</v>
      </c>
      <c r="B238" t="s">
        <v>138</v>
      </c>
      <c r="C238" t="s">
        <v>60</v>
      </c>
      <c r="D238" s="58" t="s">
        <v>84</v>
      </c>
      <c r="E238" s="264">
        <v>247800</v>
      </c>
      <c r="F238" s="18" t="s">
        <v>182</v>
      </c>
      <c r="G238" s="6" t="s">
        <v>157</v>
      </c>
      <c r="H238" s="100" t="s">
        <v>191</v>
      </c>
      <c r="I238" s="224">
        <v>45895</v>
      </c>
      <c r="J238" t="s">
        <v>11</v>
      </c>
      <c r="L238" s="20" t="s">
        <v>10</v>
      </c>
      <c r="M238" s="6">
        <v>54</v>
      </c>
      <c r="N238" s="3">
        <f>IFERROR(INDEX(Tableau6[],MATCH(Tableau3[[#This Row],[FACTURE]],Tableau6[NUM DE FACTURE],0),4),"")</f>
        <v>54</v>
      </c>
      <c r="O238" t="str">
        <f>IF(Tableau3[[#This Row],[CLIENTS]]="","",CONCATENATE(Tableau3[[#This Row],[MODE ]]," ",Tableau3[[#This Row],[ETS PAYEUR]]," ","F/",Tableau3[[#This Row],[FACTURE]]))</f>
        <v>CHEQUE ORABANK F/54</v>
      </c>
      <c r="Q238">
        <f>+ROW()-ROW(Tableau3[[#Headers],[N° LIGNE_RF]])</f>
        <v>235</v>
      </c>
      <c r="R238" s="6">
        <f>IF(Tableau3[[#This Row],[REFERENCE ]]="","",MATCH(Tableau3[[#This Row],[REFERENCE ]],Tableau3[[REFERENCE ]],0))</f>
        <v>235</v>
      </c>
      <c r="S238" s="70"/>
      <c r="T238" s="70"/>
      <c r="Y238"/>
      <c r="AA238"/>
      <c r="AF238"/>
      <c r="AG238"/>
    </row>
    <row r="239" spans="1:33" x14ac:dyDescent="0.2">
      <c r="A239" t="s">
        <v>100</v>
      </c>
      <c r="B239" t="s">
        <v>138</v>
      </c>
      <c r="C239" t="s">
        <v>60</v>
      </c>
      <c r="D239" s="58" t="s">
        <v>84</v>
      </c>
      <c r="E239" s="279">
        <v>472000</v>
      </c>
      <c r="F239" s="18" t="s">
        <v>183</v>
      </c>
      <c r="G239" s="6" t="s">
        <v>157</v>
      </c>
      <c r="H239" s="100" t="s">
        <v>191</v>
      </c>
      <c r="I239" s="224">
        <v>45895</v>
      </c>
      <c r="J239" t="s">
        <v>11</v>
      </c>
      <c r="L239" s="20" t="s">
        <v>10</v>
      </c>
      <c r="M239" s="6">
        <v>35</v>
      </c>
      <c r="N239" s="3">
        <f>IFERROR(INDEX(Tableau6[],MATCH(Tableau3[[#This Row],[FACTURE]],Tableau6[NUM DE FACTURE],0),4),"")</f>
        <v>35</v>
      </c>
      <c r="O239" t="str">
        <f>IF(Tableau3[[#This Row],[CLIENTS]]="","",CONCATENATE(Tableau3[[#This Row],[MODE ]]," ",Tableau3[[#This Row],[ETS PAYEUR]]," ","F/",Tableau3[[#This Row],[FACTURE]]))</f>
        <v>CHEQUE ORABANK F/35</v>
      </c>
      <c r="Q239">
        <f>+ROW()-ROW(Tableau3[[#Headers],[N° LIGNE_RF]])</f>
        <v>236</v>
      </c>
      <c r="R239" s="6">
        <f>IF(Tableau3[[#This Row],[REFERENCE ]]="","",MATCH(Tableau3[[#This Row],[REFERENCE ]],Tableau3[[REFERENCE ]],0))</f>
        <v>235</v>
      </c>
      <c r="S239" s="70"/>
      <c r="T239" s="70"/>
      <c r="Y239"/>
      <c r="AA239"/>
      <c r="AF239"/>
      <c r="AG239"/>
    </row>
    <row r="240" spans="1:33" x14ac:dyDescent="0.2">
      <c r="A240" t="s">
        <v>100</v>
      </c>
      <c r="B240" t="s">
        <v>138</v>
      </c>
      <c r="C240" t="s">
        <v>60</v>
      </c>
      <c r="D240" s="58" t="s">
        <v>84</v>
      </c>
      <c r="E240" s="264">
        <v>472000</v>
      </c>
      <c r="F240" s="18" t="s">
        <v>183</v>
      </c>
      <c r="G240" s="6" t="s">
        <v>157</v>
      </c>
      <c r="H240" s="100" t="s">
        <v>191</v>
      </c>
      <c r="I240" s="224">
        <v>45895</v>
      </c>
      <c r="J240" t="s">
        <v>11</v>
      </c>
      <c r="L240" s="20" t="s">
        <v>10</v>
      </c>
      <c r="M240" s="255">
        <v>44</v>
      </c>
      <c r="N240" s="3">
        <f>IFERROR(INDEX(Tableau6[],MATCH(Tableau3[[#This Row],[FACTURE]],Tableau6[NUM DE FACTURE],0),4),"")</f>
        <v>44</v>
      </c>
      <c r="O240" t="str">
        <f>IF(Tableau3[[#This Row],[CLIENTS]]="","",CONCATENATE(Tableau3[[#This Row],[MODE ]]," ",Tableau3[[#This Row],[ETS PAYEUR]]," ","F/",Tableau3[[#This Row],[FACTURE]]))</f>
        <v>CHEQUE ORABANK F/44</v>
      </c>
      <c r="Q240">
        <f>+ROW()-ROW(Tableau3[[#Headers],[N° LIGNE_RF]])</f>
        <v>237</v>
      </c>
      <c r="R240" s="6">
        <f>IF(Tableau3[[#This Row],[REFERENCE ]]="","",MATCH(Tableau3[[#This Row],[REFERENCE ]],Tableau3[[REFERENCE ]],0))</f>
        <v>235</v>
      </c>
      <c r="S240" s="70"/>
      <c r="T240" s="70"/>
      <c r="Y240"/>
      <c r="AA240"/>
      <c r="AF240"/>
      <c r="AG240"/>
    </row>
    <row r="241" spans="1:33" x14ac:dyDescent="0.2">
      <c r="A241" t="s">
        <v>100</v>
      </c>
      <c r="B241" t="s">
        <v>138</v>
      </c>
      <c r="C241" t="s">
        <v>60</v>
      </c>
      <c r="D241" s="58" t="s">
        <v>84</v>
      </c>
      <c r="E241" s="264">
        <v>767000</v>
      </c>
      <c r="F241" s="18" t="s">
        <v>185</v>
      </c>
      <c r="G241" s="6" t="s">
        <v>157</v>
      </c>
      <c r="H241" s="100" t="s">
        <v>191</v>
      </c>
      <c r="I241" s="224">
        <v>45895</v>
      </c>
      <c r="J241" t="s">
        <v>11</v>
      </c>
      <c r="L241" s="20" t="s">
        <v>10</v>
      </c>
      <c r="M241" s="6">
        <v>50</v>
      </c>
      <c r="N241" s="3">
        <f>IFERROR(INDEX(Tableau6[],MATCH(Tableau3[[#This Row],[FACTURE]],Tableau6[NUM DE FACTURE],0),4),"")</f>
        <v>50</v>
      </c>
      <c r="O241" t="str">
        <f>IF(Tableau3[[#This Row],[CLIENTS]]="","",CONCATENATE(Tableau3[[#This Row],[MODE ]]," ",Tableau3[[#This Row],[ETS PAYEUR]]," ","F/",Tableau3[[#This Row],[FACTURE]]))</f>
        <v>CHEQUE ORABANK F/50</v>
      </c>
      <c r="Q241">
        <f>+ROW()-ROW(Tableau3[[#Headers],[N° LIGNE_RF]])</f>
        <v>238</v>
      </c>
      <c r="R241" s="6">
        <f>IF(Tableau3[[#This Row],[REFERENCE ]]="","",MATCH(Tableau3[[#This Row],[REFERENCE ]],Tableau3[[REFERENCE ]],0))</f>
        <v>235</v>
      </c>
      <c r="S241" s="70"/>
      <c r="T241" s="70"/>
      <c r="Y241"/>
      <c r="AA241"/>
      <c r="AF241"/>
      <c r="AG241"/>
    </row>
    <row r="242" spans="1:33" x14ac:dyDescent="0.2">
      <c r="A242" t="s">
        <v>100</v>
      </c>
      <c r="B242" t="s">
        <v>138</v>
      </c>
      <c r="C242" t="s">
        <v>60</v>
      </c>
      <c r="D242" s="58" t="s">
        <v>84</v>
      </c>
      <c r="E242" s="282">
        <v>885000</v>
      </c>
      <c r="F242" s="18" t="s">
        <v>184</v>
      </c>
      <c r="G242" s="6" t="s">
        <v>157</v>
      </c>
      <c r="H242" s="100" t="s">
        <v>191</v>
      </c>
      <c r="I242" s="224">
        <v>45895</v>
      </c>
      <c r="J242" t="s">
        <v>11</v>
      </c>
      <c r="L242" s="20" t="s">
        <v>10</v>
      </c>
      <c r="M242" s="6">
        <v>36</v>
      </c>
      <c r="N242" s="3">
        <f>IFERROR(INDEX(Tableau6[],MATCH(Tableau3[[#This Row],[FACTURE]],Tableau6[NUM DE FACTURE],0),4),"")</f>
        <v>36</v>
      </c>
      <c r="O242" t="str">
        <f>IF(Tableau3[[#This Row],[CLIENTS]]="","",CONCATENATE(Tableau3[[#This Row],[MODE ]]," ",Tableau3[[#This Row],[ETS PAYEUR]]," ","F/",Tableau3[[#This Row],[FACTURE]]))</f>
        <v>CHEQUE ORABANK F/36</v>
      </c>
      <c r="Q242">
        <f>+ROW()-ROW(Tableau3[[#Headers],[N° LIGNE_RF]])</f>
        <v>239</v>
      </c>
      <c r="R242" s="6">
        <f>IF(Tableau3[[#This Row],[REFERENCE ]]="","",MATCH(Tableau3[[#This Row],[REFERENCE ]],Tableau3[[REFERENCE ]],0))</f>
        <v>235</v>
      </c>
      <c r="S242" s="70"/>
      <c r="T242" s="70"/>
      <c r="Y242"/>
      <c r="AA242"/>
      <c r="AF242"/>
      <c r="AG242"/>
    </row>
    <row r="243" spans="1:33" x14ac:dyDescent="0.2">
      <c r="A243" t="s">
        <v>100</v>
      </c>
      <c r="B243" t="s">
        <v>138</v>
      </c>
      <c r="C243" t="s">
        <v>60</v>
      </c>
      <c r="D243" s="58" t="s">
        <v>84</v>
      </c>
      <c r="E243" s="267">
        <v>1327500</v>
      </c>
      <c r="F243" s="139" t="s">
        <v>182</v>
      </c>
      <c r="G243" s="6" t="s">
        <v>157</v>
      </c>
      <c r="H243" s="100" t="s">
        <v>191</v>
      </c>
      <c r="I243" s="252">
        <v>45895</v>
      </c>
      <c r="J243" t="s">
        <v>11</v>
      </c>
      <c r="L243" s="20" t="s">
        <v>10</v>
      </c>
      <c r="M243" s="256">
        <v>45</v>
      </c>
      <c r="N243" s="138">
        <f>IFERROR(INDEX(Tableau6[],MATCH(Tableau3[[#This Row],[FACTURE]],Tableau6[NUM DE FACTURE],0),4),"")</f>
        <v>45</v>
      </c>
      <c r="O243" s="137" t="str">
        <f>IF(Tableau3[[#This Row],[CLIENTS]]="","",CONCATENATE(Tableau3[[#This Row],[MODE ]]," ",Tableau3[[#This Row],[ETS PAYEUR]]," ","F/",Tableau3[[#This Row],[FACTURE]]))</f>
        <v>CHEQUE ORABANK F/45</v>
      </c>
      <c r="P243" s="137"/>
      <c r="Q243">
        <f>+ROW()-ROW(Tableau3[[#Headers],[N° LIGNE_RF]])</f>
        <v>240</v>
      </c>
      <c r="R243" s="6">
        <f>IF(Tableau3[[#This Row],[REFERENCE ]]="","",MATCH(Tableau3[[#This Row],[REFERENCE ]],Tableau3[[REFERENCE ]],0))</f>
        <v>235</v>
      </c>
      <c r="S243" s="70"/>
      <c r="T243" s="70"/>
      <c r="Y243"/>
      <c r="AA243"/>
      <c r="AF243"/>
      <c r="AG243"/>
    </row>
    <row r="244" spans="1:33" x14ac:dyDescent="0.2">
      <c r="A244" t="s">
        <v>100</v>
      </c>
      <c r="B244" t="s">
        <v>138</v>
      </c>
      <c r="C244" t="s">
        <v>60</v>
      </c>
      <c r="D244" s="58" t="s">
        <v>84</v>
      </c>
      <c r="E244" s="264">
        <v>1440000</v>
      </c>
      <c r="F244" s="18" t="s">
        <v>189</v>
      </c>
      <c r="G244" s="6" t="s">
        <v>157</v>
      </c>
      <c r="H244" s="100" t="s">
        <v>191</v>
      </c>
      <c r="I244" s="224">
        <v>45895</v>
      </c>
      <c r="J244" t="s">
        <v>11</v>
      </c>
      <c r="L244" s="20" t="s">
        <v>10</v>
      </c>
      <c r="M244" s="6">
        <v>65</v>
      </c>
      <c r="N244" s="3">
        <f>IFERROR(INDEX(Tableau6[],MATCH(Tableau3[[#This Row],[FACTURE]],Tableau6[NUM DE FACTURE],0),4),"")</f>
        <v>65</v>
      </c>
      <c r="O244" t="str">
        <f>IF(Tableau3[[#This Row],[CLIENTS]]="","",CONCATENATE(Tableau3[[#This Row],[MODE ]]," ",Tableau3[[#This Row],[ETS PAYEUR]]," ","F/",Tableau3[[#This Row],[FACTURE]]))</f>
        <v>CHEQUE ORABANK F/65</v>
      </c>
      <c r="Q244">
        <f>+ROW()-ROW(Tableau3[[#Headers],[N° LIGNE_RF]])</f>
        <v>241</v>
      </c>
      <c r="R244" s="6">
        <f>IF(Tableau3[[#This Row],[REFERENCE ]]="","",MATCH(Tableau3[[#This Row],[REFERENCE ]],Tableau3[[REFERENCE ]],0))</f>
        <v>235</v>
      </c>
      <c r="S244" s="70"/>
      <c r="T244" s="70"/>
      <c r="Y244"/>
      <c r="AA244"/>
      <c r="AF244"/>
      <c r="AG244"/>
    </row>
    <row r="245" spans="1:33" x14ac:dyDescent="0.2">
      <c r="A245" t="s">
        <v>100</v>
      </c>
      <c r="B245" t="s">
        <v>138</v>
      </c>
      <c r="C245" t="s">
        <v>60</v>
      </c>
      <c r="D245" s="58" t="s">
        <v>84</v>
      </c>
      <c r="E245" s="264">
        <v>1440000</v>
      </c>
      <c r="F245" s="139" t="s">
        <v>189</v>
      </c>
      <c r="G245" s="6" t="s">
        <v>157</v>
      </c>
      <c r="H245" s="100" t="s">
        <v>191</v>
      </c>
      <c r="I245" s="252">
        <v>45895</v>
      </c>
      <c r="J245" t="s">
        <v>11</v>
      </c>
      <c r="L245" s="20" t="s">
        <v>10</v>
      </c>
      <c r="M245" s="256">
        <v>67</v>
      </c>
      <c r="N245" s="138">
        <f>IFERROR(INDEX(Tableau6[],MATCH(Tableau3[[#This Row],[FACTURE]],Tableau6[NUM DE FACTURE],0),4),"")</f>
        <v>67</v>
      </c>
      <c r="O245" s="137" t="str">
        <f>IF(Tableau3[[#This Row],[CLIENTS]]="","",CONCATENATE(Tableau3[[#This Row],[MODE ]]," ",Tableau3[[#This Row],[ETS PAYEUR]]," ","F/",Tableau3[[#This Row],[FACTURE]]))</f>
        <v>CHEQUE ORABANK F/67</v>
      </c>
      <c r="P245" s="137"/>
      <c r="Q245">
        <f>+ROW()-ROW(Tableau3[[#Headers],[N° LIGNE_RF]])</f>
        <v>242</v>
      </c>
      <c r="R245" s="6">
        <f>IF(Tableau3[[#This Row],[REFERENCE ]]="","",MATCH(Tableau3[[#This Row],[REFERENCE ]],Tableau3[[REFERENCE ]],0))</f>
        <v>235</v>
      </c>
      <c r="S245" s="70"/>
      <c r="T245" s="70"/>
      <c r="Y245"/>
      <c r="AA245"/>
      <c r="AF245"/>
      <c r="AG245"/>
    </row>
    <row r="246" spans="1:33" x14ac:dyDescent="0.2">
      <c r="A246" t="s">
        <v>100</v>
      </c>
      <c r="B246" t="s">
        <v>138</v>
      </c>
      <c r="C246" t="s">
        <v>60</v>
      </c>
      <c r="D246" s="58" t="s">
        <v>84</v>
      </c>
      <c r="E246" s="264">
        <v>1440000</v>
      </c>
      <c r="F246" s="139" t="s">
        <v>189</v>
      </c>
      <c r="G246" s="6" t="s">
        <v>157</v>
      </c>
      <c r="H246" s="100" t="s">
        <v>191</v>
      </c>
      <c r="I246" s="252">
        <v>45895</v>
      </c>
      <c r="J246" t="s">
        <v>11</v>
      </c>
      <c r="L246" s="20" t="s">
        <v>10</v>
      </c>
      <c r="M246" s="256">
        <v>64</v>
      </c>
      <c r="N246" s="138">
        <f>IFERROR(INDEX(Tableau6[],MATCH(Tableau3[[#This Row],[FACTURE]],Tableau6[NUM DE FACTURE],0),4),"")</f>
        <v>64</v>
      </c>
      <c r="O246" s="137" t="str">
        <f>IF(Tableau3[[#This Row],[CLIENTS]]="","",CONCATENATE(Tableau3[[#This Row],[MODE ]]," ",Tableau3[[#This Row],[ETS PAYEUR]]," ","F/",Tableau3[[#This Row],[FACTURE]]))</f>
        <v>CHEQUE ORABANK F/64</v>
      </c>
      <c r="P246" s="137"/>
      <c r="Q246">
        <f>+ROW()-ROW(Tableau3[[#Headers],[N° LIGNE_RF]])</f>
        <v>243</v>
      </c>
      <c r="R246" s="6">
        <f>IF(Tableau3[[#This Row],[REFERENCE ]]="","",MATCH(Tableau3[[#This Row],[REFERENCE ]],Tableau3[[REFERENCE ]],0))</f>
        <v>235</v>
      </c>
      <c r="S246" s="70"/>
      <c r="T246" s="70"/>
      <c r="Y246"/>
      <c r="AA246"/>
      <c r="AF246"/>
      <c r="AG246"/>
    </row>
    <row r="247" spans="1:33" x14ac:dyDescent="0.2">
      <c r="A247" t="s">
        <v>100</v>
      </c>
      <c r="B247" t="s">
        <v>138</v>
      </c>
      <c r="C247" t="s">
        <v>60</v>
      </c>
      <c r="D247" s="58" t="s">
        <v>84</v>
      </c>
      <c r="E247" s="282">
        <v>1581200</v>
      </c>
      <c r="F247" s="18" t="s">
        <v>182</v>
      </c>
      <c r="G247" s="6" t="s">
        <v>157</v>
      </c>
      <c r="H247" s="100" t="s">
        <v>191</v>
      </c>
      <c r="I247" s="224">
        <v>45895</v>
      </c>
      <c r="J247" t="s">
        <v>11</v>
      </c>
      <c r="L247" s="20" t="s">
        <v>10</v>
      </c>
      <c r="M247" s="253">
        <v>52</v>
      </c>
      <c r="N247" s="3">
        <f>IFERROR(INDEX(Tableau6[],MATCH(Tableau3[[#This Row],[FACTURE]],Tableau6[NUM DE FACTURE],0),4),"")</f>
        <v>52</v>
      </c>
      <c r="O247" t="str">
        <f>IF(Tableau3[[#This Row],[CLIENTS]]="","",CONCATENATE(Tableau3[[#This Row],[MODE ]]," ",Tableau3[[#This Row],[ETS PAYEUR]]," ","F/",Tableau3[[#This Row],[FACTURE]]))</f>
        <v>CHEQUE ORABANK F/52</v>
      </c>
      <c r="Q247">
        <f>+ROW()-ROW(Tableau3[[#Headers],[N° LIGNE_RF]])</f>
        <v>244</v>
      </c>
      <c r="R247" s="6">
        <f>IF(Tableau3[[#This Row],[REFERENCE ]]="","",MATCH(Tableau3[[#This Row],[REFERENCE ]],Tableau3[[REFERENCE ]],0))</f>
        <v>235</v>
      </c>
      <c r="S247"/>
      <c r="X247" s="70"/>
      <c r="Y247"/>
      <c r="Z247" s="3"/>
      <c r="AA247"/>
      <c r="AE247" s="70"/>
      <c r="AG247"/>
    </row>
    <row r="248" spans="1:33" x14ac:dyDescent="0.2">
      <c r="A248" t="s">
        <v>100</v>
      </c>
      <c r="B248" t="s">
        <v>138</v>
      </c>
      <c r="C248" t="s">
        <v>60</v>
      </c>
      <c r="D248" s="58" t="s">
        <v>84</v>
      </c>
      <c r="E248" s="264">
        <v>2349374</v>
      </c>
      <c r="F248" s="18" t="s">
        <v>182</v>
      </c>
      <c r="G248" s="6" t="s">
        <v>157</v>
      </c>
      <c r="H248" s="100" t="s">
        <v>191</v>
      </c>
      <c r="I248" s="224">
        <v>45895</v>
      </c>
      <c r="J248" t="s">
        <v>11</v>
      </c>
      <c r="L248" s="20" t="s">
        <v>10</v>
      </c>
      <c r="M248" s="253">
        <v>46</v>
      </c>
      <c r="N248" s="3">
        <f>IFERROR(INDEX(Tableau6[],MATCH(Tableau3[[#This Row],[FACTURE]],Tableau6[NUM DE FACTURE],0),4),"")</f>
        <v>46</v>
      </c>
      <c r="O248" t="str">
        <f>IF(Tableau3[[#This Row],[CLIENTS]]="","",CONCATENATE(Tableau3[[#This Row],[MODE ]]," ",Tableau3[[#This Row],[ETS PAYEUR]]," ","F/",Tableau3[[#This Row],[FACTURE]]))</f>
        <v>CHEQUE ORABANK F/46</v>
      </c>
      <c r="Q248">
        <f>+ROW()-ROW(Tableau3[[#Headers],[N° LIGNE_RF]])</f>
        <v>245</v>
      </c>
      <c r="R248" s="6">
        <f>IF(Tableau3[[#This Row],[REFERENCE ]]="","",MATCH(Tableau3[[#This Row],[REFERENCE ]],Tableau3[[REFERENCE ]],0))</f>
        <v>235</v>
      </c>
      <c r="S248"/>
      <c r="X248" s="70"/>
      <c r="Y248"/>
      <c r="Z248" s="3"/>
      <c r="AA248"/>
      <c r="AE248" s="70"/>
      <c r="AG248"/>
    </row>
    <row r="249" spans="1:33" x14ac:dyDescent="0.2">
      <c r="A249" t="s">
        <v>100</v>
      </c>
      <c r="B249" t="s">
        <v>138</v>
      </c>
      <c r="C249" t="s">
        <v>60</v>
      </c>
      <c r="D249" s="58" t="s">
        <v>84</v>
      </c>
      <c r="E249" s="264">
        <v>2360000</v>
      </c>
      <c r="F249" s="18" t="s">
        <v>179</v>
      </c>
      <c r="G249" s="6" t="s">
        <v>157</v>
      </c>
      <c r="H249" s="100" t="s">
        <v>191</v>
      </c>
      <c r="I249" s="224">
        <v>45895</v>
      </c>
      <c r="J249" t="s">
        <v>11</v>
      </c>
      <c r="L249" s="20" t="s">
        <v>10</v>
      </c>
      <c r="M249" s="6">
        <v>39</v>
      </c>
      <c r="N249" s="3">
        <f>IFERROR(INDEX(Tableau6[],MATCH(Tableau3[[#This Row],[FACTURE]],Tableau6[NUM DE FACTURE],0),4),"")</f>
        <v>39</v>
      </c>
      <c r="O249" t="str">
        <f>IF(Tableau3[[#This Row],[CLIENTS]]="","",CONCATENATE(Tableau3[[#This Row],[MODE ]]," ",Tableau3[[#This Row],[ETS PAYEUR]]," ","F/",Tableau3[[#This Row],[FACTURE]]))</f>
        <v>CHEQUE ORABANK F/39</v>
      </c>
      <c r="Q249">
        <f>+ROW()-ROW(Tableau3[[#Headers],[N° LIGNE_RF]])</f>
        <v>246</v>
      </c>
      <c r="R249" s="6">
        <f>IF(Tableau3[[#This Row],[REFERENCE ]]="","",MATCH(Tableau3[[#This Row],[REFERENCE ]],Tableau3[[REFERENCE ]],0))</f>
        <v>235</v>
      </c>
      <c r="S249"/>
      <c r="X249" s="70"/>
      <c r="Y249"/>
      <c r="Z249" s="3"/>
      <c r="AA249"/>
      <c r="AE249" s="70"/>
      <c r="AG249"/>
    </row>
    <row r="250" spans="1:33" x14ac:dyDescent="0.2">
      <c r="A250" t="s">
        <v>100</v>
      </c>
      <c r="B250" t="s">
        <v>138</v>
      </c>
      <c r="C250" t="s">
        <v>60</v>
      </c>
      <c r="D250" s="58" t="s">
        <v>84</v>
      </c>
      <c r="E250" s="283">
        <v>2761200</v>
      </c>
      <c r="F250" s="18" t="s">
        <v>188</v>
      </c>
      <c r="G250" s="6" t="s">
        <v>157</v>
      </c>
      <c r="H250" s="100" t="s">
        <v>191</v>
      </c>
      <c r="I250" s="224">
        <v>45895</v>
      </c>
      <c r="J250" t="s">
        <v>11</v>
      </c>
      <c r="L250" s="20" t="s">
        <v>10</v>
      </c>
      <c r="M250" s="253">
        <v>40</v>
      </c>
      <c r="N250" s="3">
        <f>IFERROR(INDEX(Tableau6[],MATCH(Tableau3[[#This Row],[FACTURE]],Tableau6[NUM DE FACTURE],0),4),"")</f>
        <v>40</v>
      </c>
      <c r="O250" t="str">
        <f>IF(Tableau3[[#This Row],[CLIENTS]]="","",CONCATENATE(Tableau3[[#This Row],[MODE ]]," ",Tableau3[[#This Row],[ETS PAYEUR]]," ","F/",Tableau3[[#This Row],[FACTURE]]))</f>
        <v>CHEQUE ORABANK F/40</v>
      </c>
      <c r="Q250">
        <f>+ROW()-ROW(Tableau3[[#Headers],[N° LIGNE_RF]])</f>
        <v>247</v>
      </c>
      <c r="R250" s="6">
        <f>IF(Tableau3[[#This Row],[REFERENCE ]]="","",MATCH(Tableau3[[#This Row],[REFERENCE ]],Tableau3[[REFERENCE ]],0))</f>
        <v>235</v>
      </c>
      <c r="S250"/>
      <c r="X250" s="70"/>
      <c r="Y250"/>
      <c r="Z250" s="3"/>
      <c r="AA250"/>
      <c r="AE250" s="70"/>
      <c r="AG250"/>
    </row>
    <row r="251" spans="1:33" x14ac:dyDescent="0.2">
      <c r="A251" t="s">
        <v>100</v>
      </c>
      <c r="B251" t="s">
        <v>138</v>
      </c>
      <c r="C251" t="s">
        <v>60</v>
      </c>
      <c r="D251" s="58" t="s">
        <v>84</v>
      </c>
      <c r="E251" s="264">
        <v>2880000</v>
      </c>
      <c r="F251" s="18" t="s">
        <v>189</v>
      </c>
      <c r="G251" s="6" t="s">
        <v>157</v>
      </c>
      <c r="H251" s="100" t="s">
        <v>191</v>
      </c>
      <c r="I251" s="224">
        <v>45895</v>
      </c>
      <c r="J251" t="s">
        <v>11</v>
      </c>
      <c r="L251" s="20" t="s">
        <v>10</v>
      </c>
      <c r="M251" s="6">
        <v>61</v>
      </c>
      <c r="N251" s="3">
        <f>IFERROR(INDEX(Tableau6[],MATCH(Tableau3[[#This Row],[FACTURE]],Tableau6[NUM DE FACTURE],0),4),"")</f>
        <v>61</v>
      </c>
      <c r="O251" t="str">
        <f>IF(Tableau3[[#This Row],[CLIENTS]]="","",CONCATENATE(Tableau3[[#This Row],[MODE ]]," ",Tableau3[[#This Row],[ETS PAYEUR]]," ","F/",Tableau3[[#This Row],[FACTURE]]))</f>
        <v>CHEQUE ORABANK F/61</v>
      </c>
      <c r="Q251">
        <f>+ROW()-ROW(Tableau3[[#Headers],[N° LIGNE_RF]])</f>
        <v>248</v>
      </c>
      <c r="R251" s="6">
        <f>IF(Tableau3[[#This Row],[REFERENCE ]]="","",MATCH(Tableau3[[#This Row],[REFERENCE ]],Tableau3[[REFERENCE ]],0))</f>
        <v>235</v>
      </c>
      <c r="S251"/>
      <c r="X251" s="70"/>
      <c r="Y251"/>
      <c r="Z251" s="3"/>
      <c r="AA251"/>
      <c r="AE251" s="70"/>
      <c r="AG251"/>
    </row>
    <row r="252" spans="1:33" x14ac:dyDescent="0.2">
      <c r="A252" t="s">
        <v>100</v>
      </c>
      <c r="B252" t="s">
        <v>138</v>
      </c>
      <c r="C252" t="s">
        <v>60</v>
      </c>
      <c r="D252" s="58" t="s">
        <v>84</v>
      </c>
      <c r="E252" s="264">
        <v>2880000</v>
      </c>
      <c r="F252" s="18" t="s">
        <v>189</v>
      </c>
      <c r="G252" s="6" t="s">
        <v>157</v>
      </c>
      <c r="H252" s="100" t="s">
        <v>191</v>
      </c>
      <c r="I252" s="224">
        <v>45895</v>
      </c>
      <c r="J252" t="s">
        <v>11</v>
      </c>
      <c r="L252" s="20" t="s">
        <v>10</v>
      </c>
      <c r="M252" s="6">
        <v>63</v>
      </c>
      <c r="N252" s="3">
        <f>IFERROR(INDEX(Tableau6[],MATCH(Tableau3[[#This Row],[FACTURE]],Tableau6[NUM DE FACTURE],0),4),"")</f>
        <v>63</v>
      </c>
      <c r="O252" t="str">
        <f>IF(Tableau3[[#This Row],[CLIENTS]]="","",CONCATENATE(Tableau3[[#This Row],[MODE ]]," ",Tableau3[[#This Row],[ETS PAYEUR]]," ","F/",Tableau3[[#This Row],[FACTURE]]))</f>
        <v>CHEQUE ORABANK F/63</v>
      </c>
      <c r="Q252">
        <f>+ROW()-ROW(Tableau3[[#Headers],[N° LIGNE_RF]])</f>
        <v>249</v>
      </c>
      <c r="R252" s="6">
        <f>IF(Tableau3[[#This Row],[REFERENCE ]]="","",MATCH(Tableau3[[#This Row],[REFERENCE ]],Tableau3[[REFERENCE ]],0))</f>
        <v>235</v>
      </c>
      <c r="S252"/>
      <c r="X252" s="70"/>
      <c r="Y252"/>
      <c r="Z252" s="3"/>
      <c r="AA252"/>
      <c r="AE252" s="70"/>
      <c r="AG252"/>
    </row>
    <row r="253" spans="1:33" x14ac:dyDescent="0.2">
      <c r="A253" t="s">
        <v>100</v>
      </c>
      <c r="B253" t="s">
        <v>138</v>
      </c>
      <c r="C253" t="s">
        <v>60</v>
      </c>
      <c r="D253" s="58" t="s">
        <v>84</v>
      </c>
      <c r="E253" s="264">
        <v>2880000</v>
      </c>
      <c r="F253" s="18" t="s">
        <v>189</v>
      </c>
      <c r="G253" s="6" t="s">
        <v>157</v>
      </c>
      <c r="H253" s="100" t="s">
        <v>191</v>
      </c>
      <c r="I253" s="224">
        <v>45895</v>
      </c>
      <c r="J253" t="s">
        <v>11</v>
      </c>
      <c r="L253" s="20" t="s">
        <v>10</v>
      </c>
      <c r="M253" s="6">
        <v>66</v>
      </c>
      <c r="N253" s="3">
        <f>IFERROR(INDEX(Tableau6[],MATCH(Tableau3[[#This Row],[FACTURE]],Tableau6[NUM DE FACTURE],0),4),"")</f>
        <v>66</v>
      </c>
      <c r="O253" t="str">
        <f>IF(Tableau3[[#This Row],[CLIENTS]]="","",CONCATENATE(Tableau3[[#This Row],[MODE ]]," ",Tableau3[[#This Row],[ETS PAYEUR]]," ","F/",Tableau3[[#This Row],[FACTURE]]))</f>
        <v>CHEQUE ORABANK F/66</v>
      </c>
      <c r="Q253">
        <f>+ROW()-ROW(Tableau3[[#Headers],[N° LIGNE_RF]])</f>
        <v>250</v>
      </c>
      <c r="R253" s="6">
        <f>IF(Tableau3[[#This Row],[REFERENCE ]]="","",MATCH(Tableau3[[#This Row],[REFERENCE ]],Tableau3[[REFERENCE ]],0))</f>
        <v>235</v>
      </c>
      <c r="S253"/>
      <c r="X253" s="70"/>
      <c r="Y253"/>
      <c r="Z253" s="3"/>
      <c r="AA253"/>
      <c r="AE253" s="70"/>
      <c r="AG253"/>
    </row>
    <row r="254" spans="1:33" x14ac:dyDescent="0.2">
      <c r="A254" t="s">
        <v>100</v>
      </c>
      <c r="B254" t="s">
        <v>138</v>
      </c>
      <c r="C254" t="s">
        <v>60</v>
      </c>
      <c r="D254" s="58" t="s">
        <v>84</v>
      </c>
      <c r="E254" s="283">
        <v>4731800</v>
      </c>
      <c r="F254" s="18" t="s">
        <v>179</v>
      </c>
      <c r="G254" s="6" t="s">
        <v>157</v>
      </c>
      <c r="H254" s="100" t="s">
        <v>191</v>
      </c>
      <c r="I254" s="224">
        <v>45895</v>
      </c>
      <c r="J254" t="s">
        <v>11</v>
      </c>
      <c r="L254" s="20" t="s">
        <v>10</v>
      </c>
      <c r="M254" s="6">
        <v>42</v>
      </c>
      <c r="N254" s="3">
        <f>IFERROR(INDEX(Tableau6[],MATCH(Tableau3[[#This Row],[FACTURE]],Tableau6[NUM DE FACTURE],0),4),"")</f>
        <v>42</v>
      </c>
      <c r="O254" t="str">
        <f>IF(Tableau3[[#This Row],[CLIENTS]]="","",CONCATENATE(Tableau3[[#This Row],[MODE ]]," ",Tableau3[[#This Row],[ETS PAYEUR]]," ","F/",Tableau3[[#This Row],[FACTURE]]))</f>
        <v>CHEQUE ORABANK F/42</v>
      </c>
      <c r="Q254">
        <f>+ROW()-ROW(Tableau3[[#Headers],[N° LIGNE_RF]])</f>
        <v>251</v>
      </c>
      <c r="R254" s="6">
        <f>IF(Tableau3[[#This Row],[REFERENCE ]]="","",MATCH(Tableau3[[#This Row],[REFERENCE ]],Tableau3[[REFERENCE ]],0))</f>
        <v>235</v>
      </c>
      <c r="S254"/>
      <c r="X254" s="70"/>
      <c r="Y254"/>
      <c r="Z254" s="3"/>
      <c r="AA254"/>
      <c r="AE254" s="70"/>
      <c r="AG254"/>
    </row>
    <row r="255" spans="1:33" x14ac:dyDescent="0.2">
      <c r="A255" t="s">
        <v>100</v>
      </c>
      <c r="B255" t="s">
        <v>138</v>
      </c>
      <c r="C255" t="s">
        <v>60</v>
      </c>
      <c r="D255" s="58" t="s">
        <v>84</v>
      </c>
      <c r="E255" s="283">
        <v>5575500</v>
      </c>
      <c r="F255" s="18" t="s">
        <v>185</v>
      </c>
      <c r="G255" s="6" t="s">
        <v>157</v>
      </c>
      <c r="H255" s="100" t="s">
        <v>191</v>
      </c>
      <c r="I255" s="224">
        <v>45895</v>
      </c>
      <c r="J255" t="s">
        <v>11</v>
      </c>
      <c r="L255" s="20" t="s">
        <v>10</v>
      </c>
      <c r="M255" s="6">
        <v>37</v>
      </c>
      <c r="N255" s="3">
        <f>IFERROR(INDEX(Tableau6[],MATCH(Tableau3[[#This Row],[FACTURE]],Tableau6[NUM DE FACTURE],0),4),"")</f>
        <v>37</v>
      </c>
      <c r="O255" t="str">
        <f>IF(Tableau3[[#This Row],[CLIENTS]]="","",CONCATENATE(Tableau3[[#This Row],[MODE ]]," ",Tableau3[[#This Row],[ETS PAYEUR]]," ","F/",Tableau3[[#This Row],[FACTURE]]))</f>
        <v>CHEQUE ORABANK F/37</v>
      </c>
      <c r="Q255">
        <f>+ROW()-ROW(Tableau3[[#Headers],[N° LIGNE_RF]])</f>
        <v>252</v>
      </c>
      <c r="R255" s="6">
        <f>IF(Tableau3[[#This Row],[REFERENCE ]]="","",MATCH(Tableau3[[#This Row],[REFERENCE ]],Tableau3[[REFERENCE ]],0))</f>
        <v>235</v>
      </c>
      <c r="S255"/>
      <c r="X255" s="70"/>
      <c r="Y255"/>
      <c r="Z255" s="3"/>
      <c r="AA255"/>
      <c r="AE255" s="70"/>
      <c r="AG255"/>
    </row>
    <row r="256" spans="1:33" x14ac:dyDescent="0.2">
      <c r="A256" t="s">
        <v>100</v>
      </c>
      <c r="B256" t="s">
        <v>138</v>
      </c>
      <c r="C256" t="s">
        <v>60</v>
      </c>
      <c r="D256" s="58" t="s">
        <v>84</v>
      </c>
      <c r="E256" s="264">
        <v>5970800</v>
      </c>
      <c r="F256" s="18" t="s">
        <v>188</v>
      </c>
      <c r="G256" s="6" t="s">
        <v>157</v>
      </c>
      <c r="H256" s="100" t="s">
        <v>191</v>
      </c>
      <c r="I256" s="224">
        <v>45895</v>
      </c>
      <c r="J256" t="s">
        <v>11</v>
      </c>
      <c r="L256" s="20" t="s">
        <v>10</v>
      </c>
      <c r="M256" s="6">
        <v>53</v>
      </c>
      <c r="N256" s="3">
        <f>IFERROR(INDEX(Tableau6[],MATCH(Tableau3[[#This Row],[FACTURE]],Tableau6[NUM DE FACTURE],0),4),"")</f>
        <v>53</v>
      </c>
      <c r="O256" t="str">
        <f>IF(Tableau3[[#This Row],[CLIENTS]]="","",CONCATENATE(Tableau3[[#This Row],[MODE ]]," ",Tableau3[[#This Row],[ETS PAYEUR]]," ","F/",Tableau3[[#This Row],[FACTURE]]))</f>
        <v>CHEQUE ORABANK F/53</v>
      </c>
      <c r="Q256">
        <f>+ROW()-ROW(Tableau3[[#Headers],[N° LIGNE_RF]])</f>
        <v>253</v>
      </c>
      <c r="R256" s="6">
        <f>IF(Tableau3[[#This Row],[REFERENCE ]]="","",MATCH(Tableau3[[#This Row],[REFERENCE ]],Tableau3[[REFERENCE ]],0))</f>
        <v>235</v>
      </c>
      <c r="S256"/>
      <c r="X256" s="70"/>
      <c r="Y256"/>
      <c r="Z256" s="3"/>
      <c r="AA256"/>
      <c r="AE256" s="70"/>
      <c r="AG256"/>
    </row>
    <row r="257" spans="1:33" x14ac:dyDescent="0.2">
      <c r="A257" t="s">
        <v>100</v>
      </c>
      <c r="B257" t="s">
        <v>138</v>
      </c>
      <c r="C257" t="s">
        <v>60</v>
      </c>
      <c r="D257" s="58" t="s">
        <v>84</v>
      </c>
      <c r="E257" s="280">
        <v>7658200</v>
      </c>
      <c r="F257" s="70" t="s">
        <v>182</v>
      </c>
      <c r="G257" s="6" t="s">
        <v>157</v>
      </c>
      <c r="H257" s="100" t="s">
        <v>191</v>
      </c>
      <c r="I257" s="224">
        <v>45895</v>
      </c>
      <c r="J257" t="s">
        <v>11</v>
      </c>
      <c r="L257" s="20" t="s">
        <v>10</v>
      </c>
      <c r="M257" s="6">
        <v>57</v>
      </c>
      <c r="N257" s="3">
        <f>IFERROR(INDEX(Tableau6[],MATCH(Tableau3[[#This Row],[FACTURE]],Tableau6[NUM DE FACTURE],0),4),"")</f>
        <v>57</v>
      </c>
      <c r="O257" t="str">
        <f>IF(Tableau3[[#This Row],[CLIENTS]]="","",CONCATENATE(Tableau3[[#This Row],[MODE ]]," ",Tableau3[[#This Row],[ETS PAYEUR]]," ","F/",Tableau3[[#This Row],[FACTURE]]))</f>
        <v>CHEQUE ORABANK F/57</v>
      </c>
      <c r="Q257">
        <f>+ROW()-ROW(Tableau3[[#Headers],[N° LIGNE_RF]])</f>
        <v>254</v>
      </c>
      <c r="R257" s="6">
        <f>IF(Tableau3[[#This Row],[REFERENCE ]]="","",MATCH(Tableau3[[#This Row],[REFERENCE ]],Tableau3[[REFERENCE ]],0))</f>
        <v>235</v>
      </c>
      <c r="S257"/>
      <c r="X257" s="70"/>
      <c r="Y257"/>
      <c r="Z257" s="3"/>
      <c r="AA257"/>
      <c r="AE257" s="70"/>
      <c r="AG257"/>
    </row>
    <row r="258" spans="1:33" x14ac:dyDescent="0.2">
      <c r="A258" t="s">
        <v>100</v>
      </c>
      <c r="B258" t="s">
        <v>138</v>
      </c>
      <c r="C258" t="s">
        <v>60</v>
      </c>
      <c r="D258" s="58" t="s">
        <v>84</v>
      </c>
      <c r="E258" s="283">
        <v>8850018</v>
      </c>
      <c r="F258" s="18" t="s">
        <v>178</v>
      </c>
      <c r="G258" s="6" t="s">
        <v>157</v>
      </c>
      <c r="H258" s="100" t="s">
        <v>191</v>
      </c>
      <c r="I258" s="224">
        <v>45895</v>
      </c>
      <c r="J258" t="s">
        <v>11</v>
      </c>
      <c r="L258" s="20" t="s">
        <v>10</v>
      </c>
      <c r="M258" s="6">
        <v>47</v>
      </c>
      <c r="N258" s="3">
        <f>IFERROR(INDEX(Tableau6[],MATCH(Tableau3[[#This Row],[FACTURE]],Tableau6[NUM DE FACTURE],0),4),"")</f>
        <v>47</v>
      </c>
      <c r="O258" t="str">
        <f>IF(Tableau3[[#This Row],[CLIENTS]]="","",CONCATENATE(Tableau3[[#This Row],[MODE ]]," ",Tableau3[[#This Row],[ETS PAYEUR]]," ","F/",Tableau3[[#This Row],[FACTURE]]))</f>
        <v>CHEQUE ORABANK F/47</v>
      </c>
      <c r="Q258">
        <f>+ROW()-ROW(Tableau3[[#Headers],[N° LIGNE_RF]])</f>
        <v>255</v>
      </c>
      <c r="R258" s="6">
        <f>IF(Tableau3[[#This Row],[REFERENCE ]]="","",MATCH(Tableau3[[#This Row],[REFERENCE ]],Tableau3[[REFERENCE ]],0))</f>
        <v>235</v>
      </c>
      <c r="S258"/>
      <c r="X258" s="70"/>
      <c r="Y258"/>
      <c r="Z258" s="3"/>
      <c r="AA258"/>
      <c r="AE258" s="70"/>
      <c r="AG258"/>
    </row>
    <row r="259" spans="1:33" x14ac:dyDescent="0.2">
      <c r="A259" t="s">
        <v>100</v>
      </c>
      <c r="B259" t="s">
        <v>138</v>
      </c>
      <c r="C259" t="s">
        <v>60</v>
      </c>
      <c r="D259" s="58" t="s">
        <v>84</v>
      </c>
      <c r="E259" s="264">
        <v>9103699</v>
      </c>
      <c r="F259" s="18" t="s">
        <v>190</v>
      </c>
      <c r="G259" s="6" t="s">
        <v>157</v>
      </c>
      <c r="H259" s="100" t="s">
        <v>191</v>
      </c>
      <c r="I259" s="224">
        <v>45895</v>
      </c>
      <c r="J259" t="s">
        <v>11</v>
      </c>
      <c r="L259" s="20" t="s">
        <v>10</v>
      </c>
      <c r="M259" s="6">
        <v>68</v>
      </c>
      <c r="N259" s="3">
        <f>IFERROR(INDEX(Tableau6[],MATCH(Tableau3[[#This Row],[FACTURE]],Tableau6[NUM DE FACTURE],0),4),"")</f>
        <v>68</v>
      </c>
      <c r="O259" t="str">
        <f>IF(Tableau3[[#This Row],[CLIENTS]]="","",CONCATENATE(Tableau3[[#This Row],[MODE ]]," ",Tableau3[[#This Row],[ETS PAYEUR]]," ","F/",Tableau3[[#This Row],[FACTURE]]))</f>
        <v>CHEQUE ORABANK F/68</v>
      </c>
      <c r="Q259">
        <f>+ROW()-ROW(Tableau3[[#Headers],[N° LIGNE_RF]])</f>
        <v>256</v>
      </c>
      <c r="R259" s="6">
        <f>IF(Tableau3[[#This Row],[REFERENCE ]]="","",MATCH(Tableau3[[#This Row],[REFERENCE ]],Tableau3[[REFERENCE ]],0))</f>
        <v>235</v>
      </c>
      <c r="S259"/>
      <c r="X259" s="70"/>
      <c r="Y259"/>
      <c r="Z259" s="3"/>
      <c r="AA259"/>
      <c r="AE259" s="70"/>
      <c r="AG259"/>
    </row>
    <row r="260" spans="1:33" x14ac:dyDescent="0.2">
      <c r="A260" t="s">
        <v>100</v>
      </c>
      <c r="B260" t="s">
        <v>138</v>
      </c>
      <c r="C260" t="s">
        <v>60</v>
      </c>
      <c r="D260" s="58" t="s">
        <v>84</v>
      </c>
      <c r="E260" s="273">
        <v>12555200</v>
      </c>
      <c r="F260" s="18" t="s">
        <v>180</v>
      </c>
      <c r="G260" s="6" t="s">
        <v>157</v>
      </c>
      <c r="H260" s="100" t="s">
        <v>191</v>
      </c>
      <c r="I260" s="224">
        <v>45895</v>
      </c>
      <c r="J260" t="s">
        <v>11</v>
      </c>
      <c r="L260" s="20" t="s">
        <v>10</v>
      </c>
      <c r="M260" s="255">
        <v>32</v>
      </c>
      <c r="N260" s="3">
        <f>IFERROR(INDEX(Tableau6[],MATCH(Tableau3[[#This Row],[FACTURE]],Tableau6[NUM DE FACTURE],0),4),"")</f>
        <v>32</v>
      </c>
      <c r="O260" t="str">
        <f>IF(Tableau3[[#This Row],[CLIENTS]]="","",CONCATENATE(Tableau3[[#This Row],[MODE ]]," ",Tableau3[[#This Row],[ETS PAYEUR]]," ","F/",Tableau3[[#This Row],[FACTURE]]))</f>
        <v>CHEQUE ORABANK F/32</v>
      </c>
      <c r="Q260">
        <f>+ROW()-ROW(Tableau3[[#Headers],[N° LIGNE_RF]])</f>
        <v>257</v>
      </c>
      <c r="R260" s="6">
        <f>IF(Tableau3[[#This Row],[REFERENCE ]]="","",MATCH(Tableau3[[#This Row],[REFERENCE ]],Tableau3[[REFERENCE ]],0))</f>
        <v>235</v>
      </c>
      <c r="S260"/>
      <c r="X260" s="70"/>
      <c r="Y260"/>
      <c r="Z260" s="3"/>
      <c r="AA260"/>
      <c r="AE260" s="70"/>
      <c r="AG260"/>
    </row>
    <row r="261" spans="1:33" x14ac:dyDescent="0.2">
      <c r="A261" t="s">
        <v>100</v>
      </c>
      <c r="B261" t="s">
        <v>138</v>
      </c>
      <c r="C261" t="s">
        <v>60</v>
      </c>
      <c r="D261" s="58" t="s">
        <v>84</v>
      </c>
      <c r="E261" s="267">
        <v>15056800</v>
      </c>
      <c r="F261" s="139" t="s">
        <v>180</v>
      </c>
      <c r="G261" s="6" t="s">
        <v>157</v>
      </c>
      <c r="H261" s="100" t="s">
        <v>191</v>
      </c>
      <c r="I261" s="252">
        <v>45895</v>
      </c>
      <c r="J261" t="s">
        <v>11</v>
      </c>
      <c r="L261" s="20" t="s">
        <v>10</v>
      </c>
      <c r="M261" s="256">
        <v>48</v>
      </c>
      <c r="N261" s="138">
        <f>IFERROR(INDEX(Tableau6[],MATCH(Tableau3[[#This Row],[FACTURE]],Tableau6[NUM DE FACTURE],0),4),"")</f>
        <v>48</v>
      </c>
      <c r="O261" s="137" t="str">
        <f>IF(Tableau3[[#This Row],[CLIENTS]]="","",CONCATENATE(Tableau3[[#This Row],[MODE ]]," ",Tableau3[[#This Row],[ETS PAYEUR]]," ","F/",Tableau3[[#This Row],[FACTURE]]))</f>
        <v>CHEQUE ORABANK F/48</v>
      </c>
      <c r="P261" s="137"/>
      <c r="Q261">
        <f>+ROW()-ROW(Tableau3[[#Headers],[N° LIGNE_RF]])</f>
        <v>258</v>
      </c>
      <c r="R261" s="6">
        <f>IF(Tableau3[[#This Row],[REFERENCE ]]="","",MATCH(Tableau3[[#This Row],[REFERENCE ]],Tableau3[[REFERENCE ]],0))</f>
        <v>235</v>
      </c>
      <c r="S261"/>
      <c r="X261" s="70"/>
      <c r="Y261"/>
      <c r="Z261" s="3"/>
      <c r="AA261"/>
      <c r="AE261" s="70"/>
      <c r="AG261"/>
    </row>
    <row r="262" spans="1:33" x14ac:dyDescent="0.2">
      <c r="A262" t="s">
        <v>100</v>
      </c>
      <c r="B262" t="s">
        <v>138</v>
      </c>
      <c r="C262" t="s">
        <v>60</v>
      </c>
      <c r="D262" s="58" t="s">
        <v>84</v>
      </c>
      <c r="E262" s="282">
        <v>15558300</v>
      </c>
      <c r="F262" s="18" t="s">
        <v>183</v>
      </c>
      <c r="G262" s="6" t="s">
        <v>157</v>
      </c>
      <c r="H262" s="100" t="s">
        <v>191</v>
      </c>
      <c r="I262" s="224">
        <v>45895</v>
      </c>
      <c r="J262" t="s">
        <v>11</v>
      </c>
      <c r="L262" s="20" t="s">
        <v>10</v>
      </c>
      <c r="M262" s="6">
        <v>51</v>
      </c>
      <c r="N262" s="3">
        <f>IFERROR(INDEX(Tableau6[],MATCH(Tableau3[[#This Row],[FACTURE]],Tableau6[NUM DE FACTURE],0),4),"")</f>
        <v>51</v>
      </c>
      <c r="O262" t="str">
        <f>IF(Tableau3[[#This Row],[CLIENTS]]="","",CONCATENATE(Tableau3[[#This Row],[MODE ]]," ",Tableau3[[#This Row],[ETS PAYEUR]]," ","F/",Tableau3[[#This Row],[FACTURE]]))</f>
        <v>CHEQUE ORABANK F/51</v>
      </c>
      <c r="Q262">
        <f>+ROW()-ROW(Tableau3[[#Headers],[N° LIGNE_RF]])</f>
        <v>259</v>
      </c>
      <c r="R262" s="6">
        <f>IF(Tableau3[[#This Row],[REFERENCE ]]="","",MATCH(Tableau3[[#This Row],[REFERENCE ]],Tableau3[[REFERENCE ]],0))</f>
        <v>235</v>
      </c>
      <c r="S262"/>
      <c r="X262" s="70"/>
      <c r="Y262"/>
      <c r="Z262" s="3"/>
      <c r="AA262"/>
      <c r="AE262" s="70"/>
      <c r="AG262"/>
    </row>
    <row r="263" spans="1:33" x14ac:dyDescent="0.2">
      <c r="A263" t="s">
        <v>100</v>
      </c>
      <c r="B263" t="s">
        <v>107</v>
      </c>
      <c r="C263" t="s">
        <v>60</v>
      </c>
      <c r="D263" s="58" t="s">
        <v>84</v>
      </c>
      <c r="E263" s="264">
        <v>1293870</v>
      </c>
      <c r="F263" s="18"/>
      <c r="G263" s="6" t="s">
        <v>261</v>
      </c>
      <c r="H263" s="100" t="s">
        <v>262</v>
      </c>
      <c r="I263" s="224">
        <v>45895</v>
      </c>
      <c r="J263" t="s">
        <v>230</v>
      </c>
      <c r="K263" s="3">
        <v>45895</v>
      </c>
      <c r="L263" s="18" t="s">
        <v>10</v>
      </c>
      <c r="M263" s="6">
        <v>79</v>
      </c>
      <c r="N263" s="3">
        <f>IFERROR(INDEX(Tableau6[],MATCH(Tableau3[[#This Row],[FACTURE]],Tableau6[NUM DE FACTURE],0),4),"")</f>
        <v>79</v>
      </c>
      <c r="O263" t="str">
        <f>IF(Tableau3[[#This Row],[CLIENTS]]="","",CONCATENATE(Tableau3[[#This Row],[MODE ]]," ",Tableau3[[#This Row],[ETS PAYEUR]]," ","F/",Tableau3[[#This Row],[FACTURE]]))</f>
        <v>OV BRIDGE BANK F/79</v>
      </c>
      <c r="Q263">
        <f>+ROW()-ROW(Tableau3[[#Headers],[N° LIGNE_RF]])</f>
        <v>260</v>
      </c>
      <c r="R263" s="6">
        <f>IF(Tableau3[[#This Row],[REFERENCE ]]="","",MATCH(Tableau3[[#This Row],[REFERENCE ]],Tableau3[[REFERENCE ]],0))</f>
        <v>260</v>
      </c>
      <c r="S263"/>
      <c r="X263" s="70"/>
      <c r="Y263"/>
      <c r="Z263" s="3"/>
      <c r="AA263"/>
      <c r="AE263" s="70"/>
      <c r="AG263"/>
    </row>
    <row r="264" spans="1:33" x14ac:dyDescent="0.2">
      <c r="A264" t="s">
        <v>100</v>
      </c>
      <c r="B264" t="s">
        <v>107</v>
      </c>
      <c r="C264" t="s">
        <v>60</v>
      </c>
      <c r="D264" s="58" t="s">
        <v>84</v>
      </c>
      <c r="E264" s="264">
        <v>2171200</v>
      </c>
      <c r="F264" s="18"/>
      <c r="G264" s="6" t="s">
        <v>157</v>
      </c>
      <c r="H264" s="100" t="s">
        <v>229</v>
      </c>
      <c r="I264" s="224">
        <v>45919</v>
      </c>
      <c r="J264" t="s">
        <v>230</v>
      </c>
      <c r="K264" s="3">
        <v>45922</v>
      </c>
      <c r="L264" s="18" t="s">
        <v>68</v>
      </c>
      <c r="M264" s="255">
        <v>98</v>
      </c>
      <c r="N264" s="3">
        <f>IFERROR(INDEX(Tableau6[],MATCH(Tableau3[[#This Row],[FACTURE]],Tableau6[NUM DE FACTURE],0),4),"")</f>
        <v>98</v>
      </c>
      <c r="O264" t="str">
        <f>IF(Tableau3[[#This Row],[CLIENTS]]="","",CONCATENATE(Tableau3[[#This Row],[MODE ]]," ",Tableau3[[#This Row],[ETS PAYEUR]]," ","F/",Tableau3[[#This Row],[FACTURE]]))</f>
        <v>CHEQUE BRIDGE BANK F/98</v>
      </c>
      <c r="Q264">
        <f>+ROW()-ROW(Tableau3[[#Headers],[N° LIGNE_RF]])</f>
        <v>261</v>
      </c>
      <c r="R264" s="6">
        <f>IF(Tableau3[[#This Row],[REFERENCE ]]="","",MATCH(Tableau3[[#This Row],[REFERENCE ]],Tableau3[[REFERENCE ]],0))</f>
        <v>261</v>
      </c>
      <c r="S264"/>
      <c r="X264" s="70"/>
      <c r="Y264"/>
      <c r="Z264" s="3"/>
      <c r="AA264"/>
      <c r="AE264" s="70"/>
      <c r="AG264"/>
    </row>
    <row r="265" spans="1:33" x14ac:dyDescent="0.2">
      <c r="A265" t="s">
        <v>100</v>
      </c>
      <c r="B265" t="s">
        <v>102</v>
      </c>
      <c r="C265" t="s">
        <v>60</v>
      </c>
      <c r="D265" s="58" t="s">
        <v>84</v>
      </c>
      <c r="E265" s="264">
        <v>10041800</v>
      </c>
      <c r="F265" s="18"/>
      <c r="G265" s="6" t="s">
        <v>157</v>
      </c>
      <c r="H265" s="100" t="s">
        <v>232</v>
      </c>
      <c r="I265" s="224">
        <v>45919</v>
      </c>
      <c r="J265" t="s">
        <v>14</v>
      </c>
      <c r="K265" s="3">
        <v>45919</v>
      </c>
      <c r="L265" s="18" t="s">
        <v>10</v>
      </c>
      <c r="M265" s="6">
        <v>56</v>
      </c>
      <c r="N265" s="3">
        <f>IFERROR(INDEX(Tableau6[],MATCH(Tableau3[[#This Row],[FACTURE]],Tableau6[NUM DE FACTURE],0),4),"")</f>
        <v>56</v>
      </c>
      <c r="O265" t="str">
        <f>IF(Tableau3[[#This Row],[CLIENTS]]="","",CONCATENATE(Tableau3[[#This Row],[MODE ]]," ",Tableau3[[#This Row],[ETS PAYEUR]]," ","F/",Tableau3[[#This Row],[FACTURE]]))</f>
        <v>CHEQUE NSIA F/56</v>
      </c>
      <c r="Q265">
        <f>+ROW()-ROW(Tableau3[[#Headers],[N° LIGNE_RF]])</f>
        <v>262</v>
      </c>
      <c r="R265" s="6">
        <f>IF(Tableau3[[#This Row],[REFERENCE ]]="","",MATCH(Tableau3[[#This Row],[REFERENCE ]],Tableau3[[REFERENCE ]],0))</f>
        <v>262</v>
      </c>
      <c r="S265"/>
      <c r="X265" s="70"/>
      <c r="Y265"/>
      <c r="Z265" s="3"/>
      <c r="AA265"/>
      <c r="AE265" s="70"/>
      <c r="AG265"/>
    </row>
    <row r="266" spans="1:33" x14ac:dyDescent="0.2">
      <c r="A266" t="s">
        <v>100</v>
      </c>
      <c r="B266" t="s">
        <v>102</v>
      </c>
      <c r="C266" t="s">
        <v>60</v>
      </c>
      <c r="D266" s="58" t="s">
        <v>84</v>
      </c>
      <c r="E266" s="268">
        <v>3203700</v>
      </c>
      <c r="F266" s="192"/>
      <c r="G266" s="6" t="s">
        <v>157</v>
      </c>
      <c r="H266" s="100" t="s">
        <v>264</v>
      </c>
      <c r="I266" s="224">
        <v>45950</v>
      </c>
      <c r="J266" t="s">
        <v>14</v>
      </c>
      <c r="K266" s="3">
        <v>45954</v>
      </c>
      <c r="L266" s="192" t="s">
        <v>14</v>
      </c>
      <c r="M266" s="6">
        <v>74</v>
      </c>
      <c r="N266" s="3">
        <f>IFERROR(INDEX(Tableau6[],MATCH(Tableau3[[#This Row],[FACTURE]],Tableau6[NUM DE FACTURE],0),4),"")</f>
        <v>74</v>
      </c>
      <c r="O266" t="str">
        <f>IF(Tableau3[[#This Row],[CLIENTS]]="","",CONCATENATE(Tableau3[[#This Row],[MODE ]]," ",Tableau3[[#This Row],[ETS PAYEUR]]," ","F/",Tableau3[[#This Row],[FACTURE]]))</f>
        <v>CHEQUE NSIA F/74</v>
      </c>
      <c r="Q266">
        <f>+ROW()-ROW(Tableau3[[#Headers],[N° LIGNE_RF]])</f>
        <v>263</v>
      </c>
      <c r="R266" s="6">
        <f>IF(Tableau3[[#This Row],[REFERENCE ]]="","",MATCH(Tableau3[[#This Row],[REFERENCE ]],Tableau3[[REFERENCE ]],0))</f>
        <v>263</v>
      </c>
      <c r="S266"/>
      <c r="X266" s="70"/>
      <c r="Y266"/>
      <c r="Z266" s="3"/>
      <c r="AA266"/>
      <c r="AE266" s="70"/>
      <c r="AG266"/>
    </row>
    <row r="267" spans="1:33" x14ac:dyDescent="0.2">
      <c r="A267" t="s">
        <v>100</v>
      </c>
      <c r="B267" t="s">
        <v>138</v>
      </c>
      <c r="C267" t="s">
        <v>60</v>
      </c>
      <c r="D267" s="58" t="s">
        <v>84</v>
      </c>
      <c r="E267" s="264">
        <v>40037411</v>
      </c>
      <c r="F267" s="18" t="s">
        <v>186</v>
      </c>
      <c r="G267" s="6" t="s">
        <v>157</v>
      </c>
      <c r="H267" s="100" t="s">
        <v>272</v>
      </c>
      <c r="I267" s="224">
        <v>45953</v>
      </c>
      <c r="J267" t="s">
        <v>14</v>
      </c>
      <c r="K267" s="3">
        <v>45954</v>
      </c>
      <c r="L267" s="18" t="s">
        <v>10</v>
      </c>
      <c r="M267" s="253">
        <v>78</v>
      </c>
      <c r="N267" s="35">
        <f>IFERROR(INDEX(Tableau6[],MATCH(Tableau3[[#This Row],[FACTURE]],Tableau6[NUM DE FACTURE],0),4),"")</f>
        <v>78</v>
      </c>
      <c r="O267" s="21" t="str">
        <f>IF(Tableau3[[#This Row],[CLIENTS]]="","",CONCATENATE(Tableau3[[#This Row],[MODE ]]," ",Tableau3[[#This Row],[ETS PAYEUR]]," ","F/",Tableau3[[#This Row],[FACTURE]]))</f>
        <v>CHEQUE NSIA F/78</v>
      </c>
      <c r="Q267">
        <f>+ROW()-ROW(Tableau3[[#Headers],[N° LIGNE_RF]])</f>
        <v>264</v>
      </c>
      <c r="R267" s="6">
        <f>IF(Tableau3[[#This Row],[REFERENCE ]]="","",MATCH(Tableau3[[#This Row],[REFERENCE ]],Tableau3[[REFERENCE ]],0))</f>
        <v>264</v>
      </c>
      <c r="S267"/>
      <c r="X267" s="70"/>
      <c r="Y267"/>
      <c r="Z267" s="3"/>
      <c r="AA267"/>
      <c r="AE267" s="70"/>
      <c r="AG267"/>
    </row>
    <row r="268" spans="1:33" x14ac:dyDescent="0.2">
      <c r="A268" t="s">
        <v>100</v>
      </c>
      <c r="B268" t="s">
        <v>138</v>
      </c>
      <c r="C268" t="s">
        <v>60</v>
      </c>
      <c r="D268" s="58" t="s">
        <v>84</v>
      </c>
      <c r="E268" s="268">
        <v>1770000</v>
      </c>
      <c r="F268" s="18" t="s">
        <v>178</v>
      </c>
      <c r="G268" s="6" t="s">
        <v>157</v>
      </c>
      <c r="H268" s="100" t="s">
        <v>272</v>
      </c>
      <c r="I268" s="224">
        <v>45953</v>
      </c>
      <c r="J268" t="s">
        <v>14</v>
      </c>
      <c r="K268" s="3">
        <v>45954</v>
      </c>
      <c r="L268" s="192" t="s">
        <v>10</v>
      </c>
      <c r="M268" s="6">
        <v>77</v>
      </c>
      <c r="N268" s="3">
        <f>IFERROR(INDEX(Tableau6[],MATCH(Tableau3[[#This Row],[FACTURE]],Tableau6[NUM DE FACTURE],0),4),"")</f>
        <v>77</v>
      </c>
      <c r="O268" t="str">
        <f>IF(Tableau3[[#This Row],[CLIENTS]]="","",CONCATENATE(Tableau3[[#This Row],[MODE ]]," ",Tableau3[[#This Row],[ETS PAYEUR]]," ","F/",Tableau3[[#This Row],[FACTURE]]))</f>
        <v>CHEQUE NSIA F/77</v>
      </c>
      <c r="Q268">
        <f>+ROW()-ROW(Tableau3[[#Headers],[N° LIGNE_RF]])</f>
        <v>265</v>
      </c>
      <c r="R268" s="6">
        <f>IF(Tableau3[[#This Row],[REFERENCE ]]="","",MATCH(Tableau3[[#This Row],[REFERENCE ]],Tableau3[[REFERENCE ]],0))</f>
        <v>264</v>
      </c>
      <c r="S268"/>
      <c r="X268" s="70"/>
      <c r="Y268"/>
      <c r="Z268" s="3"/>
      <c r="AA268"/>
      <c r="AE268" s="70"/>
      <c r="AG268"/>
    </row>
    <row r="269" spans="1:33" x14ac:dyDescent="0.2">
      <c r="A269" t="s">
        <v>100</v>
      </c>
      <c r="B269" t="s">
        <v>138</v>
      </c>
      <c r="C269" t="s">
        <v>60</v>
      </c>
      <c r="D269" s="58" t="s">
        <v>84</v>
      </c>
      <c r="E269" s="268">
        <v>8490100</v>
      </c>
      <c r="F269" s="18" t="s">
        <v>182</v>
      </c>
      <c r="G269" s="6" t="s">
        <v>157</v>
      </c>
      <c r="H269" s="100" t="s">
        <v>272</v>
      </c>
      <c r="I269" s="224">
        <v>45953</v>
      </c>
      <c r="J269" t="s">
        <v>14</v>
      </c>
      <c r="K269" s="3">
        <v>45954</v>
      </c>
      <c r="L269" s="192" t="s">
        <v>10</v>
      </c>
      <c r="M269" s="6">
        <v>102</v>
      </c>
      <c r="N269" s="3">
        <f>IFERROR(INDEX(Tableau6[],MATCH(Tableau3[[#This Row],[FACTURE]],Tableau6[NUM DE FACTURE],0),4),"")</f>
        <v>102</v>
      </c>
      <c r="O269" t="str">
        <f>IF(Tableau3[[#This Row],[CLIENTS]]="","",CONCATENATE(Tableau3[[#This Row],[MODE ]]," ",Tableau3[[#This Row],[ETS PAYEUR]]," ","F/",Tableau3[[#This Row],[FACTURE]]))</f>
        <v>CHEQUE NSIA F/102</v>
      </c>
      <c r="Q269">
        <f>+ROW()-ROW(Tableau3[[#Headers],[N° LIGNE_RF]])</f>
        <v>266</v>
      </c>
      <c r="R269" s="6">
        <f>IF(Tableau3[[#This Row],[REFERENCE ]]="","",MATCH(Tableau3[[#This Row],[REFERENCE ]],Tableau3[[REFERENCE ]],0))</f>
        <v>264</v>
      </c>
      <c r="S269"/>
      <c r="X269" s="70"/>
      <c r="Y269"/>
      <c r="Z269" s="3"/>
      <c r="AA269"/>
      <c r="AE269" s="70"/>
      <c r="AG269"/>
    </row>
    <row r="270" spans="1:33" x14ac:dyDescent="0.2">
      <c r="A270" t="s">
        <v>100</v>
      </c>
      <c r="B270" t="s">
        <v>138</v>
      </c>
      <c r="C270" t="s">
        <v>60</v>
      </c>
      <c r="D270" s="58" t="s">
        <v>84</v>
      </c>
      <c r="E270" s="268">
        <v>9168600</v>
      </c>
      <c r="F270" s="18" t="s">
        <v>180</v>
      </c>
      <c r="G270" s="6" t="s">
        <v>157</v>
      </c>
      <c r="H270" s="100" t="s">
        <v>272</v>
      </c>
      <c r="I270" s="224">
        <v>45953</v>
      </c>
      <c r="J270" t="s">
        <v>14</v>
      </c>
      <c r="K270" s="3">
        <v>45954</v>
      </c>
      <c r="L270" s="192" t="s">
        <v>10</v>
      </c>
      <c r="M270" s="6">
        <v>104</v>
      </c>
      <c r="N270" s="3">
        <f>IFERROR(INDEX(Tableau6[],MATCH(Tableau3[[#This Row],[FACTURE]],Tableau6[NUM DE FACTURE],0),4),"")</f>
        <v>104</v>
      </c>
      <c r="O270" t="str">
        <f>IF(Tableau3[[#This Row],[CLIENTS]]="","",CONCATENATE(Tableau3[[#This Row],[MODE ]]," ",Tableau3[[#This Row],[ETS PAYEUR]]," ","F/",Tableau3[[#This Row],[FACTURE]]))</f>
        <v>CHEQUE NSIA F/104</v>
      </c>
      <c r="Q270">
        <f>+ROW()-ROW(Tableau3[[#Headers],[N° LIGNE_RF]])</f>
        <v>267</v>
      </c>
      <c r="R270" s="6">
        <f>IF(Tableau3[[#This Row],[REFERENCE ]]="","",MATCH(Tableau3[[#This Row],[REFERENCE ]],Tableau3[[REFERENCE ]],0))</f>
        <v>264</v>
      </c>
      <c r="S270"/>
      <c r="X270" s="70"/>
      <c r="Y270"/>
      <c r="Z270" s="3"/>
      <c r="AA270"/>
      <c r="AE270" s="70"/>
      <c r="AG270"/>
    </row>
    <row r="271" spans="1:33" x14ac:dyDescent="0.2">
      <c r="A271" t="s">
        <v>100</v>
      </c>
      <c r="B271" t="s">
        <v>138</v>
      </c>
      <c r="C271" t="s">
        <v>60</v>
      </c>
      <c r="D271" s="58" t="s">
        <v>84</v>
      </c>
      <c r="E271" s="268">
        <v>41827932</v>
      </c>
      <c r="F271" s="18" t="s">
        <v>180</v>
      </c>
      <c r="G271" s="6" t="s">
        <v>157</v>
      </c>
      <c r="H271" s="100" t="s">
        <v>272</v>
      </c>
      <c r="I271" s="224">
        <v>45953</v>
      </c>
      <c r="J271" t="s">
        <v>14</v>
      </c>
      <c r="K271" s="3">
        <v>45954</v>
      </c>
      <c r="L271" s="192" t="s">
        <v>10</v>
      </c>
      <c r="M271" s="6">
        <v>105</v>
      </c>
      <c r="N271" s="3">
        <f>IFERROR(INDEX(Tableau6[],MATCH(Tableau3[[#This Row],[FACTURE]],Tableau6[NUM DE FACTURE],0),4),"")</f>
        <v>105</v>
      </c>
      <c r="O271" t="str">
        <f>IF(Tableau3[[#This Row],[CLIENTS]]="","",CONCATENATE(Tableau3[[#This Row],[MODE ]]," ",Tableau3[[#This Row],[ETS PAYEUR]]," ","F/",Tableau3[[#This Row],[FACTURE]]))</f>
        <v>CHEQUE NSIA F/105</v>
      </c>
      <c r="Q271">
        <f>+ROW()-ROW(Tableau3[[#Headers],[N° LIGNE_RF]])</f>
        <v>268</v>
      </c>
      <c r="R271" s="6">
        <f>IF(Tableau3[[#This Row],[REFERENCE ]]="","",MATCH(Tableau3[[#This Row],[REFERENCE ]],Tableau3[[REFERENCE ]],0))</f>
        <v>264</v>
      </c>
      <c r="S271"/>
      <c r="X271" s="70"/>
      <c r="Y271"/>
      <c r="Z271" s="3"/>
      <c r="AA271"/>
      <c r="AE271" s="70"/>
      <c r="AG271"/>
    </row>
    <row r="272" spans="1:33" x14ac:dyDescent="0.2">
      <c r="A272" t="s">
        <v>100</v>
      </c>
      <c r="B272" t="s">
        <v>138</v>
      </c>
      <c r="C272" t="s">
        <v>60</v>
      </c>
      <c r="D272" s="58" t="s">
        <v>84</v>
      </c>
      <c r="E272" s="268">
        <v>12502100</v>
      </c>
      <c r="F272" s="18" t="s">
        <v>190</v>
      </c>
      <c r="G272" s="6" t="s">
        <v>157</v>
      </c>
      <c r="H272" s="100" t="s">
        <v>272</v>
      </c>
      <c r="I272" s="224">
        <v>45953</v>
      </c>
      <c r="J272" t="s">
        <v>14</v>
      </c>
      <c r="K272" s="3">
        <v>45954</v>
      </c>
      <c r="L272" s="192" t="s">
        <v>10</v>
      </c>
      <c r="M272" s="6">
        <v>107</v>
      </c>
      <c r="N272" s="3">
        <f>IFERROR(INDEX(Tableau6[],MATCH(Tableau3[[#This Row],[FACTURE]],Tableau6[NUM DE FACTURE],0),4),"")</f>
        <v>107</v>
      </c>
      <c r="O272" t="str">
        <f>IF(Tableau3[[#This Row],[CLIENTS]]="","",CONCATENATE(Tableau3[[#This Row],[MODE ]]," ",Tableau3[[#This Row],[ETS PAYEUR]]," ","F/",Tableau3[[#This Row],[FACTURE]]))</f>
        <v>CHEQUE NSIA F/107</v>
      </c>
      <c r="Q272">
        <f>+ROW()-ROW(Tableau3[[#Headers],[N° LIGNE_RF]])</f>
        <v>269</v>
      </c>
      <c r="R272" s="6">
        <f>IF(Tableau3[[#This Row],[REFERENCE ]]="","",MATCH(Tableau3[[#This Row],[REFERENCE ]],Tableau3[[REFERENCE ]],0))</f>
        <v>264</v>
      </c>
      <c r="S272"/>
      <c r="X272" s="70"/>
      <c r="Y272"/>
      <c r="Z272" s="3"/>
      <c r="AA272"/>
      <c r="AE272" s="70"/>
      <c r="AG272"/>
    </row>
    <row r="273" spans="1:33" x14ac:dyDescent="0.2">
      <c r="A273" t="s">
        <v>100</v>
      </c>
      <c r="B273" t="s">
        <v>138</v>
      </c>
      <c r="C273" t="s">
        <v>60</v>
      </c>
      <c r="D273" s="58" t="s">
        <v>84</v>
      </c>
      <c r="E273" s="284">
        <v>10124419</v>
      </c>
      <c r="F273" s="18" t="s">
        <v>178</v>
      </c>
      <c r="G273" s="6" t="s">
        <v>157</v>
      </c>
      <c r="H273" s="100" t="s">
        <v>272</v>
      </c>
      <c r="I273" s="224">
        <v>45953</v>
      </c>
      <c r="J273" t="s">
        <v>14</v>
      </c>
      <c r="K273" s="3">
        <v>45954</v>
      </c>
      <c r="L273" s="205" t="s">
        <v>10</v>
      </c>
      <c r="M273" s="253">
        <v>108</v>
      </c>
      <c r="N273" s="3">
        <f>IFERROR(INDEX(Tableau6[],MATCH(Tableau3[[#This Row],[FACTURE]],Tableau6[NUM DE FACTURE],0),4),"")</f>
        <v>108</v>
      </c>
      <c r="O273" t="str">
        <f>IF(Tableau3[[#This Row],[CLIENTS]]="","",CONCATENATE(Tableau3[[#This Row],[MODE ]]," ",Tableau3[[#This Row],[ETS PAYEUR]]," ","F/",Tableau3[[#This Row],[FACTURE]]))</f>
        <v>CHEQUE NSIA F/108</v>
      </c>
      <c r="Q273">
        <f>+ROW()-ROW(Tableau3[[#Headers],[N° LIGNE_RF]])</f>
        <v>270</v>
      </c>
      <c r="R273" s="6">
        <f>IF(Tableau3[[#This Row],[REFERENCE ]]="","",MATCH(Tableau3[[#This Row],[REFERENCE ]],Tableau3[[REFERENCE ]],0))</f>
        <v>264</v>
      </c>
      <c r="S273"/>
      <c r="X273" s="70"/>
      <c r="Y273"/>
      <c r="Z273" s="3"/>
      <c r="AA273"/>
      <c r="AE273" s="70"/>
      <c r="AG273"/>
    </row>
    <row r="274" spans="1:33" x14ac:dyDescent="0.2">
      <c r="A274" t="s">
        <v>100</v>
      </c>
      <c r="B274" t="s">
        <v>138</v>
      </c>
      <c r="C274" t="s">
        <v>60</v>
      </c>
      <c r="D274" s="58" t="s">
        <v>84</v>
      </c>
      <c r="E274" s="284">
        <v>27564811</v>
      </c>
      <c r="F274" s="18" t="s">
        <v>186</v>
      </c>
      <c r="G274" s="6" t="s">
        <v>157</v>
      </c>
      <c r="H274" s="100" t="s">
        <v>272</v>
      </c>
      <c r="I274" s="224">
        <v>45953</v>
      </c>
      <c r="J274" t="s">
        <v>14</v>
      </c>
      <c r="K274" s="3">
        <v>45954</v>
      </c>
      <c r="L274" s="205" t="s">
        <v>10</v>
      </c>
      <c r="M274" s="6">
        <v>106</v>
      </c>
      <c r="N274" s="3">
        <f>IFERROR(INDEX(Tableau6[],MATCH(Tableau3[[#This Row],[FACTURE]],Tableau6[NUM DE FACTURE],0),4),"")</f>
        <v>106</v>
      </c>
      <c r="O274" t="str">
        <f>IF(Tableau3[[#This Row],[CLIENTS]]="","",CONCATENATE(Tableau3[[#This Row],[MODE ]]," ",Tableau3[[#This Row],[ETS PAYEUR]]," ","F/",Tableau3[[#This Row],[FACTURE]]))</f>
        <v>CHEQUE NSIA F/106</v>
      </c>
      <c r="Q274">
        <f>+ROW()-ROW(Tableau3[[#Headers],[N° LIGNE_RF]])</f>
        <v>271</v>
      </c>
      <c r="R274" s="6">
        <f>IF(Tableau3[[#This Row],[REFERENCE ]]="","",MATCH(Tableau3[[#This Row],[REFERENCE ]],Tableau3[[REFERENCE ]],0))</f>
        <v>264</v>
      </c>
      <c r="S274"/>
      <c r="X274" s="70"/>
      <c r="Y274"/>
      <c r="Z274" s="3"/>
      <c r="AA274"/>
      <c r="AE274" s="70"/>
      <c r="AG274"/>
    </row>
    <row r="275" spans="1:33" x14ac:dyDescent="0.2">
      <c r="A275" t="s">
        <v>100</v>
      </c>
      <c r="B275" t="s">
        <v>108</v>
      </c>
      <c r="C275" t="s">
        <v>60</v>
      </c>
      <c r="D275" s="58" t="s">
        <v>84</v>
      </c>
      <c r="E275" s="284">
        <v>2336400</v>
      </c>
      <c r="F275" s="205"/>
      <c r="G275" s="6" t="s">
        <v>157</v>
      </c>
      <c r="H275" s="100" t="s">
        <v>273</v>
      </c>
      <c r="I275" s="224">
        <v>45953</v>
      </c>
      <c r="J275" t="s">
        <v>9</v>
      </c>
      <c r="L275" s="205" t="s">
        <v>13</v>
      </c>
      <c r="M275" s="6">
        <v>83</v>
      </c>
      <c r="N275" s="3">
        <f>IFERROR(INDEX(Tableau6[],MATCH(Tableau3[[#This Row],[FACTURE]],Tableau6[NUM DE FACTURE],0),4),"")</f>
        <v>83</v>
      </c>
      <c r="O275" t="str">
        <f>IF(Tableau3[[#This Row],[CLIENTS]]="","",CONCATENATE(Tableau3[[#This Row],[MODE ]]," ",Tableau3[[#This Row],[ETS PAYEUR]]," ","F/",Tableau3[[#This Row],[FACTURE]]))</f>
        <v>CHEQUE SGCI F/83</v>
      </c>
      <c r="Q275">
        <f>+ROW()-ROW(Tableau3[[#Headers],[N° LIGNE_RF]])</f>
        <v>272</v>
      </c>
      <c r="R275" s="6">
        <f>IF(Tableau3[[#This Row],[REFERENCE ]]="","",MATCH(Tableau3[[#This Row],[REFERENCE ]],Tableau3[[REFERENCE ]],0))</f>
        <v>272</v>
      </c>
      <c r="S275"/>
      <c r="X275" s="70"/>
      <c r="Y275"/>
      <c r="Z275" s="3"/>
      <c r="AA275"/>
      <c r="AE275" s="70"/>
      <c r="AG275"/>
    </row>
    <row r="276" spans="1:33" x14ac:dyDescent="0.2">
      <c r="A276" t="s">
        <v>100</v>
      </c>
      <c r="B276" t="s">
        <v>102</v>
      </c>
      <c r="C276" t="s">
        <v>60</v>
      </c>
      <c r="D276" s="58" t="s">
        <v>84</v>
      </c>
      <c r="E276" s="284">
        <v>24544000</v>
      </c>
      <c r="F276" s="205"/>
      <c r="G276" s="6" t="s">
        <v>157</v>
      </c>
      <c r="H276" s="100" t="s">
        <v>275</v>
      </c>
      <c r="I276" s="224">
        <v>45959</v>
      </c>
      <c r="J276" t="s">
        <v>276</v>
      </c>
      <c r="K276" s="3">
        <v>45967</v>
      </c>
      <c r="L276" s="18" t="s">
        <v>14</v>
      </c>
      <c r="M276" s="6">
        <v>76</v>
      </c>
      <c r="N276" s="3">
        <f>IFERROR(INDEX(Tableau6[],MATCH(Tableau3[[#This Row],[FACTURE]],Tableau6[NUM DE FACTURE],0),4),"")</f>
        <v>76</v>
      </c>
      <c r="O276" t="str">
        <f>IF(Tableau3[[#This Row],[CLIENTS]]="","",CONCATENATE(Tableau3[[#This Row],[MODE ]]," ",Tableau3[[#This Row],[ETS PAYEUR]]," ","F/",Tableau3[[#This Row],[FACTURE]]))</f>
        <v>CHEQUE AFRILAND FIRST BANK F/76</v>
      </c>
      <c r="Q276">
        <f>+ROW()-ROW(Tableau3[[#Headers],[N° LIGNE_RF]])</f>
        <v>273</v>
      </c>
      <c r="R276" s="6">
        <f>IF(Tableau3[[#This Row],[REFERENCE ]]="","",MATCH(Tableau3[[#This Row],[REFERENCE ]],Tableau3[[REFERENCE ]],0))</f>
        <v>273</v>
      </c>
      <c r="S276"/>
      <c r="X276" s="70"/>
      <c r="Y276"/>
      <c r="Z276" s="3"/>
      <c r="AA276"/>
      <c r="AE276" s="70"/>
      <c r="AG276"/>
    </row>
    <row r="277" spans="1:33" x14ac:dyDescent="0.2">
      <c r="A277" t="s">
        <v>100</v>
      </c>
      <c r="B277" t="s">
        <v>102</v>
      </c>
      <c r="C277" t="s">
        <v>60</v>
      </c>
      <c r="D277" s="58" t="s">
        <v>84</v>
      </c>
      <c r="E277" s="285">
        <v>8283600</v>
      </c>
      <c r="F277" s="209"/>
      <c r="G277" s="6" t="s">
        <v>157</v>
      </c>
      <c r="H277" s="100" t="s">
        <v>275</v>
      </c>
      <c r="I277" s="224">
        <v>45959</v>
      </c>
      <c r="J277" t="s">
        <v>276</v>
      </c>
      <c r="K277" s="3">
        <v>45967</v>
      </c>
      <c r="L277" s="18" t="s">
        <v>14</v>
      </c>
      <c r="M277" s="6">
        <v>97</v>
      </c>
      <c r="N277" s="3">
        <f>IFERROR(INDEX(Tableau6[],MATCH(Tableau3[[#This Row],[FACTURE]],Tableau6[NUM DE FACTURE],0),4),"")</f>
        <v>97</v>
      </c>
      <c r="O277" t="str">
        <f>IF(Tableau3[[#This Row],[CLIENTS]]="","",CONCATENATE(Tableau3[[#This Row],[MODE ]]," ",Tableau3[[#This Row],[ETS PAYEUR]]," ","F/",Tableau3[[#This Row],[FACTURE]]))</f>
        <v>CHEQUE AFRILAND FIRST BANK F/97</v>
      </c>
      <c r="Q277">
        <f>+ROW()-ROW(Tableau3[[#Headers],[N° LIGNE_RF]])</f>
        <v>274</v>
      </c>
      <c r="R277" s="6">
        <f>IF(Tableau3[[#This Row],[REFERENCE ]]="","",MATCH(Tableau3[[#This Row],[REFERENCE ]],Tableau3[[REFERENCE ]],0))</f>
        <v>273</v>
      </c>
      <c r="S277"/>
      <c r="X277" s="70"/>
      <c r="Y277"/>
      <c r="Z277" s="3"/>
      <c r="AA277"/>
      <c r="AE277" s="70"/>
      <c r="AG277"/>
    </row>
    <row r="278" spans="1:33" x14ac:dyDescent="0.2">
      <c r="A278" t="s">
        <v>100</v>
      </c>
      <c r="B278" t="s">
        <v>103</v>
      </c>
      <c r="C278" t="s">
        <v>60</v>
      </c>
      <c r="D278" s="58" t="s">
        <v>84</v>
      </c>
      <c r="E278" s="285">
        <v>2017800</v>
      </c>
      <c r="F278" s="209"/>
      <c r="G278" s="6" t="s">
        <v>261</v>
      </c>
      <c r="H278" t="s">
        <v>366</v>
      </c>
      <c r="I278" s="224">
        <v>45971</v>
      </c>
      <c r="J278" t="s">
        <v>11</v>
      </c>
      <c r="K278" s="3">
        <v>45982</v>
      </c>
      <c r="L278" s="18" t="s">
        <v>14</v>
      </c>
      <c r="M278" s="6">
        <v>353</v>
      </c>
      <c r="N278" s="3">
        <f>IFERROR(INDEX(Tableau6[],MATCH(Tableau3[[#This Row],[FACTURE]],Tableau6[NUM DE FACTURE],0),4),"")</f>
        <v>353</v>
      </c>
      <c r="O278" t="str">
        <f>IF(Tableau3[[#This Row],[CLIENTS]]="","",CONCATENATE(Tableau3[[#This Row],[MODE ]]," ",Tableau3[[#This Row],[ETS PAYEUR]]," ","F/",Tableau3[[#This Row],[FACTURE]]))</f>
        <v>OV ORABANK F/353</v>
      </c>
      <c r="Q278">
        <f>+ROW()-ROW(Tableau3[[#Headers],[N° LIGNE_RF]])</f>
        <v>275</v>
      </c>
      <c r="R278" s="6">
        <f>IF(Tableau3[[#This Row],[REFERENCE ]]="","",MATCH(Tableau3[[#This Row],[REFERENCE ]],Tableau3[[REFERENCE ]],0))</f>
        <v>275</v>
      </c>
      <c r="S278"/>
      <c r="X278" s="70"/>
      <c r="Y278"/>
      <c r="Z278" s="3"/>
      <c r="AA278"/>
      <c r="AE278" s="70"/>
      <c r="AG278"/>
    </row>
    <row r="279" spans="1:33" x14ac:dyDescent="0.2">
      <c r="A279" t="s">
        <v>100</v>
      </c>
      <c r="B279" t="s">
        <v>103</v>
      </c>
      <c r="C279" t="s">
        <v>60</v>
      </c>
      <c r="D279" s="58" t="s">
        <v>84</v>
      </c>
      <c r="E279" s="285">
        <v>684400</v>
      </c>
      <c r="F279" s="209"/>
      <c r="G279" s="6" t="s">
        <v>261</v>
      </c>
      <c r="H279" t="s">
        <v>367</v>
      </c>
      <c r="I279" s="224">
        <v>45971</v>
      </c>
      <c r="J279" t="s">
        <v>11</v>
      </c>
      <c r="K279" s="3">
        <v>45982</v>
      </c>
      <c r="L279" s="18" t="s">
        <v>14</v>
      </c>
      <c r="M279" s="6">
        <v>20</v>
      </c>
      <c r="N279" s="3">
        <f>IFERROR(INDEX(Tableau6[],MATCH(Tableau3[[#This Row],[FACTURE]],Tableau6[NUM DE FACTURE],0),4),"")</f>
        <v>20</v>
      </c>
      <c r="O279" t="str">
        <f>IF(Tableau3[[#This Row],[CLIENTS]]="","",CONCATENATE(Tableau3[[#This Row],[MODE ]]," ",Tableau3[[#This Row],[ETS PAYEUR]]," ","F/",Tableau3[[#This Row],[FACTURE]]))</f>
        <v>OV ORABANK F/20</v>
      </c>
      <c r="Q279">
        <f>+ROW()-ROW(Tableau3[[#Headers],[N° LIGNE_RF]])</f>
        <v>276</v>
      </c>
      <c r="R279" s="6">
        <f>IF(Tableau3[[#This Row],[REFERENCE ]]="","",MATCH(Tableau3[[#This Row],[REFERENCE ]],Tableau3[[REFERENCE ]],0))</f>
        <v>276</v>
      </c>
      <c r="S279"/>
      <c r="X279" s="70"/>
      <c r="Y279"/>
      <c r="Z279" s="3"/>
      <c r="AA279"/>
      <c r="AE279" s="70"/>
      <c r="AG279"/>
    </row>
    <row r="280" spans="1:33" x14ac:dyDescent="0.2">
      <c r="A280" t="s">
        <v>100</v>
      </c>
      <c r="B280" t="s">
        <v>103</v>
      </c>
      <c r="C280" t="s">
        <v>60</v>
      </c>
      <c r="D280" s="58" t="s">
        <v>84</v>
      </c>
      <c r="E280" s="285">
        <v>1156400</v>
      </c>
      <c r="F280" s="209"/>
      <c r="G280" s="6" t="s">
        <v>261</v>
      </c>
      <c r="H280" t="s">
        <v>367</v>
      </c>
      <c r="I280" s="224">
        <v>45971</v>
      </c>
      <c r="J280" t="s">
        <v>11</v>
      </c>
      <c r="K280" s="3">
        <v>45982</v>
      </c>
      <c r="L280" s="18" t="s">
        <v>14</v>
      </c>
      <c r="M280" s="6">
        <v>376</v>
      </c>
      <c r="N280" s="3">
        <f>IFERROR(INDEX(Tableau6[],MATCH(Tableau3[[#This Row],[FACTURE]],Tableau6[NUM DE FACTURE],0),4),"")</f>
        <v>376</v>
      </c>
      <c r="O280" t="str">
        <f>IF(Tableau3[[#This Row],[CLIENTS]]="","",CONCATENATE(Tableau3[[#This Row],[MODE ]]," ",Tableau3[[#This Row],[ETS PAYEUR]]," ","F/",Tableau3[[#This Row],[FACTURE]]))</f>
        <v>OV ORABANK F/376</v>
      </c>
      <c r="Q280">
        <f>+ROW()-ROW(Tableau3[[#Headers],[N° LIGNE_RF]])</f>
        <v>277</v>
      </c>
      <c r="R280" s="6">
        <f>IF(Tableau3[[#This Row],[REFERENCE ]]="","",MATCH(Tableau3[[#This Row],[REFERENCE ]],Tableau3[[REFERENCE ]],0))</f>
        <v>276</v>
      </c>
      <c r="S280"/>
      <c r="X280" s="70"/>
      <c r="Y280"/>
      <c r="Z280" s="3"/>
      <c r="AA280"/>
      <c r="AE280" s="70"/>
      <c r="AG280"/>
    </row>
    <row r="281" spans="1:33" x14ac:dyDescent="0.2">
      <c r="A281" t="s">
        <v>100</v>
      </c>
      <c r="B281" t="s">
        <v>138</v>
      </c>
      <c r="C281" t="s">
        <v>60</v>
      </c>
      <c r="D281" s="58" t="s">
        <v>84</v>
      </c>
      <c r="E281" s="285">
        <v>25086811</v>
      </c>
      <c r="F281" s="18" t="s">
        <v>186</v>
      </c>
      <c r="G281" s="6" t="s">
        <v>157</v>
      </c>
      <c r="H281" s="100" t="s">
        <v>284</v>
      </c>
      <c r="I281" s="224">
        <v>45972</v>
      </c>
      <c r="J281" t="s">
        <v>14</v>
      </c>
      <c r="K281" s="3">
        <v>45974</v>
      </c>
      <c r="L281" s="18" t="s">
        <v>10</v>
      </c>
      <c r="M281" s="6">
        <v>70</v>
      </c>
      <c r="N281" s="3">
        <f>IFERROR(INDEX(Tableau6[],MATCH(Tableau3[[#This Row],[FACTURE]],Tableau6[NUM DE FACTURE],0),4),"")</f>
        <v>70</v>
      </c>
      <c r="O281" t="str">
        <f>IF(Tableau3[[#This Row],[CLIENTS]]="","",CONCATENATE(Tableau3[[#This Row],[MODE ]]," ",Tableau3[[#This Row],[ETS PAYEUR]]," ","F/",Tableau3[[#This Row],[FACTURE]]))</f>
        <v>CHEQUE NSIA F/70</v>
      </c>
      <c r="Q281">
        <f>+ROW()-ROW(Tableau3[[#Headers],[N° LIGNE_RF]])</f>
        <v>278</v>
      </c>
      <c r="R281" s="6">
        <f>IF(Tableau3[[#This Row],[REFERENCE ]]="","",MATCH(Tableau3[[#This Row],[REFERENCE ]],Tableau3[[REFERENCE ]],0))</f>
        <v>278</v>
      </c>
      <c r="S281"/>
      <c r="X281" s="70"/>
      <c r="Y281"/>
      <c r="Z281" s="3"/>
      <c r="AA281"/>
      <c r="AE281" s="70"/>
      <c r="AG281"/>
    </row>
    <row r="282" spans="1:33" x14ac:dyDescent="0.2">
      <c r="A282" t="s">
        <v>100</v>
      </c>
      <c r="B282" t="s">
        <v>138</v>
      </c>
      <c r="C282" t="s">
        <v>60</v>
      </c>
      <c r="D282" s="58" t="s">
        <v>84</v>
      </c>
      <c r="E282" s="285">
        <v>50772450</v>
      </c>
      <c r="F282" s="18" t="s">
        <v>181</v>
      </c>
      <c r="G282" s="6" t="s">
        <v>157</v>
      </c>
      <c r="H282" s="100" t="s">
        <v>284</v>
      </c>
      <c r="I282" s="224">
        <v>45972</v>
      </c>
      <c r="J282" t="s">
        <v>14</v>
      </c>
      <c r="K282" s="3">
        <v>45974</v>
      </c>
      <c r="L282" s="18" t="s">
        <v>10</v>
      </c>
      <c r="M282" s="6">
        <v>72</v>
      </c>
      <c r="N282" s="3">
        <f>IFERROR(INDEX(Tableau6[],MATCH(Tableau3[[#This Row],[FACTURE]],Tableau6[NUM DE FACTURE],0),4),"")</f>
        <v>72</v>
      </c>
      <c r="O282" t="str">
        <f>IF(Tableau3[[#This Row],[CLIENTS]]="","",CONCATENATE(Tableau3[[#This Row],[MODE ]]," ",Tableau3[[#This Row],[ETS PAYEUR]]," ","F/",Tableau3[[#This Row],[FACTURE]]))</f>
        <v>CHEQUE NSIA F/72</v>
      </c>
      <c r="Q282">
        <f>+ROW()-ROW(Tableau3[[#Headers],[N° LIGNE_RF]])</f>
        <v>279</v>
      </c>
      <c r="R282" s="6">
        <f>IF(Tableau3[[#This Row],[REFERENCE ]]="","",MATCH(Tableau3[[#This Row],[REFERENCE ]],Tableau3[[REFERENCE ]],0))</f>
        <v>278</v>
      </c>
      <c r="S282"/>
      <c r="X282" s="70"/>
      <c r="Y282"/>
      <c r="Z282" s="3"/>
      <c r="AA282"/>
      <c r="AE282" s="70"/>
      <c r="AG282"/>
    </row>
    <row r="283" spans="1:33" x14ac:dyDescent="0.2">
      <c r="A283" t="s">
        <v>100</v>
      </c>
      <c r="B283" t="s">
        <v>138</v>
      </c>
      <c r="C283" t="s">
        <v>60</v>
      </c>
      <c r="D283" s="58" t="s">
        <v>84</v>
      </c>
      <c r="E283" s="285">
        <v>11918019</v>
      </c>
      <c r="F283" s="18" t="s">
        <v>178</v>
      </c>
      <c r="G283" s="6" t="s">
        <v>157</v>
      </c>
      <c r="H283" s="100" t="s">
        <v>284</v>
      </c>
      <c r="I283" s="224">
        <v>45972</v>
      </c>
      <c r="J283" t="s">
        <v>14</v>
      </c>
      <c r="K283" s="3">
        <v>45974</v>
      </c>
      <c r="L283" s="18" t="s">
        <v>10</v>
      </c>
      <c r="M283" s="6">
        <v>75</v>
      </c>
      <c r="N283" s="3">
        <f>IFERROR(INDEX(Tableau6[],MATCH(Tableau3[[#This Row],[FACTURE]],Tableau6[NUM DE FACTURE],0),4),"")</f>
        <v>75</v>
      </c>
      <c r="O283" t="str">
        <f>IF(Tableau3[[#This Row],[CLIENTS]]="","",CONCATENATE(Tableau3[[#This Row],[MODE ]]," ",Tableau3[[#This Row],[ETS PAYEUR]]," ","F/",Tableau3[[#This Row],[FACTURE]]))</f>
        <v>CHEQUE NSIA F/75</v>
      </c>
      <c r="Q283">
        <f>+ROW()-ROW(Tableau3[[#Headers],[N° LIGNE_RF]])</f>
        <v>280</v>
      </c>
      <c r="R283" s="6">
        <f>IF(Tableau3[[#This Row],[REFERENCE ]]="","",MATCH(Tableau3[[#This Row],[REFERENCE ]],Tableau3[[REFERENCE ]],0))</f>
        <v>278</v>
      </c>
      <c r="S283"/>
      <c r="X283" s="70"/>
      <c r="Y283"/>
      <c r="Z283" s="3"/>
      <c r="AA283"/>
      <c r="AE283" s="70"/>
      <c r="AG283"/>
    </row>
    <row r="284" spans="1:33" x14ac:dyDescent="0.2">
      <c r="A284" t="s">
        <v>100</v>
      </c>
      <c r="B284" t="s">
        <v>138</v>
      </c>
      <c r="C284" t="s">
        <v>60</v>
      </c>
      <c r="D284" s="58" t="s">
        <v>84</v>
      </c>
      <c r="E284" s="285">
        <v>368750</v>
      </c>
      <c r="F284" s="18" t="s">
        <v>283</v>
      </c>
      <c r="G284" s="6" t="s">
        <v>157</v>
      </c>
      <c r="H284" s="100" t="s">
        <v>284</v>
      </c>
      <c r="I284" s="224">
        <v>45972</v>
      </c>
      <c r="J284" t="s">
        <v>14</v>
      </c>
      <c r="K284" s="3">
        <v>45974</v>
      </c>
      <c r="L284" s="18" t="s">
        <v>10</v>
      </c>
      <c r="M284" s="6">
        <v>280</v>
      </c>
      <c r="N284" s="3">
        <f>IFERROR(INDEX(Tableau6[],MATCH(Tableau3[[#This Row],[FACTURE]],Tableau6[NUM DE FACTURE],0),4),"")</f>
        <v>280</v>
      </c>
      <c r="O284" t="str">
        <f>IF(Tableau3[[#This Row],[CLIENTS]]="","",CONCATENATE(Tableau3[[#This Row],[MODE ]]," ",Tableau3[[#This Row],[ETS PAYEUR]]," ","F/",Tableau3[[#This Row],[FACTURE]]))</f>
        <v>CHEQUE NSIA F/280</v>
      </c>
      <c r="Q284">
        <f>+ROW()-ROW(Tableau3[[#Headers],[N° LIGNE_RF]])</f>
        <v>281</v>
      </c>
      <c r="R284" s="6">
        <f>IF(Tableau3[[#This Row],[REFERENCE ]]="","",MATCH(Tableau3[[#This Row],[REFERENCE ]],Tableau3[[REFERENCE ]],0))</f>
        <v>278</v>
      </c>
      <c r="S284"/>
      <c r="X284" s="70"/>
      <c r="Y284"/>
      <c r="Z284" s="3"/>
      <c r="AA284"/>
      <c r="AE284" s="70"/>
      <c r="AG284"/>
    </row>
    <row r="285" spans="1:33" x14ac:dyDescent="0.2">
      <c r="A285" t="s">
        <v>100</v>
      </c>
      <c r="B285" t="s">
        <v>138</v>
      </c>
      <c r="C285" t="s">
        <v>60</v>
      </c>
      <c r="D285" s="58" t="s">
        <v>84</v>
      </c>
      <c r="E285" s="285">
        <v>3103400</v>
      </c>
      <c r="F285" s="18" t="s">
        <v>183</v>
      </c>
      <c r="G285" s="6" t="s">
        <v>157</v>
      </c>
      <c r="H285" s="100" t="s">
        <v>365</v>
      </c>
      <c r="I285" s="224">
        <v>46000</v>
      </c>
      <c r="J285" t="s">
        <v>14</v>
      </c>
      <c r="K285" s="3">
        <v>46002</v>
      </c>
      <c r="L285" s="18" t="s">
        <v>10</v>
      </c>
      <c r="M285" s="6">
        <v>118</v>
      </c>
      <c r="N285" s="3">
        <f>IFERROR(INDEX(Tableau6[],MATCH(Tableau3[[#This Row],[FACTURE]],Tableau6[NUM DE FACTURE],0),4),"")</f>
        <v>118</v>
      </c>
      <c r="O285" t="str">
        <f>IF(Tableau3[[#This Row],[CLIENTS]]="","",CONCATENATE(Tableau3[[#This Row],[MODE ]]," ",Tableau3[[#This Row],[ETS PAYEUR]]," ","F/",Tableau3[[#This Row],[FACTURE]]))</f>
        <v>CHEQUE NSIA F/118</v>
      </c>
      <c r="Q285">
        <f>+ROW()-ROW(Tableau3[[#Headers],[N° LIGNE_RF]])</f>
        <v>282</v>
      </c>
      <c r="R285" s="6">
        <f>IF(Tableau3[[#This Row],[REFERENCE ]]="","",MATCH(Tableau3[[#This Row],[REFERENCE ]],Tableau3[[REFERENCE ]],0))</f>
        <v>282</v>
      </c>
      <c r="S285"/>
      <c r="X285" s="70"/>
      <c r="Y285"/>
      <c r="Z285" s="3"/>
      <c r="AA285"/>
      <c r="AE285" s="70"/>
      <c r="AG285"/>
    </row>
    <row r="286" spans="1:33" x14ac:dyDescent="0.2">
      <c r="A286" t="s">
        <v>100</v>
      </c>
      <c r="B286" t="s">
        <v>138</v>
      </c>
      <c r="C286" t="s">
        <v>60</v>
      </c>
      <c r="D286" s="58" t="s">
        <v>84</v>
      </c>
      <c r="E286" s="285">
        <v>236000</v>
      </c>
      <c r="F286" s="18" t="s">
        <v>183</v>
      </c>
      <c r="G286" s="6" t="s">
        <v>157</v>
      </c>
      <c r="H286" s="100" t="s">
        <v>365</v>
      </c>
      <c r="I286" s="224">
        <v>46000</v>
      </c>
      <c r="J286" t="s">
        <v>14</v>
      </c>
      <c r="K286" s="3">
        <v>46002</v>
      </c>
      <c r="L286" s="18" t="s">
        <v>10</v>
      </c>
      <c r="M286" s="6">
        <v>113</v>
      </c>
      <c r="N286" s="3">
        <f>IFERROR(INDEX(Tableau6[],MATCH(Tableau3[[#This Row],[FACTURE]],Tableau6[NUM DE FACTURE],0),4),"")</f>
        <v>113</v>
      </c>
      <c r="O286" t="str">
        <f>IF(Tableau3[[#This Row],[CLIENTS]]="","",CONCATENATE(Tableau3[[#This Row],[MODE ]]," ",Tableau3[[#This Row],[ETS PAYEUR]]," ","F/",Tableau3[[#This Row],[FACTURE]]))</f>
        <v>CHEQUE NSIA F/113</v>
      </c>
      <c r="Q286">
        <f>+ROW()-ROW(Tableau3[[#Headers],[N° LIGNE_RF]])</f>
        <v>283</v>
      </c>
      <c r="R286" s="6">
        <f>IF(Tableau3[[#This Row],[REFERENCE ]]="","",MATCH(Tableau3[[#This Row],[REFERENCE ]],Tableau3[[REFERENCE ]],0))</f>
        <v>282</v>
      </c>
      <c r="S286"/>
      <c r="X286" s="70"/>
      <c r="Y286"/>
      <c r="Z286" s="3"/>
      <c r="AA286"/>
      <c r="AE286" s="70"/>
      <c r="AG286"/>
    </row>
    <row r="287" spans="1:33" x14ac:dyDescent="0.2">
      <c r="A287" t="s">
        <v>100</v>
      </c>
      <c r="B287" t="s">
        <v>138</v>
      </c>
      <c r="C287" t="s">
        <v>60</v>
      </c>
      <c r="D287" s="58" t="s">
        <v>84</v>
      </c>
      <c r="E287" s="285">
        <v>3292200</v>
      </c>
      <c r="F287" s="18" t="s">
        <v>188</v>
      </c>
      <c r="G287" s="6" t="s">
        <v>157</v>
      </c>
      <c r="H287" s="100" t="s">
        <v>365</v>
      </c>
      <c r="I287" s="224">
        <v>46000</v>
      </c>
      <c r="J287" t="s">
        <v>14</v>
      </c>
      <c r="K287" s="3">
        <v>46002</v>
      </c>
      <c r="L287" s="18" t="s">
        <v>10</v>
      </c>
      <c r="M287" s="6">
        <v>84</v>
      </c>
      <c r="N287" s="3">
        <f>IFERROR(INDEX(Tableau6[],MATCH(Tableau3[[#This Row],[FACTURE]],Tableau6[NUM DE FACTURE],0),4),"")</f>
        <v>84</v>
      </c>
      <c r="O287" t="str">
        <f>IF(Tableau3[[#This Row],[CLIENTS]]="","",CONCATENATE(Tableau3[[#This Row],[MODE ]]," ",Tableau3[[#This Row],[ETS PAYEUR]]," ","F/",Tableau3[[#This Row],[FACTURE]]))</f>
        <v>CHEQUE NSIA F/84</v>
      </c>
      <c r="Q287">
        <f>+ROW()-ROW(Tableau3[[#Headers],[N° LIGNE_RF]])</f>
        <v>284</v>
      </c>
      <c r="R287" s="6">
        <f>IF(Tableau3[[#This Row],[REFERENCE ]]="","",MATCH(Tableau3[[#This Row],[REFERENCE ]],Tableau3[[REFERENCE ]],0))</f>
        <v>282</v>
      </c>
      <c r="S287"/>
      <c r="X287" s="70"/>
      <c r="Y287"/>
      <c r="Z287" s="3"/>
      <c r="AA287"/>
      <c r="AE287" s="70"/>
      <c r="AG287"/>
    </row>
    <row r="288" spans="1:33" x14ac:dyDescent="0.2">
      <c r="A288" t="s">
        <v>100</v>
      </c>
      <c r="B288" t="s">
        <v>138</v>
      </c>
      <c r="C288" t="s">
        <v>60</v>
      </c>
      <c r="D288" s="58" t="s">
        <v>84</v>
      </c>
      <c r="E288" s="285">
        <v>10856920</v>
      </c>
      <c r="F288" s="18" t="s">
        <v>182</v>
      </c>
      <c r="G288" s="6" t="s">
        <v>157</v>
      </c>
      <c r="H288" s="100" t="s">
        <v>365</v>
      </c>
      <c r="I288" s="224">
        <v>46000</v>
      </c>
      <c r="J288" t="s">
        <v>14</v>
      </c>
      <c r="K288" s="3">
        <v>46002</v>
      </c>
      <c r="L288" s="18" t="s">
        <v>10</v>
      </c>
      <c r="M288" s="6">
        <v>85</v>
      </c>
      <c r="N288" s="3">
        <f>IFERROR(INDEX(Tableau6[],MATCH(Tableau3[[#This Row],[FACTURE]],Tableau6[NUM DE FACTURE],0),4),"")</f>
        <v>85</v>
      </c>
      <c r="O288" t="str">
        <f>IF(Tableau3[[#This Row],[CLIENTS]]="","",CONCATENATE(Tableau3[[#This Row],[MODE ]]," ",Tableau3[[#This Row],[ETS PAYEUR]]," ","F/",Tableau3[[#This Row],[FACTURE]]))</f>
        <v>CHEQUE NSIA F/85</v>
      </c>
      <c r="Q288">
        <f>+ROW()-ROW(Tableau3[[#Headers],[N° LIGNE_RF]])</f>
        <v>285</v>
      </c>
      <c r="R288" s="6">
        <f>IF(Tableau3[[#This Row],[REFERENCE ]]="","",MATCH(Tableau3[[#This Row],[REFERENCE ]],Tableau3[[REFERENCE ]],0))</f>
        <v>282</v>
      </c>
      <c r="S288"/>
      <c r="X288" s="70"/>
      <c r="Y288"/>
      <c r="Z288" s="3"/>
      <c r="AA288"/>
      <c r="AE288" s="70"/>
      <c r="AG288"/>
    </row>
    <row r="289" spans="1:33" x14ac:dyDescent="0.2">
      <c r="A289" t="s">
        <v>100</v>
      </c>
      <c r="B289" t="s">
        <v>138</v>
      </c>
      <c r="C289" t="s">
        <v>60</v>
      </c>
      <c r="D289" s="58" t="s">
        <v>84</v>
      </c>
      <c r="E289" s="285">
        <v>770000</v>
      </c>
      <c r="F289" s="18" t="s">
        <v>179</v>
      </c>
      <c r="G289" s="6" t="s">
        <v>157</v>
      </c>
      <c r="H289" s="100" t="s">
        <v>365</v>
      </c>
      <c r="I289" s="224">
        <v>46000</v>
      </c>
      <c r="J289" t="s">
        <v>14</v>
      </c>
      <c r="K289" s="3">
        <v>46002</v>
      </c>
      <c r="L289" s="18" t="s">
        <v>10</v>
      </c>
      <c r="M289" s="6">
        <v>126</v>
      </c>
      <c r="N289" s="3">
        <f>IFERROR(INDEX(Tableau6[],MATCH(Tableau3[[#This Row],[FACTURE]],Tableau6[NUM DE FACTURE],0),4),"")</f>
        <v>126</v>
      </c>
      <c r="O289" t="str">
        <f>IF(Tableau3[[#This Row],[CLIENTS]]="","",CONCATENATE(Tableau3[[#This Row],[MODE ]]," ",Tableau3[[#This Row],[ETS PAYEUR]]," ","F/",Tableau3[[#This Row],[FACTURE]]))</f>
        <v>CHEQUE NSIA F/126</v>
      </c>
      <c r="Q289">
        <f>+ROW()-ROW(Tableau3[[#Headers],[N° LIGNE_RF]])</f>
        <v>286</v>
      </c>
      <c r="R289" s="6">
        <f>IF(Tableau3[[#This Row],[REFERENCE ]]="","",MATCH(Tableau3[[#This Row],[REFERENCE ]],Tableau3[[REFERENCE ]],0))</f>
        <v>282</v>
      </c>
      <c r="S289"/>
      <c r="X289" s="70"/>
      <c r="Y289"/>
      <c r="Z289" s="3"/>
      <c r="AA289"/>
      <c r="AE289" s="70"/>
      <c r="AG289"/>
    </row>
    <row r="290" spans="1:33" x14ac:dyDescent="0.2">
      <c r="A290" t="s">
        <v>100</v>
      </c>
      <c r="B290" t="s">
        <v>138</v>
      </c>
      <c r="C290" t="s">
        <v>60</v>
      </c>
      <c r="D290" s="58" t="s">
        <v>84</v>
      </c>
      <c r="E290" s="285">
        <v>3799600</v>
      </c>
      <c r="F290" s="18" t="s">
        <v>182</v>
      </c>
      <c r="G290" s="6" t="s">
        <v>157</v>
      </c>
      <c r="H290" s="100" t="s">
        <v>365</v>
      </c>
      <c r="I290" s="224">
        <v>46000</v>
      </c>
      <c r="J290" t="s">
        <v>14</v>
      </c>
      <c r="K290" s="3">
        <v>46002</v>
      </c>
      <c r="L290" s="18" t="s">
        <v>10</v>
      </c>
      <c r="M290" s="6">
        <v>127</v>
      </c>
      <c r="N290" s="3">
        <f>IFERROR(INDEX(Tableau6[],MATCH(Tableau3[[#This Row],[FACTURE]],Tableau6[NUM DE FACTURE],0),4),"")</f>
        <v>127</v>
      </c>
      <c r="O290" t="str">
        <f>IF(Tableau3[[#This Row],[CLIENTS]]="","",CONCATENATE(Tableau3[[#This Row],[MODE ]]," ",Tableau3[[#This Row],[ETS PAYEUR]]," ","F/",Tableau3[[#This Row],[FACTURE]]))</f>
        <v>CHEQUE NSIA F/127</v>
      </c>
      <c r="Q290">
        <f>+ROW()-ROW(Tableau3[[#Headers],[N° LIGNE_RF]])</f>
        <v>287</v>
      </c>
      <c r="R290" s="6">
        <f>IF(Tableau3[[#This Row],[REFERENCE ]]="","",MATCH(Tableau3[[#This Row],[REFERENCE ]],Tableau3[[REFERENCE ]],0))</f>
        <v>282</v>
      </c>
      <c r="S290"/>
      <c r="X290" s="70"/>
      <c r="Y290"/>
      <c r="Z290" s="3"/>
      <c r="AA290"/>
      <c r="AE290" s="70"/>
      <c r="AG290"/>
    </row>
    <row r="291" spans="1:33" x14ac:dyDescent="0.2">
      <c r="A291" t="s">
        <v>100</v>
      </c>
      <c r="B291" t="s">
        <v>138</v>
      </c>
      <c r="C291" t="s">
        <v>60</v>
      </c>
      <c r="D291" s="58" t="s">
        <v>84</v>
      </c>
      <c r="E291" s="285">
        <v>16250001</v>
      </c>
      <c r="F291" s="18" t="s">
        <v>179</v>
      </c>
      <c r="G291" s="6" t="s">
        <v>157</v>
      </c>
      <c r="H291" s="100" t="s">
        <v>365</v>
      </c>
      <c r="I291" s="224">
        <v>46000</v>
      </c>
      <c r="J291" t="s">
        <v>14</v>
      </c>
      <c r="K291" s="3">
        <v>46002</v>
      </c>
      <c r="L291" s="18" t="s">
        <v>10</v>
      </c>
      <c r="M291" s="6">
        <v>139</v>
      </c>
      <c r="N291" s="3">
        <f>IFERROR(INDEX(Tableau6[],MATCH(Tableau3[[#This Row],[FACTURE]],Tableau6[NUM DE FACTURE],0),4),"")</f>
        <v>139</v>
      </c>
      <c r="O291" t="str">
        <f>IF(Tableau3[[#This Row],[CLIENTS]]="","",CONCATENATE(Tableau3[[#This Row],[MODE ]]," ",Tableau3[[#This Row],[ETS PAYEUR]]," ","F/",Tableau3[[#This Row],[FACTURE]]))</f>
        <v>CHEQUE NSIA F/139</v>
      </c>
      <c r="Q291">
        <f>+ROW()-ROW(Tableau3[[#Headers],[N° LIGNE_RF]])</f>
        <v>288</v>
      </c>
      <c r="R291" s="6">
        <f>IF(Tableau3[[#This Row],[REFERENCE ]]="","",MATCH(Tableau3[[#This Row],[REFERENCE ]],Tableau3[[REFERENCE ]],0))</f>
        <v>282</v>
      </c>
      <c r="S291"/>
      <c r="X291" s="70"/>
      <c r="Y291"/>
      <c r="Z291" s="3"/>
      <c r="AA291"/>
      <c r="AE291" s="70"/>
      <c r="AG291"/>
    </row>
    <row r="292" spans="1:33" x14ac:dyDescent="0.2">
      <c r="A292" t="s">
        <v>100</v>
      </c>
      <c r="B292" t="s">
        <v>138</v>
      </c>
      <c r="C292" t="s">
        <v>60</v>
      </c>
      <c r="D292" s="58" t="s">
        <v>84</v>
      </c>
      <c r="E292" s="285">
        <v>831900</v>
      </c>
      <c r="F292" s="18" t="s">
        <v>178</v>
      </c>
      <c r="G292" s="6" t="s">
        <v>157</v>
      </c>
      <c r="H292" s="100" t="s">
        <v>365</v>
      </c>
      <c r="I292" s="224">
        <v>46000</v>
      </c>
      <c r="J292" t="s">
        <v>14</v>
      </c>
      <c r="K292" s="3">
        <v>46002</v>
      </c>
      <c r="L292" s="18" t="s">
        <v>10</v>
      </c>
      <c r="M292" s="6">
        <v>86</v>
      </c>
      <c r="N292" s="3">
        <f>IFERROR(INDEX(Tableau6[],MATCH(Tableau3[[#This Row],[FACTURE]],Tableau6[NUM DE FACTURE],0),4),"")</f>
        <v>86</v>
      </c>
      <c r="O292" t="str">
        <f>IF(Tableau3[[#This Row],[CLIENTS]]="","",CONCATENATE(Tableau3[[#This Row],[MODE ]]," ",Tableau3[[#This Row],[ETS PAYEUR]]," ","F/",Tableau3[[#This Row],[FACTURE]]))</f>
        <v>CHEQUE NSIA F/86</v>
      </c>
      <c r="Q292">
        <f>+ROW()-ROW(Tableau3[[#Headers],[N° LIGNE_RF]])</f>
        <v>289</v>
      </c>
      <c r="R292" s="6">
        <f>IF(Tableau3[[#This Row],[REFERENCE ]]="","",MATCH(Tableau3[[#This Row],[REFERENCE ]],Tableau3[[REFERENCE ]],0))</f>
        <v>282</v>
      </c>
      <c r="S292"/>
      <c r="X292" s="70"/>
      <c r="Y292"/>
      <c r="Z292" s="3"/>
      <c r="AA292"/>
      <c r="AE292" s="70"/>
      <c r="AG292"/>
    </row>
    <row r="293" spans="1:33" x14ac:dyDescent="0.2">
      <c r="A293" t="s">
        <v>100</v>
      </c>
      <c r="B293" t="s">
        <v>138</v>
      </c>
      <c r="C293" t="s">
        <v>60</v>
      </c>
      <c r="D293" s="58" t="s">
        <v>84</v>
      </c>
      <c r="E293" s="285">
        <v>6973800</v>
      </c>
      <c r="F293" s="18" t="s">
        <v>179</v>
      </c>
      <c r="G293" s="6" t="s">
        <v>157</v>
      </c>
      <c r="H293" s="100" t="s">
        <v>365</v>
      </c>
      <c r="I293" s="224">
        <v>46000</v>
      </c>
      <c r="J293" t="s">
        <v>14</v>
      </c>
      <c r="K293" s="3">
        <v>46002</v>
      </c>
      <c r="L293" s="18" t="s">
        <v>10</v>
      </c>
      <c r="M293" s="6">
        <v>89</v>
      </c>
      <c r="N293" s="3">
        <f>IFERROR(INDEX(Tableau6[],MATCH(Tableau3[[#This Row],[FACTURE]],Tableau6[NUM DE FACTURE],0),4),"")</f>
        <v>89</v>
      </c>
      <c r="O293" t="str">
        <f>IF(Tableau3[[#This Row],[CLIENTS]]="","",CONCATENATE(Tableau3[[#This Row],[MODE ]]," ",Tableau3[[#This Row],[ETS PAYEUR]]," ","F/",Tableau3[[#This Row],[FACTURE]]))</f>
        <v>CHEQUE NSIA F/89</v>
      </c>
      <c r="Q293">
        <f>+ROW()-ROW(Tableau3[[#Headers],[N° LIGNE_RF]])</f>
        <v>290</v>
      </c>
      <c r="R293" s="6">
        <f>IF(Tableau3[[#This Row],[REFERENCE ]]="","",MATCH(Tableau3[[#This Row],[REFERENCE ]],Tableau3[[REFERENCE ]],0))</f>
        <v>282</v>
      </c>
      <c r="S293"/>
      <c r="X293" s="70"/>
      <c r="Y293"/>
      <c r="Z293" s="3"/>
      <c r="AA293"/>
      <c r="AE293" s="70"/>
      <c r="AG293"/>
    </row>
    <row r="294" spans="1:33" x14ac:dyDescent="0.2">
      <c r="A294" t="s">
        <v>100</v>
      </c>
      <c r="B294" t="s">
        <v>138</v>
      </c>
      <c r="C294" t="s">
        <v>60</v>
      </c>
      <c r="D294" s="58" t="s">
        <v>84</v>
      </c>
      <c r="E294" s="285">
        <v>15994000</v>
      </c>
      <c r="F294" s="18" t="s">
        <v>179</v>
      </c>
      <c r="G294" s="6" t="s">
        <v>157</v>
      </c>
      <c r="H294" s="100" t="s">
        <v>365</v>
      </c>
      <c r="I294" s="224">
        <v>46000</v>
      </c>
      <c r="J294" t="s">
        <v>14</v>
      </c>
      <c r="K294" s="3">
        <v>46002</v>
      </c>
      <c r="L294" s="18" t="s">
        <v>10</v>
      </c>
      <c r="M294" s="6">
        <v>136</v>
      </c>
      <c r="N294" s="3">
        <f>IFERROR(INDEX(Tableau6[],MATCH(Tableau3[[#This Row],[FACTURE]],Tableau6[NUM DE FACTURE],0),4),"")</f>
        <v>136</v>
      </c>
      <c r="O294" t="str">
        <f>IF(Tableau3[[#This Row],[CLIENTS]]="","",CONCATENATE(Tableau3[[#This Row],[MODE ]]," ",Tableau3[[#This Row],[ETS PAYEUR]]," ","F/",Tableau3[[#This Row],[FACTURE]]))</f>
        <v>CHEQUE NSIA F/136</v>
      </c>
      <c r="Q294">
        <f>+ROW()-ROW(Tableau3[[#Headers],[N° LIGNE_RF]])</f>
        <v>291</v>
      </c>
      <c r="R294" s="6">
        <f>IF(Tableau3[[#This Row],[REFERENCE ]]="","",MATCH(Tableau3[[#This Row],[REFERENCE ]],Tableau3[[REFERENCE ]],0))</f>
        <v>282</v>
      </c>
      <c r="S294"/>
      <c r="X294" s="70"/>
      <c r="Y294"/>
      <c r="Z294" s="3"/>
      <c r="AA294"/>
      <c r="AE294" s="70"/>
      <c r="AG294"/>
    </row>
    <row r="295" spans="1:33" x14ac:dyDescent="0.2">
      <c r="A295" t="s">
        <v>100</v>
      </c>
      <c r="B295" t="s">
        <v>138</v>
      </c>
      <c r="C295" t="s">
        <v>60</v>
      </c>
      <c r="D295" s="58" t="s">
        <v>84</v>
      </c>
      <c r="E295" s="285">
        <v>3279220</v>
      </c>
      <c r="F295" s="18" t="s">
        <v>180</v>
      </c>
      <c r="G295" s="6" t="s">
        <v>157</v>
      </c>
      <c r="H295" s="100" t="s">
        <v>365</v>
      </c>
      <c r="I295" s="224">
        <v>46000</v>
      </c>
      <c r="J295" t="s">
        <v>14</v>
      </c>
      <c r="K295" s="3">
        <v>46002</v>
      </c>
      <c r="L295" s="18" t="s">
        <v>10</v>
      </c>
      <c r="M295" s="6">
        <v>82</v>
      </c>
      <c r="N295" s="3">
        <f>IFERROR(INDEX(Tableau6[],MATCH(Tableau3[[#This Row],[FACTURE]],Tableau6[NUM DE FACTURE],0),4),"")</f>
        <v>82</v>
      </c>
      <c r="O295" t="str">
        <f>IF(Tableau3[[#This Row],[CLIENTS]]="","",CONCATENATE(Tableau3[[#This Row],[MODE ]]," ",Tableau3[[#This Row],[ETS PAYEUR]]," ","F/",Tableau3[[#This Row],[FACTURE]]))</f>
        <v>CHEQUE NSIA F/82</v>
      </c>
      <c r="Q295">
        <f>+ROW()-ROW(Tableau3[[#Headers],[N° LIGNE_RF]])</f>
        <v>292</v>
      </c>
      <c r="R295" s="6">
        <f>IF(Tableau3[[#This Row],[REFERENCE ]]="","",MATCH(Tableau3[[#This Row],[REFERENCE ]],Tableau3[[REFERENCE ]],0))</f>
        <v>282</v>
      </c>
      <c r="S295"/>
      <c r="X295" s="70"/>
      <c r="Y295"/>
      <c r="Z295" s="3"/>
      <c r="AA295"/>
      <c r="AE295" s="70"/>
      <c r="AG295"/>
    </row>
    <row r="296" spans="1:33" x14ac:dyDescent="0.2">
      <c r="A296" t="s">
        <v>100</v>
      </c>
      <c r="B296" t="s">
        <v>138</v>
      </c>
      <c r="C296" t="s">
        <v>60</v>
      </c>
      <c r="D296" s="58" t="s">
        <v>84</v>
      </c>
      <c r="E296" s="285">
        <v>2360000</v>
      </c>
      <c r="F296" s="18" t="s">
        <v>182</v>
      </c>
      <c r="G296" s="6" t="s">
        <v>157</v>
      </c>
      <c r="H296" s="100" t="s">
        <v>365</v>
      </c>
      <c r="I296" s="224">
        <v>46000</v>
      </c>
      <c r="J296" t="s">
        <v>14</v>
      </c>
      <c r="K296" s="3">
        <v>46002</v>
      </c>
      <c r="L296" s="18" t="s">
        <v>10</v>
      </c>
      <c r="M296" s="6">
        <v>81</v>
      </c>
      <c r="N296" s="3">
        <f>IFERROR(INDEX(Tableau6[],MATCH(Tableau3[[#This Row],[FACTURE]],Tableau6[NUM DE FACTURE],0),4),"")</f>
        <v>81</v>
      </c>
      <c r="O296" t="str">
        <f>IF(Tableau3[[#This Row],[CLIENTS]]="","",CONCATENATE(Tableau3[[#This Row],[MODE ]]," ",Tableau3[[#This Row],[ETS PAYEUR]]," ","F/",Tableau3[[#This Row],[FACTURE]]))</f>
        <v>CHEQUE NSIA F/81</v>
      </c>
      <c r="Q296">
        <f>+ROW()-ROW(Tableau3[[#Headers],[N° LIGNE_RF]])</f>
        <v>293</v>
      </c>
      <c r="R296" s="6">
        <f>IF(Tableau3[[#This Row],[REFERENCE ]]="","",MATCH(Tableau3[[#This Row],[REFERENCE ]],Tableau3[[REFERENCE ]],0))</f>
        <v>282</v>
      </c>
      <c r="S296"/>
      <c r="X296" s="70"/>
      <c r="Y296"/>
      <c r="Z296" s="3"/>
      <c r="AA296"/>
      <c r="AE296" s="70"/>
      <c r="AG296"/>
    </row>
    <row r="297" spans="1:33" x14ac:dyDescent="0.2">
      <c r="A297" t="s">
        <v>100</v>
      </c>
      <c r="B297" t="s">
        <v>138</v>
      </c>
      <c r="C297" t="s">
        <v>60</v>
      </c>
      <c r="D297" s="58" t="s">
        <v>84</v>
      </c>
      <c r="E297" s="285">
        <v>3823200</v>
      </c>
      <c r="F297" s="18" t="s">
        <v>188</v>
      </c>
      <c r="G297" s="6" t="s">
        <v>157</v>
      </c>
      <c r="H297" s="100" t="s">
        <v>365</v>
      </c>
      <c r="I297" s="224">
        <v>46000</v>
      </c>
      <c r="J297" t="s">
        <v>14</v>
      </c>
      <c r="K297" s="3">
        <v>46002</v>
      </c>
      <c r="L297" s="18" t="s">
        <v>10</v>
      </c>
      <c r="M297" s="6">
        <v>80</v>
      </c>
      <c r="N297" s="3">
        <f>IFERROR(INDEX(Tableau6[],MATCH(Tableau3[[#This Row],[FACTURE]],Tableau6[NUM DE FACTURE],0),4),"")</f>
        <v>80</v>
      </c>
      <c r="O297" t="str">
        <f>IF(Tableau3[[#This Row],[CLIENTS]]="","",CONCATENATE(Tableau3[[#This Row],[MODE ]]," ",Tableau3[[#This Row],[ETS PAYEUR]]," ","F/",Tableau3[[#This Row],[FACTURE]]))</f>
        <v>CHEQUE NSIA F/80</v>
      </c>
      <c r="Q297">
        <f>+ROW()-ROW(Tableau3[[#Headers],[N° LIGNE_RF]])</f>
        <v>294</v>
      </c>
      <c r="R297" s="6">
        <f>IF(Tableau3[[#This Row],[REFERENCE ]]="","",MATCH(Tableau3[[#This Row],[REFERENCE ]],Tableau3[[REFERENCE ]],0))</f>
        <v>282</v>
      </c>
      <c r="S297"/>
      <c r="X297" s="70"/>
      <c r="Y297"/>
      <c r="Z297" s="3"/>
      <c r="AA297"/>
      <c r="AE297" s="70"/>
      <c r="AG297"/>
    </row>
    <row r="298" spans="1:33" x14ac:dyDescent="0.2">
      <c r="A298" t="s">
        <v>100</v>
      </c>
      <c r="B298" t="s">
        <v>138</v>
      </c>
      <c r="C298" t="s">
        <v>60</v>
      </c>
      <c r="D298" s="58" t="s">
        <v>84</v>
      </c>
      <c r="E298" s="285">
        <v>8283600</v>
      </c>
      <c r="F298" s="18" t="s">
        <v>179</v>
      </c>
      <c r="G298" s="6" t="s">
        <v>157</v>
      </c>
      <c r="H298" s="100" t="s">
        <v>365</v>
      </c>
      <c r="I298" s="224">
        <v>46000</v>
      </c>
      <c r="J298" t="s">
        <v>14</v>
      </c>
      <c r="K298" s="3">
        <v>46002</v>
      </c>
      <c r="L298" s="18" t="s">
        <v>10</v>
      </c>
      <c r="M298" s="6">
        <v>101</v>
      </c>
      <c r="N298" s="3">
        <f>IFERROR(INDEX(Tableau6[],MATCH(Tableau3[[#This Row],[FACTURE]],Tableau6[NUM DE FACTURE],0),4),"")</f>
        <v>101</v>
      </c>
      <c r="O298" t="str">
        <f>IF(Tableau3[[#This Row],[CLIENTS]]="","",CONCATENATE(Tableau3[[#This Row],[MODE ]]," ",Tableau3[[#This Row],[ETS PAYEUR]]," ","F/",Tableau3[[#This Row],[FACTURE]]))</f>
        <v>CHEQUE NSIA F/101</v>
      </c>
      <c r="Q298">
        <f>+ROW()-ROW(Tableau3[[#Headers],[N° LIGNE_RF]])</f>
        <v>295</v>
      </c>
      <c r="R298" s="6">
        <f>IF(Tableau3[[#This Row],[REFERENCE ]]="","",MATCH(Tableau3[[#This Row],[REFERENCE ]],Tableau3[[REFERENCE ]],0))</f>
        <v>282</v>
      </c>
      <c r="S298"/>
      <c r="X298" s="70"/>
      <c r="Y298"/>
      <c r="Z298" s="3"/>
      <c r="AA298"/>
      <c r="AE298" s="70"/>
      <c r="AG298"/>
    </row>
    <row r="299" spans="1:33" x14ac:dyDescent="0.2">
      <c r="A299" t="s">
        <v>100</v>
      </c>
      <c r="B299" t="s">
        <v>138</v>
      </c>
      <c r="C299" t="s">
        <v>60</v>
      </c>
      <c r="D299" s="58" t="s">
        <v>84</v>
      </c>
      <c r="E299" s="285">
        <v>2230200</v>
      </c>
      <c r="F299" s="18" t="s">
        <v>183</v>
      </c>
      <c r="G299" s="6" t="s">
        <v>157</v>
      </c>
      <c r="H299" s="100" t="s">
        <v>365</v>
      </c>
      <c r="I299" s="224">
        <v>46000</v>
      </c>
      <c r="J299" t="s">
        <v>14</v>
      </c>
      <c r="K299" s="3">
        <v>46002</v>
      </c>
      <c r="L299" s="18" t="s">
        <v>10</v>
      </c>
      <c r="M299" s="6">
        <v>112</v>
      </c>
      <c r="N299" s="3">
        <f>IFERROR(INDEX(Tableau6[],MATCH(Tableau3[[#This Row],[FACTURE]],Tableau6[NUM DE FACTURE],0),4),"")</f>
        <v>112</v>
      </c>
      <c r="O299" t="str">
        <f>IF(Tableau3[[#This Row],[CLIENTS]]="","",CONCATENATE(Tableau3[[#This Row],[MODE ]]," ",Tableau3[[#This Row],[ETS PAYEUR]]," ","F/",Tableau3[[#This Row],[FACTURE]]))</f>
        <v>CHEQUE NSIA F/112</v>
      </c>
      <c r="Q299">
        <f>+ROW()-ROW(Tableau3[[#Headers],[N° LIGNE_RF]])</f>
        <v>296</v>
      </c>
      <c r="R299" s="6">
        <f>IF(Tableau3[[#This Row],[REFERENCE ]]="","",MATCH(Tableau3[[#This Row],[REFERENCE ]],Tableau3[[REFERENCE ]],0))</f>
        <v>282</v>
      </c>
      <c r="S299"/>
      <c r="X299" s="70"/>
      <c r="Y299"/>
      <c r="Z299" s="3"/>
      <c r="AA299"/>
      <c r="AE299" s="70"/>
      <c r="AG299"/>
    </row>
    <row r="300" spans="1:33" x14ac:dyDescent="0.2">
      <c r="A300" t="s">
        <v>100</v>
      </c>
      <c r="B300" t="s">
        <v>138</v>
      </c>
      <c r="C300" t="s">
        <v>60</v>
      </c>
      <c r="D300" s="58" t="s">
        <v>84</v>
      </c>
      <c r="E300" s="285">
        <v>4460400</v>
      </c>
      <c r="F300" s="18" t="s">
        <v>183</v>
      </c>
      <c r="G300" s="6" t="s">
        <v>157</v>
      </c>
      <c r="H300" s="100" t="s">
        <v>365</v>
      </c>
      <c r="I300" s="224">
        <v>46000</v>
      </c>
      <c r="J300" t="s">
        <v>14</v>
      </c>
      <c r="K300" s="3">
        <v>46002</v>
      </c>
      <c r="L300" s="18" t="s">
        <v>10</v>
      </c>
      <c r="M300" s="6">
        <v>114</v>
      </c>
      <c r="N300" s="3">
        <f>IFERROR(INDEX(Tableau6[],MATCH(Tableau3[[#This Row],[FACTURE]],Tableau6[NUM DE FACTURE],0),4),"")</f>
        <v>114</v>
      </c>
      <c r="O300" t="str">
        <f>IF(Tableau3[[#This Row],[CLIENTS]]="","",CONCATENATE(Tableau3[[#This Row],[MODE ]]," ",Tableau3[[#This Row],[ETS PAYEUR]]," ","F/",Tableau3[[#This Row],[FACTURE]]))</f>
        <v>CHEQUE NSIA F/114</v>
      </c>
      <c r="Q300">
        <f>+ROW()-ROW(Tableau3[[#Headers],[N° LIGNE_RF]])</f>
        <v>297</v>
      </c>
      <c r="R300" s="6">
        <f>IF(Tableau3[[#This Row],[REFERENCE ]]="","",MATCH(Tableau3[[#This Row],[REFERENCE ]],Tableau3[[REFERENCE ]],0))</f>
        <v>282</v>
      </c>
      <c r="S300"/>
      <c r="X300" s="70"/>
      <c r="Y300"/>
      <c r="Z300" s="3"/>
      <c r="AA300"/>
      <c r="AE300" s="70"/>
      <c r="AG300"/>
    </row>
    <row r="301" spans="1:33" x14ac:dyDescent="0.2">
      <c r="A301" t="s">
        <v>100</v>
      </c>
      <c r="B301" t="s">
        <v>138</v>
      </c>
      <c r="C301" t="s">
        <v>60</v>
      </c>
      <c r="D301" s="58" t="s">
        <v>84</v>
      </c>
      <c r="E301" s="285">
        <v>1416000</v>
      </c>
      <c r="F301" s="18" t="s">
        <v>183</v>
      </c>
      <c r="G301" s="6" t="s">
        <v>157</v>
      </c>
      <c r="H301" s="100" t="s">
        <v>365</v>
      </c>
      <c r="I301" s="224">
        <v>46000</v>
      </c>
      <c r="J301" t="s">
        <v>14</v>
      </c>
      <c r="K301" s="3">
        <v>46002</v>
      </c>
      <c r="L301" s="18" t="s">
        <v>10</v>
      </c>
      <c r="M301" s="6">
        <v>117</v>
      </c>
      <c r="N301" s="3">
        <f>IFERROR(INDEX(Tableau6[],MATCH(Tableau3[[#This Row],[FACTURE]],Tableau6[NUM DE FACTURE],0),4),"")</f>
        <v>117</v>
      </c>
      <c r="O301" t="str">
        <f>IF(Tableau3[[#This Row],[CLIENTS]]="","",CONCATENATE(Tableau3[[#This Row],[MODE ]]," ",Tableau3[[#This Row],[ETS PAYEUR]]," ","F/",Tableau3[[#This Row],[FACTURE]]))</f>
        <v>CHEQUE NSIA F/117</v>
      </c>
      <c r="Q301">
        <f>+ROW()-ROW(Tableau3[[#Headers],[N° LIGNE_RF]])</f>
        <v>298</v>
      </c>
      <c r="R301" s="6">
        <f>IF(Tableau3[[#This Row],[REFERENCE ]]="","",MATCH(Tableau3[[#This Row],[REFERENCE ]],Tableau3[[REFERENCE ]],0))</f>
        <v>282</v>
      </c>
      <c r="S301"/>
      <c r="X301" s="70"/>
      <c r="Y301"/>
      <c r="Z301" s="3"/>
      <c r="AA301"/>
      <c r="AE301" s="70"/>
      <c r="AG301"/>
    </row>
    <row r="302" spans="1:33" x14ac:dyDescent="0.2">
      <c r="A302" t="s">
        <v>100</v>
      </c>
      <c r="B302" t="s">
        <v>138</v>
      </c>
      <c r="C302" t="s">
        <v>60</v>
      </c>
      <c r="D302" s="58" t="s">
        <v>84</v>
      </c>
      <c r="E302" s="285">
        <v>13817800</v>
      </c>
      <c r="F302" s="18" t="s">
        <v>190</v>
      </c>
      <c r="G302" s="6" t="s">
        <v>157</v>
      </c>
      <c r="H302" s="100" t="s">
        <v>365</v>
      </c>
      <c r="I302" s="224">
        <v>46000</v>
      </c>
      <c r="J302" t="s">
        <v>14</v>
      </c>
      <c r="K302" s="3">
        <v>46002</v>
      </c>
      <c r="L302" s="18" t="s">
        <v>10</v>
      </c>
      <c r="M302" s="6">
        <v>109</v>
      </c>
      <c r="N302" s="3">
        <f>IFERROR(INDEX(Tableau6[],MATCH(Tableau3[[#This Row],[FACTURE]],Tableau6[NUM DE FACTURE],0),4),"")</f>
        <v>109</v>
      </c>
      <c r="O302" t="str">
        <f>IF(Tableau3[[#This Row],[CLIENTS]]="","",CONCATENATE(Tableau3[[#This Row],[MODE ]]," ",Tableau3[[#This Row],[ETS PAYEUR]]," ","F/",Tableau3[[#This Row],[FACTURE]]))</f>
        <v>CHEQUE NSIA F/109</v>
      </c>
      <c r="Q302">
        <f>+ROW()-ROW(Tableau3[[#Headers],[N° LIGNE_RF]])</f>
        <v>299</v>
      </c>
      <c r="R302" s="6">
        <f>IF(Tableau3[[#This Row],[REFERENCE ]]="","",MATCH(Tableau3[[#This Row],[REFERENCE ]],Tableau3[[REFERENCE ]],0))</f>
        <v>282</v>
      </c>
      <c r="S302"/>
      <c r="X302" s="70"/>
      <c r="Y302"/>
      <c r="Z302" s="3"/>
      <c r="AA302"/>
      <c r="AE302" s="70"/>
      <c r="AG302"/>
    </row>
    <row r="303" spans="1:33" x14ac:dyDescent="0.2">
      <c r="A303" t="s">
        <v>100</v>
      </c>
      <c r="B303" t="s">
        <v>138</v>
      </c>
      <c r="C303" t="s">
        <v>60</v>
      </c>
      <c r="D303" s="58" t="s">
        <v>84</v>
      </c>
      <c r="E303" s="285">
        <v>7611000</v>
      </c>
      <c r="F303" s="18" t="s">
        <v>180</v>
      </c>
      <c r="G303" s="6" t="s">
        <v>157</v>
      </c>
      <c r="H303" s="100" t="s">
        <v>365</v>
      </c>
      <c r="I303" s="224">
        <v>46000</v>
      </c>
      <c r="J303" t="s">
        <v>14</v>
      </c>
      <c r="K303" s="3">
        <v>46002</v>
      </c>
      <c r="L303" s="18" t="s">
        <v>10</v>
      </c>
      <c r="M303" s="6">
        <v>103</v>
      </c>
      <c r="N303" s="3">
        <f>IFERROR(INDEX(Tableau6[],MATCH(Tableau3[[#This Row],[FACTURE]],Tableau6[NUM DE FACTURE],0),4),"")</f>
        <v>103</v>
      </c>
      <c r="O303" t="str">
        <f>IF(Tableau3[[#This Row],[CLIENTS]]="","",CONCATENATE(Tableau3[[#This Row],[MODE ]]," ",Tableau3[[#This Row],[ETS PAYEUR]]," ","F/",Tableau3[[#This Row],[FACTURE]]))</f>
        <v>CHEQUE NSIA F/103</v>
      </c>
      <c r="Q303">
        <f>+ROW()-ROW(Tableau3[[#Headers],[N° LIGNE_RF]])</f>
        <v>300</v>
      </c>
      <c r="R303" s="6">
        <f>IF(Tableau3[[#This Row],[REFERENCE ]]="","",MATCH(Tableau3[[#This Row],[REFERENCE ]],Tableau3[[REFERENCE ]],0))</f>
        <v>282</v>
      </c>
      <c r="S303"/>
      <c r="X303" s="70"/>
      <c r="Y303"/>
      <c r="Z303" s="3"/>
      <c r="AA303"/>
      <c r="AE303" s="70"/>
      <c r="AG303"/>
    </row>
    <row r="304" spans="1:33" x14ac:dyDescent="0.2">
      <c r="A304" t="s">
        <v>100</v>
      </c>
      <c r="B304" t="s">
        <v>138</v>
      </c>
      <c r="C304" t="s">
        <v>60</v>
      </c>
      <c r="D304" s="58" t="s">
        <v>84</v>
      </c>
      <c r="E304" s="285">
        <v>21034000</v>
      </c>
      <c r="F304" s="18" t="s">
        <v>179</v>
      </c>
      <c r="G304" s="6" t="s">
        <v>157</v>
      </c>
      <c r="H304" s="100" t="s">
        <v>365</v>
      </c>
      <c r="I304" s="224">
        <v>46000</v>
      </c>
      <c r="J304" t="s">
        <v>14</v>
      </c>
      <c r="K304" s="3">
        <v>46002</v>
      </c>
      <c r="L304" s="18" t="s">
        <v>10</v>
      </c>
      <c r="M304" s="6">
        <v>142</v>
      </c>
      <c r="N304" s="3">
        <f>IFERROR(INDEX(Tableau6[],MATCH(Tableau3[[#This Row],[FACTURE]],Tableau6[NUM DE FACTURE],0),4),"")</f>
        <v>142</v>
      </c>
      <c r="O304" t="str">
        <f>IF(Tableau3[[#This Row],[CLIENTS]]="","",CONCATENATE(Tableau3[[#This Row],[MODE ]]," ",Tableau3[[#This Row],[ETS PAYEUR]]," ","F/",Tableau3[[#This Row],[FACTURE]]))</f>
        <v>CHEQUE NSIA F/142</v>
      </c>
      <c r="Q304">
        <f>+ROW()-ROW(Tableau3[[#Headers],[N° LIGNE_RF]])</f>
        <v>301</v>
      </c>
      <c r="R304" s="6">
        <f>IF(Tableau3[[#This Row],[REFERENCE ]]="","",MATCH(Tableau3[[#This Row],[REFERENCE ]],Tableau3[[REFERENCE ]],0))</f>
        <v>282</v>
      </c>
      <c r="S304"/>
      <c r="X304" s="70"/>
      <c r="Y304"/>
      <c r="Z304" s="3"/>
      <c r="AA304"/>
      <c r="AE304" s="70"/>
      <c r="AG304"/>
    </row>
    <row r="305" spans="1:33" x14ac:dyDescent="0.2">
      <c r="A305" t="s">
        <v>100</v>
      </c>
      <c r="B305" t="s">
        <v>138</v>
      </c>
      <c r="C305" t="s">
        <v>60</v>
      </c>
      <c r="D305" s="58" t="s">
        <v>84</v>
      </c>
      <c r="E305" s="285">
        <v>11300000</v>
      </c>
      <c r="F305" s="18" t="s">
        <v>179</v>
      </c>
      <c r="G305" s="6" t="s">
        <v>157</v>
      </c>
      <c r="H305" s="100" t="s">
        <v>365</v>
      </c>
      <c r="I305" s="224">
        <v>46000</v>
      </c>
      <c r="J305" t="s">
        <v>14</v>
      </c>
      <c r="K305" s="3">
        <v>46002</v>
      </c>
      <c r="L305" s="18" t="s">
        <v>10</v>
      </c>
      <c r="M305" s="6">
        <v>141</v>
      </c>
      <c r="N305" s="3">
        <f>IFERROR(INDEX(Tableau6[],MATCH(Tableau3[[#This Row],[FACTURE]],Tableau6[NUM DE FACTURE],0),4),"")</f>
        <v>141</v>
      </c>
      <c r="O305" t="str">
        <f>IF(Tableau3[[#This Row],[CLIENTS]]="","",CONCATENATE(Tableau3[[#This Row],[MODE ]]," ",Tableau3[[#This Row],[ETS PAYEUR]]," ","F/",Tableau3[[#This Row],[FACTURE]]))</f>
        <v>CHEQUE NSIA F/141</v>
      </c>
      <c r="Q305">
        <f>+ROW()-ROW(Tableau3[[#Headers],[N° LIGNE_RF]])</f>
        <v>302</v>
      </c>
      <c r="R305" s="6">
        <f>IF(Tableau3[[#This Row],[REFERENCE ]]="","",MATCH(Tableau3[[#This Row],[REFERENCE ]],Tableau3[[REFERENCE ]],0))</f>
        <v>282</v>
      </c>
      <c r="S305"/>
      <c r="X305" s="70"/>
      <c r="Y305"/>
      <c r="Z305" s="3"/>
      <c r="AA305"/>
      <c r="AE305" s="70"/>
      <c r="AG305"/>
    </row>
    <row r="306" spans="1:33" x14ac:dyDescent="0.2">
      <c r="A306" t="s">
        <v>100</v>
      </c>
      <c r="B306" t="s">
        <v>138</v>
      </c>
      <c r="C306" t="s">
        <v>60</v>
      </c>
      <c r="D306" s="58" t="s">
        <v>84</v>
      </c>
      <c r="E306" s="285">
        <v>770000</v>
      </c>
      <c r="F306" s="18" t="s">
        <v>179</v>
      </c>
      <c r="G306" s="6" t="s">
        <v>157</v>
      </c>
      <c r="H306" s="100" t="s">
        <v>365</v>
      </c>
      <c r="I306" s="224">
        <v>46000</v>
      </c>
      <c r="J306" t="s">
        <v>14</v>
      </c>
      <c r="K306" s="3">
        <v>46002</v>
      </c>
      <c r="L306" s="18" t="s">
        <v>10</v>
      </c>
      <c r="M306" s="6">
        <v>134</v>
      </c>
      <c r="N306" s="3">
        <f>IFERROR(INDEX(Tableau6[],MATCH(Tableau3[[#This Row],[FACTURE]],Tableau6[NUM DE FACTURE],0),4),"")</f>
        <v>134</v>
      </c>
      <c r="O306" t="str">
        <f>IF(Tableau3[[#This Row],[CLIENTS]]="","",CONCATENATE(Tableau3[[#This Row],[MODE ]]," ",Tableau3[[#This Row],[ETS PAYEUR]]," ","F/",Tableau3[[#This Row],[FACTURE]]))</f>
        <v>CHEQUE NSIA F/134</v>
      </c>
      <c r="Q306">
        <f>+ROW()-ROW(Tableau3[[#Headers],[N° LIGNE_RF]])</f>
        <v>303</v>
      </c>
      <c r="R306" s="6">
        <f>IF(Tableau3[[#This Row],[REFERENCE ]]="","",MATCH(Tableau3[[#This Row],[REFERENCE ]],Tableau3[[REFERENCE ]],0))</f>
        <v>282</v>
      </c>
      <c r="S306"/>
      <c r="X306" s="70"/>
      <c r="Y306"/>
      <c r="Z306" s="3"/>
      <c r="AA306"/>
      <c r="AE306" s="70"/>
      <c r="AG306"/>
    </row>
    <row r="307" spans="1:33" x14ac:dyDescent="0.2">
      <c r="A307" t="s">
        <v>100</v>
      </c>
      <c r="B307" t="s">
        <v>138</v>
      </c>
      <c r="C307" t="s">
        <v>60</v>
      </c>
      <c r="D307" s="58" t="s">
        <v>84</v>
      </c>
      <c r="E307" s="285">
        <v>4366000</v>
      </c>
      <c r="F307" s="18" t="s">
        <v>182</v>
      </c>
      <c r="G307" s="6" t="s">
        <v>157</v>
      </c>
      <c r="H307" s="100" t="s">
        <v>365</v>
      </c>
      <c r="I307" s="224">
        <v>46000</v>
      </c>
      <c r="J307" t="s">
        <v>14</v>
      </c>
      <c r="K307" s="3">
        <v>46002</v>
      </c>
      <c r="L307" s="18" t="s">
        <v>10</v>
      </c>
      <c r="M307" s="6">
        <v>133</v>
      </c>
      <c r="N307" s="3">
        <f>IFERROR(INDEX(Tableau6[],MATCH(Tableau3[[#This Row],[FACTURE]],Tableau6[NUM DE FACTURE],0),4),"")</f>
        <v>133</v>
      </c>
      <c r="O307" t="str">
        <f>IF(Tableau3[[#This Row],[CLIENTS]]="","",CONCATENATE(Tableau3[[#This Row],[MODE ]]," ",Tableau3[[#This Row],[ETS PAYEUR]]," ","F/",Tableau3[[#This Row],[FACTURE]]))</f>
        <v>CHEQUE NSIA F/133</v>
      </c>
      <c r="Q307">
        <f>+ROW()-ROW(Tableau3[[#Headers],[N° LIGNE_RF]])</f>
        <v>304</v>
      </c>
      <c r="R307" s="6">
        <f>IF(Tableau3[[#This Row],[REFERENCE ]]="","",MATCH(Tableau3[[#This Row],[REFERENCE ]],Tableau3[[REFERENCE ]],0))</f>
        <v>282</v>
      </c>
      <c r="S307"/>
      <c r="X307" s="70"/>
      <c r="Y307"/>
      <c r="Z307" s="3"/>
      <c r="AA307"/>
      <c r="AE307" s="70"/>
      <c r="AG307"/>
    </row>
    <row r="308" spans="1:33" x14ac:dyDescent="0.2">
      <c r="A308" t="s">
        <v>100</v>
      </c>
      <c r="B308" t="s">
        <v>138</v>
      </c>
      <c r="C308" t="s">
        <v>60</v>
      </c>
      <c r="D308" s="58" t="s">
        <v>84</v>
      </c>
      <c r="E308" s="285">
        <v>1764100</v>
      </c>
      <c r="F308" s="18" t="s">
        <v>185</v>
      </c>
      <c r="G308" s="6" t="s">
        <v>157</v>
      </c>
      <c r="H308" s="100" t="s">
        <v>365</v>
      </c>
      <c r="I308" s="224">
        <v>46000</v>
      </c>
      <c r="J308" t="s">
        <v>14</v>
      </c>
      <c r="K308" s="3">
        <v>46002</v>
      </c>
      <c r="L308" s="18" t="s">
        <v>10</v>
      </c>
      <c r="M308" s="6">
        <v>131</v>
      </c>
      <c r="N308" s="3">
        <f>IFERROR(INDEX(Tableau6[],MATCH(Tableau3[[#This Row],[FACTURE]],Tableau6[NUM DE FACTURE],0),4),"")</f>
        <v>131</v>
      </c>
      <c r="O308" t="str">
        <f>IF(Tableau3[[#This Row],[CLIENTS]]="","",CONCATENATE(Tableau3[[#This Row],[MODE ]]," ",Tableau3[[#This Row],[ETS PAYEUR]]," ","F/",Tableau3[[#This Row],[FACTURE]]))</f>
        <v>CHEQUE NSIA F/131</v>
      </c>
      <c r="Q308">
        <f>+ROW()-ROW(Tableau3[[#Headers],[N° LIGNE_RF]])</f>
        <v>305</v>
      </c>
      <c r="R308" s="6">
        <f>IF(Tableau3[[#This Row],[REFERENCE ]]="","",MATCH(Tableau3[[#This Row],[REFERENCE ]],Tableau3[[REFERENCE ]],0))</f>
        <v>282</v>
      </c>
      <c r="S308"/>
      <c r="X308" s="70"/>
      <c r="Y308"/>
      <c r="Z308" s="3"/>
      <c r="AA308"/>
      <c r="AE308" s="70"/>
      <c r="AG308"/>
    </row>
    <row r="309" spans="1:33" x14ac:dyDescent="0.2">
      <c r="A309" t="s">
        <v>100</v>
      </c>
      <c r="B309" t="s">
        <v>138</v>
      </c>
      <c r="C309" t="s">
        <v>60</v>
      </c>
      <c r="D309" s="58" t="s">
        <v>84</v>
      </c>
      <c r="E309" s="285">
        <v>1300000</v>
      </c>
      <c r="F309" s="18" t="s">
        <v>179</v>
      </c>
      <c r="G309" s="6" t="s">
        <v>157</v>
      </c>
      <c r="H309" s="100" t="s">
        <v>365</v>
      </c>
      <c r="I309" s="224">
        <v>46000</v>
      </c>
      <c r="J309" t="s">
        <v>14</v>
      </c>
      <c r="K309" s="3">
        <v>46002</v>
      </c>
      <c r="L309" s="18" t="s">
        <v>10</v>
      </c>
      <c r="M309" s="6">
        <v>129</v>
      </c>
      <c r="N309" s="3">
        <f>IFERROR(INDEX(Tableau6[],MATCH(Tableau3[[#This Row],[FACTURE]],Tableau6[NUM DE FACTURE],0),2),"")</f>
        <v>45987</v>
      </c>
      <c r="O309" t="str">
        <f>IF(Tableau3[[#This Row],[CLIENTS]]="","",CONCATENATE(Tableau3[[#This Row],[MODE ]]," ",Tableau3[[#This Row],[ETS PAYEUR]]," ","F/",Tableau3[[#This Row],[FACTURE]]))</f>
        <v>CHEQUE NSIA F/129</v>
      </c>
      <c r="Q309">
        <f>+ROW()-ROW(Tableau3[[#Headers],[N° LIGNE_RF]])</f>
        <v>306</v>
      </c>
      <c r="R309" s="6">
        <f>IF(Tableau3[[#This Row],[REFERENCE ]]="","",MATCH(Tableau3[[#This Row],[REFERENCE ]],Tableau3[[REFERENCE ]],0))</f>
        <v>282</v>
      </c>
      <c r="S309"/>
      <c r="X309" s="70"/>
      <c r="Y309"/>
      <c r="Z309" s="3"/>
      <c r="AA309"/>
      <c r="AE309" s="70"/>
      <c r="AG309"/>
    </row>
    <row r="310" spans="1:33" x14ac:dyDescent="0.2">
      <c r="A310" t="s">
        <v>100</v>
      </c>
      <c r="B310" t="s">
        <v>138</v>
      </c>
      <c r="C310" t="s">
        <v>60</v>
      </c>
      <c r="D310" s="58" t="s">
        <v>84</v>
      </c>
      <c r="E310" s="285">
        <v>1593000</v>
      </c>
      <c r="F310" s="18" t="s">
        <v>185</v>
      </c>
      <c r="G310" s="6" t="s">
        <v>157</v>
      </c>
      <c r="H310" s="100" t="s">
        <v>365</v>
      </c>
      <c r="I310" s="224">
        <v>46000</v>
      </c>
      <c r="J310" t="s">
        <v>14</v>
      </c>
      <c r="K310" s="3">
        <v>46002</v>
      </c>
      <c r="L310" s="18" t="s">
        <v>10</v>
      </c>
      <c r="M310" s="6">
        <v>130</v>
      </c>
      <c r="N310" s="3">
        <f>IFERROR(INDEX(Tableau6[],MATCH(Tableau3[[#This Row],[FACTURE]],Tableau6[NUM DE FACTURE],0),4),"")</f>
        <v>130</v>
      </c>
      <c r="O310" t="str">
        <f>IF(Tableau3[[#This Row],[CLIENTS]]="","",CONCATENATE(Tableau3[[#This Row],[MODE ]]," ",Tableau3[[#This Row],[ETS PAYEUR]]," ","F/",Tableau3[[#This Row],[FACTURE]]))</f>
        <v>CHEQUE NSIA F/130</v>
      </c>
      <c r="Q310">
        <f>+ROW()-ROW(Tableau3[[#Headers],[N° LIGNE_RF]])</f>
        <v>307</v>
      </c>
      <c r="R310" s="6">
        <f>IF(Tableau3[[#This Row],[REFERENCE ]]="","",MATCH(Tableau3[[#This Row],[REFERENCE ]],Tableau3[[REFERENCE ]],0))</f>
        <v>282</v>
      </c>
      <c r="S310"/>
      <c r="X310" s="70"/>
      <c r="Y310"/>
      <c r="Z310" s="3"/>
      <c r="AA310"/>
      <c r="AE310" s="70"/>
      <c r="AG310"/>
    </row>
    <row r="311" spans="1:33" x14ac:dyDescent="0.2">
      <c r="A311" t="s">
        <v>100</v>
      </c>
      <c r="B311" t="s">
        <v>138</v>
      </c>
      <c r="C311" t="s">
        <v>60</v>
      </c>
      <c r="D311" s="58" t="s">
        <v>84</v>
      </c>
      <c r="E311" s="285">
        <v>48262000</v>
      </c>
      <c r="F311" s="18" t="s">
        <v>181</v>
      </c>
      <c r="G311" s="6" t="s">
        <v>157</v>
      </c>
      <c r="H311" s="100" t="s">
        <v>365</v>
      </c>
      <c r="I311" s="224">
        <v>46000</v>
      </c>
      <c r="J311" t="s">
        <v>14</v>
      </c>
      <c r="K311" s="3">
        <v>46002</v>
      </c>
      <c r="L311" s="18" t="s">
        <v>10</v>
      </c>
      <c r="M311" s="6">
        <v>96</v>
      </c>
      <c r="N311" s="3">
        <f>IFERROR(INDEX(Tableau6[],MATCH(Tableau3[[#This Row],[FACTURE]],Tableau6[NUM DE FACTURE],0),4),"")</f>
        <v>96</v>
      </c>
      <c r="O311" t="str">
        <f>IF(Tableau3[[#This Row],[CLIENTS]]="","",CONCATENATE(Tableau3[[#This Row],[MODE ]]," ",Tableau3[[#This Row],[ETS PAYEUR]]," ","F/",Tableau3[[#This Row],[FACTURE]]))</f>
        <v>CHEQUE NSIA F/96</v>
      </c>
      <c r="Q311">
        <f>+ROW()-ROW(Tableau3[[#Headers],[N° LIGNE_RF]])</f>
        <v>308</v>
      </c>
      <c r="R311" s="6">
        <f>IF(Tableau3[[#This Row],[REFERENCE ]]="","",MATCH(Tableau3[[#This Row],[REFERENCE ]],Tableau3[[REFERENCE ]],0))</f>
        <v>282</v>
      </c>
      <c r="S311"/>
      <c r="X311" s="70"/>
      <c r="Y311"/>
      <c r="Z311" s="3"/>
      <c r="AA311"/>
      <c r="AE311" s="70"/>
      <c r="AG311"/>
    </row>
    <row r="312" spans="1:33" x14ac:dyDescent="0.2">
      <c r="A312" t="s">
        <v>100</v>
      </c>
      <c r="B312" t="s">
        <v>138</v>
      </c>
      <c r="C312" t="s">
        <v>60</v>
      </c>
      <c r="D312" s="58" t="s">
        <v>84</v>
      </c>
      <c r="E312" s="285">
        <v>2360000</v>
      </c>
      <c r="F312" s="18" t="s">
        <v>182</v>
      </c>
      <c r="G312" s="6" t="s">
        <v>157</v>
      </c>
      <c r="H312" s="100" t="s">
        <v>365</v>
      </c>
      <c r="I312" s="224">
        <v>46000</v>
      </c>
      <c r="J312" t="s">
        <v>14</v>
      </c>
      <c r="K312" s="3">
        <v>46002</v>
      </c>
      <c r="L312" s="18" t="s">
        <v>10</v>
      </c>
      <c r="M312" s="6">
        <v>137</v>
      </c>
      <c r="N312" s="3">
        <f>IFERROR(INDEX(Tableau6[],MATCH(Tableau3[[#This Row],[FACTURE]],Tableau6[NUM DE FACTURE],0),4),"")</f>
        <v>137</v>
      </c>
      <c r="O312" t="str">
        <f>IF(Tableau3[[#This Row],[CLIENTS]]="","",CONCATENATE(Tableau3[[#This Row],[MODE ]]," ",Tableau3[[#This Row],[ETS PAYEUR]]," ","F/",Tableau3[[#This Row],[FACTURE]]))</f>
        <v>CHEQUE NSIA F/137</v>
      </c>
      <c r="Q312">
        <f>+ROW()-ROW(Tableau3[[#Headers],[N° LIGNE_RF]])</f>
        <v>309</v>
      </c>
      <c r="R312" s="6">
        <f>IF(Tableau3[[#This Row],[REFERENCE ]]="","",MATCH(Tableau3[[#This Row],[REFERENCE ]],Tableau3[[REFERENCE ]],0))</f>
        <v>282</v>
      </c>
      <c r="S312"/>
      <c r="X312" s="70"/>
      <c r="Y312"/>
      <c r="Z312" s="3"/>
      <c r="AA312"/>
      <c r="AE312" s="70"/>
      <c r="AG312"/>
    </row>
    <row r="313" spans="1:33" x14ac:dyDescent="0.2">
      <c r="A313" t="s">
        <v>100</v>
      </c>
      <c r="B313" t="s">
        <v>138</v>
      </c>
      <c r="C313" t="s">
        <v>60</v>
      </c>
      <c r="D313" s="58" t="s">
        <v>84</v>
      </c>
      <c r="E313" s="285">
        <v>1274400</v>
      </c>
      <c r="F313" s="18" t="s">
        <v>182</v>
      </c>
      <c r="G313" s="6" t="s">
        <v>157</v>
      </c>
      <c r="H313" s="100" t="s">
        <v>365</v>
      </c>
      <c r="I313" s="224">
        <v>46000</v>
      </c>
      <c r="J313" t="s">
        <v>14</v>
      </c>
      <c r="K313" s="3">
        <v>46002</v>
      </c>
      <c r="L313" s="18" t="s">
        <v>10</v>
      </c>
      <c r="M313" s="6">
        <v>138</v>
      </c>
      <c r="N313" s="3">
        <f>IFERROR(INDEX(Tableau6[],MATCH(Tableau3[[#This Row],[FACTURE]],Tableau6[NUM DE FACTURE],0),4),"")</f>
        <v>138</v>
      </c>
      <c r="O313" t="str">
        <f>IF(Tableau3[[#This Row],[CLIENTS]]="","",CONCATENATE(Tableau3[[#This Row],[MODE ]]," ",Tableau3[[#This Row],[ETS PAYEUR]]," ","F/",Tableau3[[#This Row],[FACTURE]]))</f>
        <v>CHEQUE NSIA F/138</v>
      </c>
      <c r="Q313">
        <f>+ROW()-ROW(Tableau3[[#Headers],[N° LIGNE_RF]])</f>
        <v>310</v>
      </c>
      <c r="R313" s="6">
        <f>IF(Tableau3[[#This Row],[REFERENCE ]]="","",MATCH(Tableau3[[#This Row],[REFERENCE ]],Tableau3[[REFERENCE ]],0))</f>
        <v>282</v>
      </c>
      <c r="S313"/>
      <c r="X313" s="70"/>
      <c r="Y313"/>
      <c r="Z313" s="3"/>
      <c r="AA313"/>
      <c r="AE313" s="70"/>
      <c r="AG313"/>
    </row>
    <row r="314" spans="1:33" x14ac:dyDescent="0.2">
      <c r="A314" t="s">
        <v>100</v>
      </c>
      <c r="B314" t="s">
        <v>138</v>
      </c>
      <c r="C314" t="s">
        <v>60</v>
      </c>
      <c r="D314" s="58" t="s">
        <v>84</v>
      </c>
      <c r="E314" s="285">
        <v>49347600</v>
      </c>
      <c r="F314" s="18" t="s">
        <v>181</v>
      </c>
      <c r="G314" s="6" t="s">
        <v>157</v>
      </c>
      <c r="H314" s="100" t="s">
        <v>365</v>
      </c>
      <c r="I314" s="224">
        <v>46000</v>
      </c>
      <c r="J314" t="s">
        <v>14</v>
      </c>
      <c r="K314" s="3">
        <v>46002</v>
      </c>
      <c r="L314" s="18" t="s">
        <v>10</v>
      </c>
      <c r="M314" s="6">
        <v>95</v>
      </c>
      <c r="N314" s="3">
        <f>IFERROR(INDEX(Tableau6[],MATCH(Tableau3[[#This Row],[FACTURE]],Tableau6[NUM DE FACTURE],0),4),"")</f>
        <v>95</v>
      </c>
      <c r="O314" t="str">
        <f>IF(Tableau3[[#This Row],[CLIENTS]]="","",CONCATENATE(Tableau3[[#This Row],[MODE ]]," ",Tableau3[[#This Row],[ETS PAYEUR]]," ","F/",Tableau3[[#This Row],[FACTURE]]))</f>
        <v>CHEQUE NSIA F/95</v>
      </c>
      <c r="Q314">
        <f>+ROW()-ROW(Tableau3[[#Headers],[N° LIGNE_RF]])</f>
        <v>311</v>
      </c>
      <c r="R314" s="6">
        <f>IF(Tableau3[[#This Row],[REFERENCE ]]="","",MATCH(Tableau3[[#This Row],[REFERENCE ]],Tableau3[[REFERENCE ]],0))</f>
        <v>282</v>
      </c>
      <c r="S314"/>
      <c r="X314" s="70"/>
      <c r="Y314"/>
      <c r="Z314" s="3"/>
      <c r="AA314"/>
      <c r="AE314" s="70"/>
      <c r="AG314"/>
    </row>
    <row r="315" spans="1:33" x14ac:dyDescent="0.2">
      <c r="A315" t="s">
        <v>100</v>
      </c>
      <c r="B315" t="s">
        <v>102</v>
      </c>
      <c r="C315" t="s">
        <v>60</v>
      </c>
      <c r="D315" s="398" t="s">
        <v>84</v>
      </c>
      <c r="E315" s="385">
        <v>1003000</v>
      </c>
      <c r="F315" s="18"/>
      <c r="G315" s="223" t="s">
        <v>157</v>
      </c>
      <c r="H315" s="100" t="s">
        <v>428</v>
      </c>
      <c r="I315" s="386">
        <v>46034</v>
      </c>
      <c r="J315" s="100" t="s">
        <v>276</v>
      </c>
      <c r="K315" s="3">
        <v>46036</v>
      </c>
      <c r="L315" s="18" t="s">
        <v>13</v>
      </c>
      <c r="M315" s="6">
        <v>145</v>
      </c>
      <c r="N315" s="3">
        <f>IFERROR(INDEX(Tableau6[],MATCH(Tableau3[[#This Row],[FACTURE]],Tableau6[NUM DE FACTURE],0),4),"")</f>
        <v>145</v>
      </c>
      <c r="O315" t="str">
        <f>IF(Tableau3[[#This Row],[CLIENTS]]="","",CONCATENATE(Tableau3[[#This Row],[MODE ]]," ",Tableau3[[#This Row],[ETS PAYEUR]]," ","F/",Tableau3[[#This Row],[FACTURE]]))</f>
        <v>CHEQUE AFRILAND FIRST BANK F/145</v>
      </c>
      <c r="Q315">
        <f>+ROW()-ROW(Tableau3[[#Headers],[N° LIGNE_RF]])</f>
        <v>312</v>
      </c>
      <c r="R315" s="6">
        <f>IF(Tableau3[[#This Row],[REFERENCE ]]="","",MATCH(Tableau3[[#This Row],[REFERENCE ]],Tableau3[[REFERENCE ]],0))</f>
        <v>312</v>
      </c>
      <c r="S315"/>
      <c r="X315" s="70"/>
      <c r="Y315"/>
      <c r="Z315" s="3"/>
      <c r="AA315"/>
      <c r="AE315" s="70"/>
      <c r="AG315"/>
    </row>
    <row r="316" spans="1:33" x14ac:dyDescent="0.2">
      <c r="A316" t="s">
        <v>100</v>
      </c>
      <c r="B316" t="s">
        <v>102</v>
      </c>
      <c r="C316" t="s">
        <v>60</v>
      </c>
      <c r="D316" s="398" t="s">
        <v>84</v>
      </c>
      <c r="E316" s="385">
        <v>2306900</v>
      </c>
      <c r="F316" s="18"/>
      <c r="G316" s="223" t="s">
        <v>157</v>
      </c>
      <c r="H316" s="100" t="s">
        <v>428</v>
      </c>
      <c r="I316" s="386">
        <v>46034</v>
      </c>
      <c r="J316" s="100" t="s">
        <v>276</v>
      </c>
      <c r="K316" s="3">
        <v>46036</v>
      </c>
      <c r="L316" s="18" t="s">
        <v>13</v>
      </c>
      <c r="M316" s="6">
        <v>146</v>
      </c>
      <c r="N316" s="3">
        <f>IFERROR(INDEX(Tableau6[],MATCH(Tableau3[[#This Row],[FACTURE]],Tableau6[NUM DE FACTURE],0),4),"")</f>
        <v>146</v>
      </c>
      <c r="O316" t="str">
        <f>IF(Tableau3[[#This Row],[CLIENTS]]="","",CONCATENATE(Tableau3[[#This Row],[MODE ]]," ",Tableau3[[#This Row],[ETS PAYEUR]]," ","F/",Tableau3[[#This Row],[FACTURE]]))</f>
        <v>CHEQUE AFRILAND FIRST BANK F/146</v>
      </c>
      <c r="Q316">
        <f>+ROW()-ROW(Tableau3[[#Headers],[N° LIGNE_RF]])</f>
        <v>313</v>
      </c>
      <c r="R316" s="6">
        <f>IF(Tableau3[[#This Row],[REFERENCE ]]="","",MATCH(Tableau3[[#This Row],[REFERENCE ]],Tableau3[[REFERENCE ]],0))</f>
        <v>312</v>
      </c>
      <c r="S316"/>
      <c r="X316" s="70"/>
      <c r="Y316"/>
      <c r="Z316" s="3"/>
      <c r="AA316"/>
      <c r="AE316" s="70"/>
      <c r="AG316"/>
    </row>
    <row r="317" spans="1:33" x14ac:dyDescent="0.2">
      <c r="A317" t="s">
        <v>100</v>
      </c>
      <c r="B317" t="s">
        <v>435</v>
      </c>
      <c r="C317" t="s">
        <v>61</v>
      </c>
      <c r="D317" s="398" t="s">
        <v>83</v>
      </c>
      <c r="E317" s="385">
        <v>1645000</v>
      </c>
      <c r="F317" s="18"/>
      <c r="G317" s="223" t="s">
        <v>63</v>
      </c>
      <c r="H317" s="100" t="s">
        <v>439</v>
      </c>
      <c r="I317" s="386">
        <v>46035</v>
      </c>
      <c r="J317" s="100" t="s">
        <v>435</v>
      </c>
      <c r="K317" s="3">
        <v>46035</v>
      </c>
      <c r="L317" s="18" t="s">
        <v>440</v>
      </c>
      <c r="M317" s="6" t="s">
        <v>434</v>
      </c>
      <c r="N317" s="3" t="str">
        <f>IFERROR(INDEX(Tableau6[],MATCH(Tableau3[[#This Row],[FACTURE]],Tableau6[NUM DE FACTURE],0),4),"")</f>
        <v>PR2510-0172</v>
      </c>
      <c r="O317" t="str">
        <f>IF(Tableau3[[#This Row],[CLIENTS]]="","",CONCATENATE(Tableau3[[#This Row],[MODE ]]," ",Tableau3[[#This Row],[ETS PAYEUR]]," ","F/",Tableau3[[#This Row],[FACTURE]]))</f>
        <v>ESPECES M BUER F/PR2510-0172</v>
      </c>
      <c r="Q317">
        <f>+ROW()-ROW(Tableau3[[#Headers],[N° LIGNE_RF]])</f>
        <v>314</v>
      </c>
      <c r="R317" s="6">
        <f>IF(Tableau3[[#This Row],[REFERENCE ]]="","",MATCH(Tableau3[[#This Row],[REFERENCE ]],Tableau3[[REFERENCE ]],0))</f>
        <v>314</v>
      </c>
      <c r="S317"/>
      <c r="X317" s="70"/>
      <c r="Y317"/>
      <c r="Z317" s="3"/>
      <c r="AA317"/>
      <c r="AE317" s="70"/>
      <c r="AG317"/>
    </row>
    <row r="318" spans="1:33" x14ac:dyDescent="0.2">
      <c r="A318" t="s">
        <v>100</v>
      </c>
      <c r="B318" t="s">
        <v>138</v>
      </c>
      <c r="C318" t="s">
        <v>60</v>
      </c>
      <c r="D318" s="398" t="s">
        <v>84</v>
      </c>
      <c r="E318" s="385">
        <v>5097600</v>
      </c>
      <c r="F318" s="18" t="s">
        <v>161</v>
      </c>
      <c r="G318" s="223" t="s">
        <v>157</v>
      </c>
      <c r="H318" s="100" t="s">
        <v>427</v>
      </c>
      <c r="I318" s="386">
        <v>46036</v>
      </c>
      <c r="J318" s="100" t="s">
        <v>14</v>
      </c>
      <c r="K318" s="3">
        <v>46043</v>
      </c>
      <c r="L318" s="18" t="s">
        <v>10</v>
      </c>
      <c r="M318" s="6">
        <v>58</v>
      </c>
      <c r="N318" s="3">
        <f>IFERROR(INDEX(Tableau6[],MATCH(Tableau3[[#This Row],[FACTURE]],Tableau6[NUM DE FACTURE],0),4),"")</f>
        <v>58</v>
      </c>
      <c r="O318" t="str">
        <f>IF(Tableau3[[#This Row],[CLIENTS]]="","",CONCATENATE(Tableau3[[#This Row],[MODE ]]," ",Tableau3[[#This Row],[ETS PAYEUR]]," ","F/",Tableau3[[#This Row],[FACTURE]]))</f>
        <v>CHEQUE NSIA F/58</v>
      </c>
      <c r="Q318">
        <f>+ROW()-ROW(Tableau3[[#Headers],[N° LIGNE_RF]])</f>
        <v>315</v>
      </c>
      <c r="R318" s="6">
        <f>IF(Tableau3[[#This Row],[REFERENCE ]]="","",MATCH(Tableau3[[#This Row],[REFERENCE ]],Tableau3[[REFERENCE ]],0))</f>
        <v>315</v>
      </c>
      <c r="S318"/>
      <c r="X318" s="70"/>
      <c r="Y318"/>
      <c r="Z318" s="3"/>
      <c r="AA318"/>
      <c r="AE318" s="70"/>
      <c r="AG318"/>
    </row>
    <row r="319" spans="1:33" x14ac:dyDescent="0.2">
      <c r="A319" t="s">
        <v>100</v>
      </c>
      <c r="B319" t="s">
        <v>138</v>
      </c>
      <c r="C319" t="s">
        <v>60</v>
      </c>
      <c r="D319" s="398" t="s">
        <v>84</v>
      </c>
      <c r="E319" s="385">
        <v>1168200</v>
      </c>
      <c r="F319" s="18" t="s">
        <v>161</v>
      </c>
      <c r="G319" s="223" t="s">
        <v>157</v>
      </c>
      <c r="H319" s="100" t="s">
        <v>427</v>
      </c>
      <c r="I319" s="386">
        <v>46036</v>
      </c>
      <c r="J319" s="100" t="s">
        <v>14</v>
      </c>
      <c r="K319" s="3">
        <v>46043</v>
      </c>
      <c r="L319" s="18" t="s">
        <v>10</v>
      </c>
      <c r="M319" s="6">
        <v>59</v>
      </c>
      <c r="N319" s="3">
        <f>IFERROR(INDEX(Tableau6[],MATCH(Tableau3[[#This Row],[FACTURE]],Tableau6[NUM DE FACTURE],0),4),"")</f>
        <v>59</v>
      </c>
      <c r="O319" t="str">
        <f>IF(Tableau3[[#This Row],[CLIENTS]]="","",CONCATENATE(Tableau3[[#This Row],[MODE ]]," ",Tableau3[[#This Row],[ETS PAYEUR]]," ","F/",Tableau3[[#This Row],[FACTURE]]))</f>
        <v>CHEQUE NSIA F/59</v>
      </c>
      <c r="Q319">
        <f>+ROW()-ROW(Tableau3[[#Headers],[N° LIGNE_RF]])</f>
        <v>316</v>
      </c>
      <c r="R319" s="6">
        <f>IF(Tableau3[[#This Row],[REFERENCE ]]="","",MATCH(Tableau3[[#This Row],[REFERENCE ]],Tableau3[[REFERENCE ]],0))</f>
        <v>315</v>
      </c>
      <c r="S319"/>
      <c r="X319" s="70"/>
      <c r="Y319"/>
      <c r="Z319" s="3"/>
      <c r="AA319"/>
      <c r="AE319" s="70"/>
      <c r="AG319"/>
    </row>
    <row r="320" spans="1:33" x14ac:dyDescent="0.2">
      <c r="A320" t="s">
        <v>100</v>
      </c>
      <c r="B320" t="s">
        <v>138</v>
      </c>
      <c r="C320" t="s">
        <v>60</v>
      </c>
      <c r="D320" s="398" t="s">
        <v>84</v>
      </c>
      <c r="E320" s="385">
        <v>2336400</v>
      </c>
      <c r="F320" s="18" t="s">
        <v>161</v>
      </c>
      <c r="G320" s="223" t="s">
        <v>157</v>
      </c>
      <c r="H320" s="100" t="s">
        <v>427</v>
      </c>
      <c r="I320" s="386">
        <v>46036</v>
      </c>
      <c r="J320" s="100" t="s">
        <v>14</v>
      </c>
      <c r="K320" s="3">
        <v>46043</v>
      </c>
      <c r="L320" s="18" t="s">
        <v>10</v>
      </c>
      <c r="M320" s="6">
        <v>60</v>
      </c>
      <c r="N320" s="3">
        <f>IFERROR(INDEX(Tableau6[],MATCH(Tableau3[[#This Row],[FACTURE]],Tableau6[NUM DE FACTURE],0),4),"")</f>
        <v>60</v>
      </c>
      <c r="O320" t="str">
        <f>IF(Tableau3[[#This Row],[CLIENTS]]="","",CONCATENATE(Tableau3[[#This Row],[MODE ]]," ",Tableau3[[#This Row],[ETS PAYEUR]]," ","F/",Tableau3[[#This Row],[FACTURE]]))</f>
        <v>CHEQUE NSIA F/60</v>
      </c>
      <c r="Q320">
        <f>+ROW()-ROW(Tableau3[[#Headers],[N° LIGNE_RF]])</f>
        <v>317</v>
      </c>
      <c r="R320" s="6">
        <f>IF(Tableau3[[#This Row],[REFERENCE ]]="","",MATCH(Tableau3[[#This Row],[REFERENCE ]],Tableau3[[REFERENCE ]],0))</f>
        <v>315</v>
      </c>
      <c r="S320"/>
      <c r="X320" s="70"/>
      <c r="Y320"/>
      <c r="Z320" s="3"/>
      <c r="AA320"/>
      <c r="AE320" s="70"/>
      <c r="AG320"/>
    </row>
    <row r="321" spans="1:33" x14ac:dyDescent="0.2">
      <c r="A321" t="s">
        <v>100</v>
      </c>
      <c r="B321" t="s">
        <v>138</v>
      </c>
      <c r="C321" t="s">
        <v>60</v>
      </c>
      <c r="D321" s="398" t="s">
        <v>84</v>
      </c>
      <c r="E321" s="385">
        <v>1168200</v>
      </c>
      <c r="F321" s="18" t="s">
        <v>161</v>
      </c>
      <c r="G321" s="223" t="s">
        <v>157</v>
      </c>
      <c r="H321" s="100" t="s">
        <v>427</v>
      </c>
      <c r="I321" s="386">
        <v>46036</v>
      </c>
      <c r="J321" s="100" t="s">
        <v>14</v>
      </c>
      <c r="K321" s="3">
        <v>46043</v>
      </c>
      <c r="L321" s="18" t="s">
        <v>10</v>
      </c>
      <c r="M321" s="6">
        <v>69</v>
      </c>
      <c r="N321" s="3">
        <f>IFERROR(INDEX(Tableau6[],MATCH(Tableau3[[#This Row],[FACTURE]],Tableau6[NUM DE FACTURE],0),4),"")</f>
        <v>69</v>
      </c>
      <c r="O321" t="str">
        <f>IF(Tableau3[[#This Row],[CLIENTS]]="","",CONCATENATE(Tableau3[[#This Row],[MODE ]]," ",Tableau3[[#This Row],[ETS PAYEUR]]," ","F/",Tableau3[[#This Row],[FACTURE]]))</f>
        <v>CHEQUE NSIA F/69</v>
      </c>
      <c r="Q321">
        <f>+ROW()-ROW(Tableau3[[#Headers],[N° LIGNE_RF]])</f>
        <v>318</v>
      </c>
      <c r="R321" s="6">
        <f>IF(Tableau3[[#This Row],[REFERENCE ]]="","",MATCH(Tableau3[[#This Row],[REFERENCE ]],Tableau3[[REFERENCE ]],0))</f>
        <v>315</v>
      </c>
      <c r="S321"/>
      <c r="X321" s="70"/>
      <c r="Y321"/>
      <c r="Z321" s="3"/>
      <c r="AA321"/>
      <c r="AE321" s="70"/>
      <c r="AG321"/>
    </row>
    <row r="322" spans="1:33" x14ac:dyDescent="0.2">
      <c r="A322" t="s">
        <v>100</v>
      </c>
      <c r="B322" t="s">
        <v>138</v>
      </c>
      <c r="C322" t="s">
        <v>60</v>
      </c>
      <c r="D322" s="398" t="s">
        <v>84</v>
      </c>
      <c r="E322" s="385">
        <v>7646400</v>
      </c>
      <c r="F322" s="18" t="s">
        <v>156</v>
      </c>
      <c r="G322" s="223" t="s">
        <v>157</v>
      </c>
      <c r="H322" s="100" t="s">
        <v>427</v>
      </c>
      <c r="I322" s="386">
        <v>46036</v>
      </c>
      <c r="J322" s="100" t="s">
        <v>14</v>
      </c>
      <c r="K322" s="3">
        <v>46043</v>
      </c>
      <c r="L322" s="18" t="s">
        <v>10</v>
      </c>
      <c r="M322" s="6">
        <v>88</v>
      </c>
      <c r="N322" s="3">
        <f>IFERROR(INDEX(Tableau6[],MATCH(Tableau3[[#This Row],[FACTURE]],Tableau6[NUM DE FACTURE],0),4),"")</f>
        <v>88</v>
      </c>
      <c r="O322" t="str">
        <f>IF(Tableau3[[#This Row],[CLIENTS]]="","",CONCATENATE(Tableau3[[#This Row],[MODE ]]," ",Tableau3[[#This Row],[ETS PAYEUR]]," ","F/",Tableau3[[#This Row],[FACTURE]]))</f>
        <v>CHEQUE NSIA F/88</v>
      </c>
      <c r="Q322">
        <f>+ROW()-ROW(Tableau3[[#Headers],[N° LIGNE_RF]])</f>
        <v>319</v>
      </c>
      <c r="R322" s="6">
        <f>IF(Tableau3[[#This Row],[REFERENCE ]]="","",MATCH(Tableau3[[#This Row],[REFERENCE ]],Tableau3[[REFERENCE ]],0))</f>
        <v>315</v>
      </c>
      <c r="S322"/>
      <c r="X322" s="70"/>
      <c r="Y322"/>
      <c r="Z322" s="3"/>
      <c r="AA322"/>
      <c r="AE322" s="70"/>
      <c r="AG322"/>
    </row>
    <row r="323" spans="1:33" x14ac:dyDescent="0.2">
      <c r="A323" t="s">
        <v>100</v>
      </c>
      <c r="B323" t="s">
        <v>138</v>
      </c>
      <c r="C323" t="s">
        <v>60</v>
      </c>
      <c r="D323" s="398" t="s">
        <v>84</v>
      </c>
      <c r="E323" s="394">
        <v>8850018</v>
      </c>
      <c r="F323" s="18" t="s">
        <v>178</v>
      </c>
      <c r="G323" s="396" t="s">
        <v>157</v>
      </c>
      <c r="H323" s="100" t="s">
        <v>631</v>
      </c>
      <c r="I323" s="386">
        <v>46041</v>
      </c>
      <c r="J323" s="100" t="s">
        <v>11</v>
      </c>
      <c r="K323" s="3">
        <v>46050</v>
      </c>
      <c r="L323" s="18" t="s">
        <v>10</v>
      </c>
      <c r="M323" s="6">
        <v>119</v>
      </c>
      <c r="N323" s="3">
        <f>IFERROR(INDEX(Tableau6[],MATCH(Tableau3[[#This Row],[FACTURE]],Tableau6[NUM DE FACTURE],0),4),"")</f>
        <v>119</v>
      </c>
      <c r="O323" t="str">
        <f>IF(Tableau3[[#This Row],[CLIENTS]]="","",CONCATENATE(Tableau3[[#This Row],[MODE ]]," ",Tableau3[[#This Row],[ETS PAYEUR]]," ","F/",Tableau3[[#This Row],[FACTURE]]))</f>
        <v>CHEQUE ORABANK F/119</v>
      </c>
      <c r="Q323">
        <f>+ROW()-ROW(Tableau3[[#Headers],[N° LIGNE_RF]])</f>
        <v>320</v>
      </c>
      <c r="R323" s="6">
        <f>IF(Tableau3[[#This Row],[REFERENCE ]]="","",MATCH(Tableau3[[#This Row],[REFERENCE ]],Tableau3[[REFERENCE ]],0))</f>
        <v>320</v>
      </c>
      <c r="S323"/>
      <c r="X323" s="70"/>
      <c r="Y323"/>
      <c r="Z323" s="3"/>
      <c r="AA323"/>
      <c r="AE323" s="70"/>
      <c r="AG323"/>
    </row>
    <row r="324" spans="1:33" x14ac:dyDescent="0.2">
      <c r="A324" t="s">
        <v>100</v>
      </c>
      <c r="B324" t="s">
        <v>138</v>
      </c>
      <c r="C324" t="s">
        <v>60</v>
      </c>
      <c r="D324" s="398" t="s">
        <v>84</v>
      </c>
      <c r="E324" s="394">
        <v>105000</v>
      </c>
      <c r="F324" s="18" t="s">
        <v>179</v>
      </c>
      <c r="G324" s="396" t="s">
        <v>157</v>
      </c>
      <c r="H324" s="100" t="s">
        <v>631</v>
      </c>
      <c r="I324" s="386">
        <v>46041</v>
      </c>
      <c r="J324" s="100" t="s">
        <v>11</v>
      </c>
      <c r="K324" s="3">
        <v>46050</v>
      </c>
      <c r="L324" s="18" t="s">
        <v>10</v>
      </c>
      <c r="M324" s="6">
        <v>25000000014</v>
      </c>
      <c r="N324" s="3">
        <f>IFERROR(INDEX(Tableau6[],MATCH(Tableau3[[#This Row],[FACTURE]],Tableau6[NUM DE FACTURE],0),4),"")</f>
        <v>25000000014</v>
      </c>
      <c r="O324" t="str">
        <f>IF(Tableau3[[#This Row],[CLIENTS]]="","",CONCATENATE(Tableau3[[#This Row],[MODE ]]," ",Tableau3[[#This Row],[ETS PAYEUR]]," ","F/",Tableau3[[#This Row],[FACTURE]]))</f>
        <v>CHEQUE ORABANK F/25000000014</v>
      </c>
      <c r="Q324">
        <f>+ROW()-ROW(Tableau3[[#Headers],[N° LIGNE_RF]])</f>
        <v>321</v>
      </c>
      <c r="R324" s="6">
        <f>IF(Tableau3[[#This Row],[REFERENCE ]]="","",MATCH(Tableau3[[#This Row],[REFERENCE ]],Tableau3[[REFERENCE ]],0))</f>
        <v>320</v>
      </c>
      <c r="S324"/>
      <c r="X324" s="70"/>
      <c r="Y324"/>
      <c r="Z324" s="3"/>
      <c r="AA324"/>
      <c r="AE324" s="70"/>
      <c r="AG324"/>
    </row>
    <row r="325" spans="1:33" x14ac:dyDescent="0.2">
      <c r="A325" t="s">
        <v>100</v>
      </c>
      <c r="B325" t="s">
        <v>138</v>
      </c>
      <c r="C325" t="s">
        <v>60</v>
      </c>
      <c r="D325" s="398" t="s">
        <v>84</v>
      </c>
      <c r="E325" s="394">
        <v>236000</v>
      </c>
      <c r="F325" s="18" t="s">
        <v>188</v>
      </c>
      <c r="G325" s="396" t="s">
        <v>157</v>
      </c>
      <c r="H325" s="100" t="s">
        <v>631</v>
      </c>
      <c r="I325" s="386">
        <v>46041</v>
      </c>
      <c r="J325" s="100" t="s">
        <v>11</v>
      </c>
      <c r="K325" s="3">
        <v>46050</v>
      </c>
      <c r="L325" s="18" t="s">
        <v>10</v>
      </c>
      <c r="M325" s="6">
        <v>25000000011</v>
      </c>
      <c r="N325" s="3">
        <f>IFERROR(INDEX(Tableau6[],MATCH(Tableau3[[#This Row],[FACTURE]],Tableau6[NUM DE FACTURE],0),4),"")</f>
        <v>25000000011</v>
      </c>
      <c r="O325" t="str">
        <f>IF(Tableau3[[#This Row],[CLIENTS]]="","",CONCATENATE(Tableau3[[#This Row],[MODE ]]," ",Tableau3[[#This Row],[ETS PAYEUR]]," ","F/",Tableau3[[#This Row],[FACTURE]]))</f>
        <v>CHEQUE ORABANK F/25000000011</v>
      </c>
      <c r="Q325">
        <f>+ROW()-ROW(Tableau3[[#Headers],[N° LIGNE_RF]])</f>
        <v>322</v>
      </c>
      <c r="R325" s="6">
        <f>IF(Tableau3[[#This Row],[REFERENCE ]]="","",MATCH(Tableau3[[#This Row],[REFERENCE ]],Tableau3[[REFERENCE ]],0))</f>
        <v>320</v>
      </c>
      <c r="S325"/>
      <c r="X325" s="70"/>
      <c r="Y325"/>
      <c r="Z325" s="3"/>
      <c r="AA325"/>
      <c r="AE325" s="70"/>
      <c r="AG325"/>
    </row>
    <row r="326" spans="1:33" x14ac:dyDescent="0.2">
      <c r="A326" t="s">
        <v>100</v>
      </c>
      <c r="B326" t="s">
        <v>138</v>
      </c>
      <c r="C326" t="s">
        <v>60</v>
      </c>
      <c r="D326" s="398" t="s">
        <v>84</v>
      </c>
      <c r="E326" s="394">
        <v>1435000</v>
      </c>
      <c r="F326" s="18" t="s">
        <v>179</v>
      </c>
      <c r="G326" s="396" t="s">
        <v>157</v>
      </c>
      <c r="H326" s="100" t="s">
        <v>631</v>
      </c>
      <c r="I326" s="386">
        <v>46041</v>
      </c>
      <c r="J326" s="100" t="s">
        <v>11</v>
      </c>
      <c r="K326" s="3">
        <v>46050</v>
      </c>
      <c r="L326" s="18" t="s">
        <v>10</v>
      </c>
      <c r="M326" s="6">
        <v>25000000012</v>
      </c>
      <c r="N326" s="3">
        <f>IFERROR(INDEX(Tableau6[],MATCH(Tableau3[[#This Row],[FACTURE]],Tableau6[NUM DE FACTURE],0),4),"")</f>
        <v>25000000012</v>
      </c>
      <c r="O326" t="str">
        <f>IF(Tableau3[[#This Row],[CLIENTS]]="","",CONCATENATE(Tableau3[[#This Row],[MODE ]]," ",Tableau3[[#This Row],[ETS PAYEUR]]," ","F/",Tableau3[[#This Row],[FACTURE]]))</f>
        <v>CHEQUE ORABANK F/25000000012</v>
      </c>
      <c r="Q326">
        <f>+ROW()-ROW(Tableau3[[#Headers],[N° LIGNE_RF]])</f>
        <v>323</v>
      </c>
      <c r="R326" s="6">
        <f>IF(Tableau3[[#This Row],[REFERENCE ]]="","",MATCH(Tableau3[[#This Row],[REFERENCE ]],Tableau3[[REFERENCE ]],0))</f>
        <v>320</v>
      </c>
      <c r="S326"/>
      <c r="X326" s="70"/>
      <c r="Y326"/>
      <c r="Z326" s="3"/>
      <c r="AA326"/>
      <c r="AE326" s="70"/>
      <c r="AG326"/>
    </row>
    <row r="327" spans="1:33" x14ac:dyDescent="0.2">
      <c r="A327" t="s">
        <v>100</v>
      </c>
      <c r="B327" t="s">
        <v>138</v>
      </c>
      <c r="C327" t="s">
        <v>60</v>
      </c>
      <c r="D327" s="398" t="s">
        <v>84</v>
      </c>
      <c r="E327" s="394">
        <v>1770000</v>
      </c>
      <c r="F327" s="18" t="s">
        <v>178</v>
      </c>
      <c r="G327" s="396" t="s">
        <v>157</v>
      </c>
      <c r="H327" s="100" t="s">
        <v>631</v>
      </c>
      <c r="I327" s="386">
        <v>46041</v>
      </c>
      <c r="J327" s="100" t="s">
        <v>11</v>
      </c>
      <c r="K327" s="3">
        <v>46050</v>
      </c>
      <c r="L327" s="18" t="s">
        <v>10</v>
      </c>
      <c r="M327" s="6">
        <v>25000000007</v>
      </c>
      <c r="N327" s="3">
        <f>IFERROR(INDEX(Tableau6[],MATCH(Tableau3[[#This Row],[FACTURE]],Tableau6[NUM DE FACTURE],0),4),"")</f>
        <v>25000000007</v>
      </c>
      <c r="O327" t="str">
        <f>IF(Tableau3[[#This Row],[CLIENTS]]="","",CONCATENATE(Tableau3[[#This Row],[MODE ]]," ",Tableau3[[#This Row],[ETS PAYEUR]]," ","F/",Tableau3[[#This Row],[FACTURE]]))</f>
        <v>CHEQUE ORABANK F/25000000007</v>
      </c>
      <c r="Q327">
        <f>+ROW()-ROW(Tableau3[[#Headers],[N° LIGNE_RF]])</f>
        <v>324</v>
      </c>
      <c r="R327" s="6">
        <f>IF(Tableau3[[#This Row],[REFERENCE ]]="","",MATCH(Tableau3[[#This Row],[REFERENCE ]],Tableau3[[REFERENCE ]],0))</f>
        <v>320</v>
      </c>
      <c r="S327"/>
      <c r="X327" s="70"/>
      <c r="Y327"/>
      <c r="Z327" s="3"/>
      <c r="AA327"/>
      <c r="AE327" s="70"/>
      <c r="AG327"/>
    </row>
    <row r="328" spans="1:33" x14ac:dyDescent="0.2">
      <c r="A328" t="s">
        <v>100</v>
      </c>
      <c r="B328" t="s">
        <v>138</v>
      </c>
      <c r="C328" t="s">
        <v>60</v>
      </c>
      <c r="D328" s="398" t="s">
        <v>84</v>
      </c>
      <c r="E328" s="394">
        <v>1770000</v>
      </c>
      <c r="F328" s="18" t="s">
        <v>178</v>
      </c>
      <c r="G328" s="396" t="s">
        <v>157</v>
      </c>
      <c r="H328" s="100" t="s">
        <v>631</v>
      </c>
      <c r="I328" s="386">
        <v>46041</v>
      </c>
      <c r="J328" s="100" t="s">
        <v>11</v>
      </c>
      <c r="K328" s="3">
        <v>46050</v>
      </c>
      <c r="L328" s="18" t="s">
        <v>10</v>
      </c>
      <c r="M328" s="6">
        <v>25000000008</v>
      </c>
      <c r="N328" s="3">
        <f>IFERROR(INDEX(Tableau6[],MATCH(Tableau3[[#This Row],[FACTURE]],Tableau6[NUM DE FACTURE],0),4),"")</f>
        <v>25000000008</v>
      </c>
      <c r="O328" t="str">
        <f>IF(Tableau3[[#This Row],[CLIENTS]]="","",CONCATENATE(Tableau3[[#This Row],[MODE ]]," ",Tableau3[[#This Row],[ETS PAYEUR]]," ","F/",Tableau3[[#This Row],[FACTURE]]))</f>
        <v>CHEQUE ORABANK F/25000000008</v>
      </c>
      <c r="Q328">
        <f>+ROW()-ROW(Tableau3[[#Headers],[N° LIGNE_RF]])</f>
        <v>325</v>
      </c>
      <c r="R328" s="6">
        <f>IF(Tableau3[[#This Row],[REFERENCE ]]="","",MATCH(Tableau3[[#This Row],[REFERENCE ]],Tableau3[[REFERENCE ]],0))</f>
        <v>320</v>
      </c>
      <c r="S328"/>
      <c r="X328" s="70"/>
      <c r="Y328"/>
      <c r="Z328" s="3"/>
      <c r="AA328"/>
      <c r="AE328" s="70"/>
      <c r="AG328"/>
    </row>
    <row r="329" spans="1:33" x14ac:dyDescent="0.2">
      <c r="A329" t="s">
        <v>100</v>
      </c>
      <c r="B329" t="s">
        <v>138</v>
      </c>
      <c r="C329" t="s">
        <v>60</v>
      </c>
      <c r="D329" s="398" t="s">
        <v>84</v>
      </c>
      <c r="E329" s="394">
        <v>1817200</v>
      </c>
      <c r="F329" s="18" t="s">
        <v>179</v>
      </c>
      <c r="G329" s="396" t="s">
        <v>157</v>
      </c>
      <c r="H329" s="100" t="s">
        <v>631</v>
      </c>
      <c r="I329" s="386">
        <v>46041</v>
      </c>
      <c r="J329" s="100" t="s">
        <v>11</v>
      </c>
      <c r="K329" s="3">
        <v>46050</v>
      </c>
      <c r="L329" s="18" t="s">
        <v>10</v>
      </c>
      <c r="M329" s="6">
        <v>91</v>
      </c>
      <c r="N329" s="3">
        <f>IFERROR(INDEX(Tableau6[],MATCH(Tableau3[[#This Row],[FACTURE]],Tableau6[NUM DE FACTURE],0),4),"")</f>
        <v>91</v>
      </c>
      <c r="O329" t="str">
        <f>IF(Tableau3[[#This Row],[CLIENTS]]="","",CONCATENATE(Tableau3[[#This Row],[MODE ]]," ",Tableau3[[#This Row],[ETS PAYEUR]]," ","F/",Tableau3[[#This Row],[FACTURE]]))</f>
        <v>CHEQUE ORABANK F/91</v>
      </c>
      <c r="Q329">
        <f>+ROW()-ROW(Tableau3[[#Headers],[N° LIGNE_RF]])</f>
        <v>326</v>
      </c>
      <c r="R329" s="6">
        <f>IF(Tableau3[[#This Row],[REFERENCE ]]="","",MATCH(Tableau3[[#This Row],[REFERENCE ]],Tableau3[[REFERENCE ]],0))</f>
        <v>320</v>
      </c>
      <c r="S329"/>
      <c r="X329" s="70"/>
      <c r="Y329"/>
      <c r="Z329" s="3"/>
      <c r="AA329"/>
      <c r="AE329" s="70"/>
      <c r="AG329"/>
    </row>
    <row r="330" spans="1:33" x14ac:dyDescent="0.2">
      <c r="A330" t="s">
        <v>100</v>
      </c>
      <c r="B330" t="s">
        <v>138</v>
      </c>
      <c r="C330" t="s">
        <v>60</v>
      </c>
      <c r="D330" s="398" t="s">
        <v>84</v>
      </c>
      <c r="E330" s="394">
        <v>2342300</v>
      </c>
      <c r="F330" s="18" t="s">
        <v>179</v>
      </c>
      <c r="G330" s="396" t="s">
        <v>157</v>
      </c>
      <c r="H330" s="100" t="s">
        <v>631</v>
      </c>
      <c r="I330" s="386">
        <v>46041</v>
      </c>
      <c r="J330" s="100" t="s">
        <v>11</v>
      </c>
      <c r="K330" s="3">
        <v>46050</v>
      </c>
      <c r="L330" s="18" t="s">
        <v>10</v>
      </c>
      <c r="M330" s="6">
        <v>92</v>
      </c>
      <c r="N330" s="3">
        <f>IFERROR(INDEX(Tableau6[],MATCH(Tableau3[[#This Row],[FACTURE]],Tableau6[NUM DE FACTURE],0),4),"")</f>
        <v>92</v>
      </c>
      <c r="O330" t="str">
        <f>IF(Tableau3[[#This Row],[CLIENTS]]="","",CONCATENATE(Tableau3[[#This Row],[MODE ]]," ",Tableau3[[#This Row],[ETS PAYEUR]]," ","F/",Tableau3[[#This Row],[FACTURE]]))</f>
        <v>CHEQUE ORABANK F/92</v>
      </c>
      <c r="Q330">
        <f>+ROW()-ROW(Tableau3[[#Headers],[N° LIGNE_RF]])</f>
        <v>327</v>
      </c>
      <c r="R330" s="6">
        <f>IF(Tableau3[[#This Row],[REFERENCE ]]="","",MATCH(Tableau3[[#This Row],[REFERENCE ]],Tableau3[[REFERENCE ]],0))</f>
        <v>320</v>
      </c>
      <c r="S330"/>
      <c r="X330" s="70"/>
      <c r="Y330"/>
      <c r="Z330" s="3"/>
      <c r="AA330"/>
      <c r="AE330" s="70"/>
      <c r="AG330"/>
    </row>
    <row r="331" spans="1:33" x14ac:dyDescent="0.2">
      <c r="A331" t="s">
        <v>100</v>
      </c>
      <c r="B331" t="s">
        <v>138</v>
      </c>
      <c r="C331" t="s">
        <v>60</v>
      </c>
      <c r="D331" s="398" t="s">
        <v>84</v>
      </c>
      <c r="E331" s="394">
        <v>2407200</v>
      </c>
      <c r="F331" s="18" t="s">
        <v>178</v>
      </c>
      <c r="G331" s="396" t="s">
        <v>157</v>
      </c>
      <c r="H331" s="100" t="s">
        <v>631</v>
      </c>
      <c r="I331" s="386">
        <v>46041</v>
      </c>
      <c r="J331" s="100" t="s">
        <v>11</v>
      </c>
      <c r="K331" s="3">
        <v>46050</v>
      </c>
      <c r="L331" s="18" t="s">
        <v>10</v>
      </c>
      <c r="M331" s="6">
        <v>144</v>
      </c>
      <c r="N331" s="3">
        <f>IFERROR(INDEX(Tableau6[],MATCH(Tableau3[[#This Row],[FACTURE]],Tableau6[NUM DE FACTURE],0),4),"")</f>
        <v>144</v>
      </c>
      <c r="O331" t="str">
        <f>IF(Tableau3[[#This Row],[CLIENTS]]="","",CONCATENATE(Tableau3[[#This Row],[MODE ]]," ",Tableau3[[#This Row],[ETS PAYEUR]]," ","F/",Tableau3[[#This Row],[FACTURE]]))</f>
        <v>CHEQUE ORABANK F/144</v>
      </c>
      <c r="Q331">
        <f>+ROW()-ROW(Tableau3[[#Headers],[N° LIGNE_RF]])</f>
        <v>328</v>
      </c>
      <c r="R331" s="6">
        <f>IF(Tableau3[[#This Row],[REFERENCE ]]="","",MATCH(Tableau3[[#This Row],[REFERENCE ]],Tableau3[[REFERENCE ]],0))</f>
        <v>320</v>
      </c>
      <c r="S331"/>
      <c r="X331" s="70"/>
      <c r="Y331"/>
      <c r="Z331" s="3"/>
      <c r="AA331"/>
      <c r="AE331" s="70"/>
      <c r="AG331"/>
    </row>
    <row r="332" spans="1:33" x14ac:dyDescent="0.2">
      <c r="A332" t="s">
        <v>100</v>
      </c>
      <c r="B332" t="s">
        <v>138</v>
      </c>
      <c r="C332" t="s">
        <v>60</v>
      </c>
      <c r="D332" s="398" t="s">
        <v>84</v>
      </c>
      <c r="E332" s="394">
        <v>2708100</v>
      </c>
      <c r="F332" s="18" t="s">
        <v>183</v>
      </c>
      <c r="G332" s="396" t="s">
        <v>157</v>
      </c>
      <c r="H332" s="100" t="s">
        <v>631</v>
      </c>
      <c r="I332" s="386">
        <v>46041</v>
      </c>
      <c r="J332" s="100" t="s">
        <v>11</v>
      </c>
      <c r="K332" s="3">
        <v>46050</v>
      </c>
      <c r="L332" s="18" t="s">
        <v>10</v>
      </c>
      <c r="M332" s="6">
        <v>93</v>
      </c>
      <c r="N332" s="3">
        <f>IFERROR(INDEX(Tableau6[],MATCH(Tableau3[[#This Row],[FACTURE]],Tableau6[NUM DE FACTURE],0),4),"")</f>
        <v>93</v>
      </c>
      <c r="O332" t="str">
        <f>IF(Tableau3[[#This Row],[CLIENTS]]="","",CONCATENATE(Tableau3[[#This Row],[MODE ]]," ",Tableau3[[#This Row],[ETS PAYEUR]]," ","F/",Tableau3[[#This Row],[FACTURE]]))</f>
        <v>CHEQUE ORABANK F/93</v>
      </c>
      <c r="Q332">
        <f>+ROW()-ROW(Tableau3[[#Headers],[N° LIGNE_RF]])</f>
        <v>329</v>
      </c>
      <c r="R332" s="6">
        <f>IF(Tableau3[[#This Row],[REFERENCE ]]="","",MATCH(Tableau3[[#This Row],[REFERENCE ]],Tableau3[[REFERENCE ]],0))</f>
        <v>320</v>
      </c>
      <c r="S332"/>
      <c r="X332" s="70"/>
      <c r="Y332"/>
      <c r="Z332" s="3"/>
      <c r="AA332"/>
      <c r="AE332" s="70"/>
      <c r="AG332"/>
    </row>
    <row r="333" spans="1:33" x14ac:dyDescent="0.2">
      <c r="A333" t="s">
        <v>100</v>
      </c>
      <c r="B333" t="s">
        <v>138</v>
      </c>
      <c r="C333" t="s">
        <v>60</v>
      </c>
      <c r="D333" s="398" t="s">
        <v>84</v>
      </c>
      <c r="E333" s="394">
        <v>2973600</v>
      </c>
      <c r="F333" s="18" t="s">
        <v>188</v>
      </c>
      <c r="G333" s="396" t="s">
        <v>157</v>
      </c>
      <c r="H333" s="100" t="s">
        <v>631</v>
      </c>
      <c r="I333" s="386">
        <v>46041</v>
      </c>
      <c r="J333" s="100" t="s">
        <v>11</v>
      </c>
      <c r="K333" s="3">
        <v>46050</v>
      </c>
      <c r="L333" s="18" t="s">
        <v>10</v>
      </c>
      <c r="M333" s="6">
        <v>25000000001</v>
      </c>
      <c r="N333" s="3">
        <f>IFERROR(INDEX(Tableau6[],MATCH(Tableau3[[#This Row],[FACTURE]],Tableau6[NUM DE FACTURE],0),4),"")</f>
        <v>25000000001</v>
      </c>
      <c r="O333" t="str">
        <f>IF(Tableau3[[#This Row],[CLIENTS]]="","",CONCATENATE(Tableau3[[#This Row],[MODE ]]," ",Tableau3[[#This Row],[ETS PAYEUR]]," ","F/",Tableau3[[#This Row],[FACTURE]]))</f>
        <v>CHEQUE ORABANK F/25000000001</v>
      </c>
      <c r="Q333">
        <f>+ROW()-ROW(Tableau3[[#Headers],[N° LIGNE_RF]])</f>
        <v>330</v>
      </c>
      <c r="R333" s="6">
        <f>IF(Tableau3[[#This Row],[REFERENCE ]]="","",MATCH(Tableau3[[#This Row],[REFERENCE ]],Tableau3[[REFERENCE ]],0))</f>
        <v>320</v>
      </c>
      <c r="S333"/>
      <c r="X333" s="70"/>
      <c r="Y333"/>
      <c r="Z333" s="3"/>
      <c r="AA333"/>
      <c r="AE333" s="70"/>
      <c r="AG333"/>
    </row>
    <row r="334" spans="1:33" x14ac:dyDescent="0.2">
      <c r="A334" t="s">
        <v>100</v>
      </c>
      <c r="B334" t="s">
        <v>138</v>
      </c>
      <c r="C334" t="s">
        <v>60</v>
      </c>
      <c r="D334" s="398" t="s">
        <v>84</v>
      </c>
      <c r="E334" s="394">
        <v>9752700</v>
      </c>
      <c r="F334" s="18" t="s">
        <v>180</v>
      </c>
      <c r="G334" s="396" t="s">
        <v>157</v>
      </c>
      <c r="H334" s="100" t="s">
        <v>631</v>
      </c>
      <c r="I334" s="386">
        <v>46041</v>
      </c>
      <c r="J334" s="100" t="s">
        <v>11</v>
      </c>
      <c r="K334" s="3">
        <v>46050</v>
      </c>
      <c r="L334" s="18" t="s">
        <v>10</v>
      </c>
      <c r="M334" s="6">
        <v>128</v>
      </c>
      <c r="N334" s="3">
        <f>IFERROR(INDEX(Tableau6[],MATCH(Tableau3[[#This Row],[FACTURE]],Tableau6[NUM DE FACTURE],0),4),"")</f>
        <v>128</v>
      </c>
      <c r="O334" t="str">
        <f>IF(Tableau3[[#This Row],[CLIENTS]]="","",CONCATENATE(Tableau3[[#This Row],[MODE ]]," ",Tableau3[[#This Row],[ETS PAYEUR]]," ","F/",Tableau3[[#This Row],[FACTURE]]))</f>
        <v>CHEQUE ORABANK F/128</v>
      </c>
      <c r="Q334">
        <f>+ROW()-ROW(Tableau3[[#Headers],[N° LIGNE_RF]])</f>
        <v>331</v>
      </c>
      <c r="R334" s="6">
        <f>IF(Tableau3[[#This Row],[REFERENCE ]]="","",MATCH(Tableau3[[#This Row],[REFERENCE ]],Tableau3[[REFERENCE ]],0))</f>
        <v>320</v>
      </c>
      <c r="S334"/>
      <c r="X334" s="70"/>
      <c r="Y334"/>
      <c r="Z334" s="3"/>
      <c r="AA334"/>
      <c r="AE334" s="70"/>
      <c r="AG334"/>
    </row>
    <row r="335" spans="1:33" x14ac:dyDescent="0.2">
      <c r="A335" t="s">
        <v>100</v>
      </c>
      <c r="B335" t="s">
        <v>138</v>
      </c>
      <c r="C335" t="s">
        <v>60</v>
      </c>
      <c r="D335" s="398" t="s">
        <v>84</v>
      </c>
      <c r="E335" s="394">
        <v>10808800</v>
      </c>
      <c r="F335" s="18" t="s">
        <v>190</v>
      </c>
      <c r="G335" s="396" t="s">
        <v>157</v>
      </c>
      <c r="H335" s="100" t="s">
        <v>631</v>
      </c>
      <c r="I335" s="386">
        <v>46041</v>
      </c>
      <c r="J335" s="100" t="s">
        <v>11</v>
      </c>
      <c r="K335" s="3">
        <v>46050</v>
      </c>
      <c r="L335" s="18" t="s">
        <v>10</v>
      </c>
      <c r="M335" s="6">
        <v>25000000005</v>
      </c>
      <c r="N335" s="3">
        <f>IFERROR(INDEX(Tableau6[],MATCH(Tableau3[[#This Row],[FACTURE]],Tableau6[NUM DE FACTURE],0),4),"")</f>
        <v>25000000005</v>
      </c>
      <c r="O335" t="str">
        <f>IF(Tableau3[[#This Row],[CLIENTS]]="","",CONCATENATE(Tableau3[[#This Row],[MODE ]]," ",Tableau3[[#This Row],[ETS PAYEUR]]," ","F/",Tableau3[[#This Row],[FACTURE]]))</f>
        <v>CHEQUE ORABANK F/25000000005</v>
      </c>
      <c r="Q335">
        <f>+ROW()-ROW(Tableau3[[#Headers],[N° LIGNE_RF]])</f>
        <v>332</v>
      </c>
      <c r="R335" s="6">
        <f>IF(Tableau3[[#This Row],[REFERENCE ]]="","",MATCH(Tableau3[[#This Row],[REFERENCE ]],Tableau3[[REFERENCE ]],0))</f>
        <v>320</v>
      </c>
      <c r="S335"/>
      <c r="X335" s="70"/>
      <c r="Y335"/>
      <c r="Z335" s="3"/>
      <c r="AA335"/>
      <c r="AE335" s="70"/>
      <c r="AG335"/>
    </row>
    <row r="336" spans="1:33" x14ac:dyDescent="0.2">
      <c r="A336" t="s">
        <v>100</v>
      </c>
      <c r="B336" t="s">
        <v>138</v>
      </c>
      <c r="C336" t="s">
        <v>60</v>
      </c>
      <c r="D336" s="398" t="s">
        <v>84</v>
      </c>
      <c r="E336" s="394">
        <v>15281000</v>
      </c>
      <c r="F336" s="18" t="s">
        <v>186</v>
      </c>
      <c r="G336" s="396" t="s">
        <v>157</v>
      </c>
      <c r="H336" s="100" t="s">
        <v>631</v>
      </c>
      <c r="I336" s="386">
        <v>46041</v>
      </c>
      <c r="J336" s="100" t="s">
        <v>11</v>
      </c>
      <c r="K336" s="3">
        <v>46050</v>
      </c>
      <c r="L336" s="18" t="s">
        <v>10</v>
      </c>
      <c r="M336" s="6">
        <v>143</v>
      </c>
      <c r="N336" s="3">
        <f>IFERROR(INDEX(Tableau6[],MATCH(Tableau3[[#This Row],[FACTURE]],Tableau6[NUM DE FACTURE],0),4),"")</f>
        <v>143</v>
      </c>
      <c r="O336" t="str">
        <f>IF(Tableau3[[#This Row],[CLIENTS]]="","",CONCATENATE(Tableau3[[#This Row],[MODE ]]," ",Tableau3[[#This Row],[ETS PAYEUR]]," ","F/",Tableau3[[#This Row],[FACTURE]]))</f>
        <v>CHEQUE ORABANK F/143</v>
      </c>
      <c r="Q336">
        <f>+ROW()-ROW(Tableau3[[#Headers],[N° LIGNE_RF]])</f>
        <v>333</v>
      </c>
      <c r="R336" s="6">
        <f>IF(Tableau3[[#This Row],[REFERENCE ]]="","",MATCH(Tableau3[[#This Row],[REFERENCE ]],Tableau3[[REFERENCE ]],0))</f>
        <v>320</v>
      </c>
      <c r="S336"/>
      <c r="X336" s="70"/>
      <c r="Y336"/>
      <c r="Z336" s="3"/>
      <c r="AA336"/>
      <c r="AE336" s="70"/>
      <c r="AG336"/>
    </row>
    <row r="337" spans="1:33" x14ac:dyDescent="0.2">
      <c r="A337" t="s">
        <v>100</v>
      </c>
      <c r="B337" t="s">
        <v>138</v>
      </c>
      <c r="C337" t="s">
        <v>60</v>
      </c>
      <c r="D337" s="398" t="s">
        <v>84</v>
      </c>
      <c r="E337" s="394">
        <v>17204400</v>
      </c>
      <c r="F337" s="18" t="s">
        <v>190</v>
      </c>
      <c r="G337" s="396" t="s">
        <v>157</v>
      </c>
      <c r="H337" s="100" t="s">
        <v>631</v>
      </c>
      <c r="I337" s="386">
        <v>46041</v>
      </c>
      <c r="J337" s="100" t="s">
        <v>11</v>
      </c>
      <c r="K337" s="3">
        <v>46050</v>
      </c>
      <c r="L337" s="18" t="s">
        <v>10</v>
      </c>
      <c r="M337" s="6">
        <v>120</v>
      </c>
      <c r="N337" s="3">
        <f>IFERROR(INDEX(Tableau6[],MATCH(Tableau3[[#This Row],[FACTURE]],Tableau6[NUM DE FACTURE],0),4),"")</f>
        <v>120</v>
      </c>
      <c r="O337" t="str">
        <f>IF(Tableau3[[#This Row],[CLIENTS]]="","",CONCATENATE(Tableau3[[#This Row],[MODE ]]," ",Tableau3[[#This Row],[ETS PAYEUR]]," ","F/",Tableau3[[#This Row],[FACTURE]]))</f>
        <v>CHEQUE ORABANK F/120</v>
      </c>
      <c r="Q337">
        <f>+ROW()-ROW(Tableau3[[#Headers],[N° LIGNE_RF]])</f>
        <v>334</v>
      </c>
      <c r="R337" s="6">
        <f>IF(Tableau3[[#This Row],[REFERENCE ]]="","",MATCH(Tableau3[[#This Row],[REFERENCE ]],Tableau3[[REFERENCE ]],0))</f>
        <v>320</v>
      </c>
      <c r="S337"/>
      <c r="X337" s="70"/>
      <c r="Y337"/>
      <c r="Z337" s="3"/>
      <c r="AA337"/>
      <c r="AE337" s="70"/>
      <c r="AG337"/>
    </row>
    <row r="338" spans="1:33" x14ac:dyDescent="0.2">
      <c r="A338" t="s">
        <v>100</v>
      </c>
      <c r="B338" t="s">
        <v>138</v>
      </c>
      <c r="C338" t="s">
        <v>60</v>
      </c>
      <c r="D338" s="398" t="s">
        <v>84</v>
      </c>
      <c r="E338" s="394">
        <v>31730058</v>
      </c>
      <c r="F338" s="18" t="s">
        <v>181</v>
      </c>
      <c r="G338" s="396" t="s">
        <v>157</v>
      </c>
      <c r="H338" s="100" t="s">
        <v>631</v>
      </c>
      <c r="I338" s="386">
        <v>46041</v>
      </c>
      <c r="J338" s="100" t="s">
        <v>11</v>
      </c>
      <c r="K338" s="3">
        <v>46050</v>
      </c>
      <c r="L338" s="18" t="s">
        <v>10</v>
      </c>
      <c r="M338" s="6">
        <v>140</v>
      </c>
      <c r="N338" s="3">
        <f>IFERROR(INDEX(Tableau6[],MATCH(Tableau3[[#This Row],[FACTURE]],Tableau6[NUM DE FACTURE],0),4),"")</f>
        <v>140</v>
      </c>
      <c r="O338" t="str">
        <f>IF(Tableau3[[#This Row],[CLIENTS]]="","",CONCATENATE(Tableau3[[#This Row],[MODE ]]," ",Tableau3[[#This Row],[ETS PAYEUR]]," ","F/",Tableau3[[#This Row],[FACTURE]]))</f>
        <v>CHEQUE ORABANK F/140</v>
      </c>
      <c r="Q338">
        <f>+ROW()-ROW(Tableau3[[#Headers],[N° LIGNE_RF]])</f>
        <v>335</v>
      </c>
      <c r="R338" s="6">
        <f>IF(Tableau3[[#This Row],[REFERENCE ]]="","",MATCH(Tableau3[[#This Row],[REFERENCE ]],Tableau3[[REFERENCE ]],0))</f>
        <v>320</v>
      </c>
      <c r="S338"/>
      <c r="X338" s="70"/>
      <c r="Y338"/>
      <c r="Z338" s="3"/>
      <c r="AA338"/>
      <c r="AE338" s="70"/>
      <c r="AG338"/>
    </row>
    <row r="339" spans="1:33" x14ac:dyDescent="0.2">
      <c r="A339" t="s">
        <v>100</v>
      </c>
      <c r="B339" t="s">
        <v>138</v>
      </c>
      <c r="C339" t="s">
        <v>60</v>
      </c>
      <c r="D339" s="398" t="s">
        <v>84</v>
      </c>
      <c r="E339" s="394">
        <v>32432300</v>
      </c>
      <c r="F339" s="18" t="s">
        <v>181</v>
      </c>
      <c r="G339" s="396" t="s">
        <v>157</v>
      </c>
      <c r="H339" s="100" t="s">
        <v>631</v>
      </c>
      <c r="I339" s="386">
        <v>46041</v>
      </c>
      <c r="J339" s="100" t="s">
        <v>11</v>
      </c>
      <c r="K339" s="3">
        <v>46050</v>
      </c>
      <c r="L339" s="18" t="s">
        <v>10</v>
      </c>
      <c r="M339" s="6">
        <v>94</v>
      </c>
      <c r="N339" s="3">
        <f>IFERROR(INDEX(Tableau6[],MATCH(Tableau3[[#This Row],[FACTURE]],Tableau6[NUM DE FACTURE],0),4),"")</f>
        <v>94</v>
      </c>
      <c r="O339" t="str">
        <f>IF(Tableau3[[#This Row],[CLIENTS]]="","",CONCATENATE(Tableau3[[#This Row],[MODE ]]," ",Tableau3[[#This Row],[ETS PAYEUR]]," ","F/",Tableau3[[#This Row],[FACTURE]]))</f>
        <v>CHEQUE ORABANK F/94</v>
      </c>
      <c r="Q339">
        <f>+ROW()-ROW(Tableau3[[#Headers],[N° LIGNE_RF]])</f>
        <v>336</v>
      </c>
      <c r="R339" s="6">
        <f>IF(Tableau3[[#This Row],[REFERENCE ]]="","",MATCH(Tableau3[[#This Row],[REFERENCE ]],Tableau3[[REFERENCE ]],0))</f>
        <v>320</v>
      </c>
      <c r="S339"/>
      <c r="X339" s="70"/>
      <c r="Y339"/>
      <c r="Z339" s="3"/>
      <c r="AA339"/>
      <c r="AE339" s="70"/>
      <c r="AG339"/>
    </row>
    <row r="340" spans="1:33" x14ac:dyDescent="0.2">
      <c r="A340" t="s">
        <v>100</v>
      </c>
      <c r="B340" t="s">
        <v>138</v>
      </c>
      <c r="C340" t="s">
        <v>60</v>
      </c>
      <c r="D340" s="398" t="s">
        <v>84</v>
      </c>
      <c r="E340" s="394">
        <v>3551800</v>
      </c>
      <c r="F340" s="18" t="s">
        <v>182</v>
      </c>
      <c r="G340" s="396" t="s">
        <v>157</v>
      </c>
      <c r="H340" s="100" t="s">
        <v>702</v>
      </c>
      <c r="I340" s="386">
        <v>46057</v>
      </c>
      <c r="J340" s="100" t="s">
        <v>11</v>
      </c>
      <c r="K340" s="3">
        <v>46057</v>
      </c>
      <c r="L340" s="18" t="s">
        <v>10</v>
      </c>
      <c r="M340" s="6">
        <v>25000000015</v>
      </c>
      <c r="N340" s="3">
        <f>IFERROR(INDEX(Tableau6[],MATCH(Tableau3[[#This Row],[FACTURE]],Tableau6[NUM DE FACTURE],0),4),"")</f>
        <v>25000000015</v>
      </c>
      <c r="O340" t="str">
        <f>IF(Tableau3[[#This Row],[CLIENTS]]="","",CONCATENATE(Tableau3[[#This Row],[MODE ]]," ",Tableau3[[#This Row],[ETS PAYEUR]]," ","F/",Tableau3[[#This Row],[FACTURE]]))</f>
        <v>CHEQUE ORABANK F/25000000015</v>
      </c>
      <c r="Q340">
        <f>+ROW()-ROW(Tableau3[[#Headers],[N° LIGNE_RF]])</f>
        <v>337</v>
      </c>
      <c r="R340" s="6">
        <f>IF(Tableau3[[#This Row],[REFERENCE ]]="","",MATCH(Tableau3[[#This Row],[REFERENCE ]],Tableau3[[REFERENCE ]],0))</f>
        <v>337</v>
      </c>
      <c r="S340"/>
      <c r="X340" s="70"/>
      <c r="Y340"/>
      <c r="Z340" s="3"/>
      <c r="AA340"/>
      <c r="AE340" s="70"/>
      <c r="AG340"/>
    </row>
    <row r="341" spans="1:33" x14ac:dyDescent="0.2">
      <c r="A341" t="s">
        <v>100</v>
      </c>
      <c r="B341" t="s">
        <v>138</v>
      </c>
      <c r="C341" t="s">
        <v>60</v>
      </c>
      <c r="D341" s="398" t="s">
        <v>84</v>
      </c>
      <c r="E341" s="394">
        <v>1062000</v>
      </c>
      <c r="F341" s="18" t="s">
        <v>182</v>
      </c>
      <c r="G341" s="396" t="s">
        <v>157</v>
      </c>
      <c r="H341" s="100" t="s">
        <v>702</v>
      </c>
      <c r="I341" s="386">
        <v>46057</v>
      </c>
      <c r="J341" s="100" t="s">
        <v>11</v>
      </c>
      <c r="K341" s="3">
        <v>46057</v>
      </c>
      <c r="L341" s="18" t="s">
        <v>10</v>
      </c>
      <c r="M341" s="6">
        <v>25000000016</v>
      </c>
      <c r="N341" s="3">
        <f>IFERROR(INDEX(Tableau6[],MATCH(Tableau3[[#This Row],[FACTURE]],Tableau6[NUM DE FACTURE],0),4),"")</f>
        <v>25000000016</v>
      </c>
      <c r="O341" t="str">
        <f>IF(Tableau3[[#This Row],[CLIENTS]]="","",CONCATENATE(Tableau3[[#This Row],[MODE ]]," ",Tableau3[[#This Row],[ETS PAYEUR]]," ","F/",Tableau3[[#This Row],[FACTURE]]))</f>
        <v>CHEQUE ORABANK F/25000000016</v>
      </c>
      <c r="Q341">
        <f>+ROW()-ROW(Tableau3[[#Headers],[N° LIGNE_RF]])</f>
        <v>338</v>
      </c>
      <c r="R341" s="6">
        <f>IF(Tableau3[[#This Row],[REFERENCE ]]="","",MATCH(Tableau3[[#This Row],[REFERENCE ]],Tableau3[[REFERENCE ]],0))</f>
        <v>337</v>
      </c>
      <c r="S341"/>
      <c r="X341" s="70"/>
      <c r="Y341"/>
      <c r="Z341" s="3"/>
      <c r="AA341"/>
      <c r="AE341" s="70"/>
      <c r="AG341"/>
    </row>
    <row r="342" spans="1:33" x14ac:dyDescent="0.2">
      <c r="A342" t="s">
        <v>100</v>
      </c>
      <c r="B342" t="s">
        <v>138</v>
      </c>
      <c r="C342" t="s">
        <v>60</v>
      </c>
      <c r="D342" s="398" t="s">
        <v>84</v>
      </c>
      <c r="E342" s="394">
        <v>2171200</v>
      </c>
      <c r="F342" s="18" t="s">
        <v>182</v>
      </c>
      <c r="G342" s="396" t="s">
        <v>157</v>
      </c>
      <c r="H342" s="100" t="s">
        <v>702</v>
      </c>
      <c r="I342" s="386">
        <v>46057</v>
      </c>
      <c r="J342" s="100" t="s">
        <v>11</v>
      </c>
      <c r="K342" s="3">
        <v>46057</v>
      </c>
      <c r="L342" s="18" t="s">
        <v>10</v>
      </c>
      <c r="M342" s="6">
        <v>111</v>
      </c>
      <c r="N342" s="3">
        <f>IFERROR(INDEX(Tableau6[],MATCH(Tableau3[[#This Row],[FACTURE]],Tableau6[NUM DE FACTURE],0),4),"")</f>
        <v>111</v>
      </c>
      <c r="O342" t="str">
        <f>IF(Tableau3[[#This Row],[CLIENTS]]="","",CONCATENATE(Tableau3[[#This Row],[MODE ]]," ",Tableau3[[#This Row],[ETS PAYEUR]]," ","F/",Tableau3[[#This Row],[FACTURE]]))</f>
        <v>CHEQUE ORABANK F/111</v>
      </c>
      <c r="Q342">
        <f>+ROW()-ROW(Tableau3[[#Headers],[N° LIGNE_RF]])</f>
        <v>339</v>
      </c>
      <c r="R342" s="6">
        <f>IF(Tableau3[[#This Row],[REFERENCE ]]="","",MATCH(Tableau3[[#This Row],[REFERENCE ]],Tableau3[[REFERENCE ]],0))</f>
        <v>337</v>
      </c>
      <c r="S342"/>
      <c r="X342" s="70"/>
      <c r="Y342"/>
      <c r="Z342" s="3"/>
      <c r="AA342"/>
      <c r="AE342" s="70"/>
      <c r="AG342"/>
    </row>
    <row r="343" spans="1:33" x14ac:dyDescent="0.2">
      <c r="A343" t="s">
        <v>100</v>
      </c>
      <c r="B343" t="s">
        <v>138</v>
      </c>
      <c r="C343" t="s">
        <v>60</v>
      </c>
      <c r="D343" s="398" t="s">
        <v>84</v>
      </c>
      <c r="E343" s="394">
        <v>8850019</v>
      </c>
      <c r="F343" s="18" t="s">
        <v>178</v>
      </c>
      <c r="G343" s="396" t="s">
        <v>157</v>
      </c>
      <c r="H343" s="100" t="s">
        <v>702</v>
      </c>
      <c r="I343" s="386">
        <v>46057</v>
      </c>
      <c r="J343" s="100" t="s">
        <v>11</v>
      </c>
      <c r="K343" s="3">
        <v>46057</v>
      </c>
      <c r="L343" s="18" t="s">
        <v>10</v>
      </c>
      <c r="M343" s="6">
        <v>135</v>
      </c>
      <c r="N343" s="3">
        <f>IFERROR(INDEX(Tableau6[],MATCH(Tableau3[[#This Row],[FACTURE]],Tableau6[NUM DE FACTURE],0),4),"")</f>
        <v>135</v>
      </c>
      <c r="O343" t="str">
        <f>IF(Tableau3[[#This Row],[CLIENTS]]="","",CONCATENATE(Tableau3[[#This Row],[MODE ]]," ",Tableau3[[#This Row],[ETS PAYEUR]]," ","F/",Tableau3[[#This Row],[FACTURE]]))</f>
        <v>CHEQUE ORABANK F/135</v>
      </c>
      <c r="Q343">
        <f>+ROW()-ROW(Tableau3[[#Headers],[N° LIGNE_RF]])</f>
        <v>340</v>
      </c>
      <c r="R343" s="6">
        <f>IF(Tableau3[[#This Row],[REFERENCE ]]="","",MATCH(Tableau3[[#This Row],[REFERENCE ]],Tableau3[[REFERENCE ]],0))</f>
        <v>337</v>
      </c>
      <c r="S343"/>
      <c r="X343" s="70"/>
      <c r="Y343"/>
      <c r="Z343" s="3"/>
      <c r="AA343"/>
      <c r="AE343" s="70"/>
      <c r="AG343"/>
    </row>
    <row r="344" spans="1:33" x14ac:dyDescent="0.2">
      <c r="A344" t="s">
        <v>100</v>
      </c>
      <c r="B344" t="s">
        <v>138</v>
      </c>
      <c r="C344" t="s">
        <v>60</v>
      </c>
      <c r="D344" s="398" t="s">
        <v>84</v>
      </c>
      <c r="E344" s="394">
        <v>7416300</v>
      </c>
      <c r="F344" s="18" t="s">
        <v>180</v>
      </c>
      <c r="G344" s="396" t="s">
        <v>157</v>
      </c>
      <c r="H344" s="100" t="s">
        <v>702</v>
      </c>
      <c r="I344" s="386">
        <v>46057</v>
      </c>
      <c r="J344" s="100" t="s">
        <v>11</v>
      </c>
      <c r="K344" s="3">
        <v>46057</v>
      </c>
      <c r="L344" s="18" t="s">
        <v>10</v>
      </c>
      <c r="M344" s="6">
        <v>25000000002</v>
      </c>
      <c r="N344" s="3">
        <f>IFERROR(INDEX(Tableau6[],MATCH(Tableau3[[#This Row],[FACTURE]],Tableau6[NUM DE FACTURE],0),4),"")</f>
        <v>25000000002</v>
      </c>
      <c r="O344" t="str">
        <f>IF(Tableau3[[#This Row],[CLIENTS]]="","",CONCATENATE(Tableau3[[#This Row],[MODE ]]," ",Tableau3[[#This Row],[ETS PAYEUR]]," ","F/",Tableau3[[#This Row],[FACTURE]]))</f>
        <v>CHEQUE ORABANK F/25000000002</v>
      </c>
      <c r="Q344">
        <f>+ROW()-ROW(Tableau3[[#Headers],[N° LIGNE_RF]])</f>
        <v>341</v>
      </c>
      <c r="R344" s="6">
        <f>IF(Tableau3[[#This Row],[REFERENCE ]]="","",MATCH(Tableau3[[#This Row],[REFERENCE ]],Tableau3[[REFERENCE ]],0))</f>
        <v>337</v>
      </c>
      <c r="S344"/>
      <c r="X344" s="70"/>
      <c r="Y344"/>
      <c r="Z344" s="3"/>
      <c r="AA344"/>
      <c r="AE344" s="70"/>
      <c r="AG344"/>
    </row>
    <row r="345" spans="1:33" x14ac:dyDescent="0.2">
      <c r="A345" t="s">
        <v>100</v>
      </c>
      <c r="B345" t="s">
        <v>138</v>
      </c>
      <c r="C345" t="s">
        <v>60</v>
      </c>
      <c r="D345" s="398" t="s">
        <v>84</v>
      </c>
      <c r="E345" s="394">
        <v>27735546</v>
      </c>
      <c r="F345" s="18" t="s">
        <v>180</v>
      </c>
      <c r="G345" s="396" t="s">
        <v>157</v>
      </c>
      <c r="H345" s="100" t="s">
        <v>702</v>
      </c>
      <c r="I345" s="386">
        <v>46057</v>
      </c>
      <c r="J345" s="100" t="s">
        <v>11</v>
      </c>
      <c r="K345" s="3">
        <v>46057</v>
      </c>
      <c r="L345" s="18" t="s">
        <v>10</v>
      </c>
      <c r="M345" s="6">
        <v>25000000003</v>
      </c>
      <c r="N345" s="3">
        <f>IFERROR(INDEX(Tableau6[],MATCH(Tableau3[[#This Row],[FACTURE]],Tableau6[NUM DE FACTURE],0),4),"")</f>
        <v>25000000003</v>
      </c>
      <c r="O345" t="str">
        <f>IF(Tableau3[[#This Row],[CLIENTS]]="","",CONCATENATE(Tableau3[[#This Row],[MODE ]]," ",Tableau3[[#This Row],[ETS PAYEUR]]," ","F/",Tableau3[[#This Row],[FACTURE]]))</f>
        <v>CHEQUE ORABANK F/25000000003</v>
      </c>
      <c r="Q345">
        <f>+ROW()-ROW(Tableau3[[#Headers],[N° LIGNE_RF]])</f>
        <v>342</v>
      </c>
      <c r="R345" s="6">
        <f>IF(Tableau3[[#This Row],[REFERENCE ]]="","",MATCH(Tableau3[[#This Row],[REFERENCE ]],Tableau3[[REFERENCE ]],0))</f>
        <v>337</v>
      </c>
      <c r="S345"/>
      <c r="X345" s="70"/>
      <c r="Y345"/>
      <c r="Z345" s="3"/>
      <c r="AA345"/>
      <c r="AE345" s="70"/>
      <c r="AG345"/>
    </row>
    <row r="346" spans="1:33" x14ac:dyDescent="0.2">
      <c r="A346" t="s">
        <v>100</v>
      </c>
      <c r="B346" t="s">
        <v>138</v>
      </c>
      <c r="C346" t="s">
        <v>60</v>
      </c>
      <c r="D346" s="398" t="s">
        <v>84</v>
      </c>
      <c r="E346" s="394">
        <v>12508000</v>
      </c>
      <c r="F346" s="18" t="s">
        <v>186</v>
      </c>
      <c r="G346" s="396" t="s">
        <v>157</v>
      </c>
      <c r="H346" s="100" t="s">
        <v>702</v>
      </c>
      <c r="I346" s="386">
        <v>46057</v>
      </c>
      <c r="J346" s="100" t="s">
        <v>11</v>
      </c>
      <c r="K346" s="3">
        <v>46057</v>
      </c>
      <c r="L346" s="18" t="s">
        <v>10</v>
      </c>
      <c r="M346" s="6">
        <v>26000000010</v>
      </c>
      <c r="N346" s="3">
        <f>IFERROR(INDEX(Tableau6[],MATCH(Tableau3[[#This Row],[FACTURE]],Tableau6[NUM DE FACTURE],0),4),"")</f>
        <v>26000000010</v>
      </c>
      <c r="O346" t="str">
        <f>IF(Tableau3[[#This Row],[CLIENTS]]="","",CONCATENATE(Tableau3[[#This Row],[MODE ]]," ",Tableau3[[#This Row],[ETS PAYEUR]]," ","F/",Tableau3[[#This Row],[FACTURE]]))</f>
        <v>CHEQUE ORABANK F/26000000010</v>
      </c>
      <c r="Q346">
        <f>+ROW()-ROW(Tableau3[[#Headers],[N° LIGNE_RF]])</f>
        <v>343</v>
      </c>
      <c r="R346" s="6">
        <f>IF(Tableau3[[#This Row],[REFERENCE ]]="","",MATCH(Tableau3[[#This Row],[REFERENCE ]],Tableau3[[REFERENCE ]],0))</f>
        <v>337</v>
      </c>
      <c r="S346"/>
      <c r="X346" s="70"/>
      <c r="Y346"/>
      <c r="Z346" s="3"/>
      <c r="AA346"/>
      <c r="AE346" s="70"/>
      <c r="AG346"/>
    </row>
    <row r="347" spans="1:33" x14ac:dyDescent="0.2">
      <c r="A347" t="s">
        <v>100</v>
      </c>
      <c r="B347" t="s">
        <v>138</v>
      </c>
      <c r="C347" t="s">
        <v>60</v>
      </c>
      <c r="D347" s="398" t="s">
        <v>84</v>
      </c>
      <c r="E347" s="394">
        <v>2336400</v>
      </c>
      <c r="F347" s="18" t="s">
        <v>188</v>
      </c>
      <c r="G347" s="396" t="s">
        <v>157</v>
      </c>
      <c r="H347" s="100" t="s">
        <v>702</v>
      </c>
      <c r="I347" s="386">
        <v>46057</v>
      </c>
      <c r="J347" s="100" t="s">
        <v>11</v>
      </c>
      <c r="K347" s="3">
        <v>46057</v>
      </c>
      <c r="L347" s="18" t="s">
        <v>10</v>
      </c>
      <c r="M347" s="6">
        <v>26000000011</v>
      </c>
      <c r="N347" s="3">
        <f>IFERROR(INDEX(Tableau6[],MATCH(Tableau3[[#This Row],[FACTURE]],Tableau6[NUM DE FACTURE],0),4),"")</f>
        <v>26000000011</v>
      </c>
      <c r="O347" t="str">
        <f>IF(Tableau3[[#This Row],[CLIENTS]]="","",CONCATENATE(Tableau3[[#This Row],[MODE ]]," ",Tableau3[[#This Row],[ETS PAYEUR]]," ","F/",Tableau3[[#This Row],[FACTURE]]))</f>
        <v>CHEQUE ORABANK F/26000000011</v>
      </c>
      <c r="Q347">
        <f>+ROW()-ROW(Tableau3[[#Headers],[N° LIGNE_RF]])</f>
        <v>344</v>
      </c>
      <c r="R347" s="6">
        <f>IF(Tableau3[[#This Row],[REFERENCE ]]="","",MATCH(Tableau3[[#This Row],[REFERENCE ]],Tableau3[[REFERENCE ]],0))</f>
        <v>337</v>
      </c>
      <c r="S347"/>
      <c r="X347" s="70"/>
      <c r="Y347"/>
      <c r="Z347" s="3"/>
      <c r="AA347"/>
      <c r="AE347" s="70"/>
      <c r="AG347"/>
    </row>
    <row r="348" spans="1:33" x14ac:dyDescent="0.2">
      <c r="A348" t="s">
        <v>100</v>
      </c>
      <c r="B348" t="s">
        <v>138</v>
      </c>
      <c r="C348" t="s">
        <v>60</v>
      </c>
      <c r="D348" s="398" t="s">
        <v>84</v>
      </c>
      <c r="E348" s="394">
        <v>24378800</v>
      </c>
      <c r="F348" s="18" t="s">
        <v>178</v>
      </c>
      <c r="G348" s="396" t="s">
        <v>157</v>
      </c>
      <c r="H348" s="100" t="s">
        <v>702</v>
      </c>
      <c r="I348" s="386">
        <v>46057</v>
      </c>
      <c r="J348" s="100" t="s">
        <v>11</v>
      </c>
      <c r="K348" s="3">
        <v>46057</v>
      </c>
      <c r="L348" s="18" t="s">
        <v>10</v>
      </c>
      <c r="M348" s="6">
        <v>26000000006</v>
      </c>
      <c r="N348" s="3">
        <f>IFERROR(INDEX(Tableau6[],MATCH(Tableau3[[#This Row],[FACTURE]],Tableau6[NUM DE FACTURE],0),4),"")</f>
        <v>26000000006</v>
      </c>
      <c r="O348" t="str">
        <f>IF(Tableau3[[#This Row],[CLIENTS]]="","",CONCATENATE(Tableau3[[#This Row],[MODE ]]," ",Tableau3[[#This Row],[ETS PAYEUR]]," ","F/",Tableau3[[#This Row],[FACTURE]]))</f>
        <v>CHEQUE ORABANK F/26000000006</v>
      </c>
      <c r="Q348">
        <f>+ROW()-ROW(Tableau3[[#Headers],[N° LIGNE_RF]])</f>
        <v>345</v>
      </c>
      <c r="R348" s="6">
        <f>IF(Tableau3[[#This Row],[REFERENCE ]]="","",MATCH(Tableau3[[#This Row],[REFERENCE ]],Tableau3[[REFERENCE ]],0))</f>
        <v>337</v>
      </c>
      <c r="S348"/>
      <c r="X348" s="70"/>
      <c r="Y348"/>
      <c r="Z348" s="3"/>
      <c r="AA348"/>
      <c r="AE348" s="70"/>
      <c r="AG348"/>
    </row>
    <row r="349" spans="1:33" x14ac:dyDescent="0.2">
      <c r="A349" t="s">
        <v>100</v>
      </c>
      <c r="B349" t="s">
        <v>138</v>
      </c>
      <c r="C349" t="s">
        <v>60</v>
      </c>
      <c r="D349" s="398" t="s">
        <v>84</v>
      </c>
      <c r="E349" s="394">
        <v>28438000</v>
      </c>
      <c r="F349" s="18" t="s">
        <v>181</v>
      </c>
      <c r="G349" s="396" t="s">
        <v>157</v>
      </c>
      <c r="H349" s="100" t="s">
        <v>702</v>
      </c>
      <c r="I349" s="386">
        <v>46057</v>
      </c>
      <c r="J349" s="100" t="s">
        <v>11</v>
      </c>
      <c r="K349" s="3">
        <v>46057</v>
      </c>
      <c r="L349" s="18" t="s">
        <v>10</v>
      </c>
      <c r="M349" s="6">
        <v>26000000007</v>
      </c>
      <c r="N349" s="3">
        <f>IFERROR(INDEX(Tableau6[],MATCH(Tableau3[[#This Row],[FACTURE]],Tableau6[NUM DE FACTURE],0),4),"")</f>
        <v>26000000007</v>
      </c>
      <c r="O349" t="str">
        <f>IF(Tableau3[[#This Row],[CLIENTS]]="","",CONCATENATE(Tableau3[[#This Row],[MODE ]]," ",Tableau3[[#This Row],[ETS PAYEUR]]," ","F/",Tableau3[[#This Row],[FACTURE]]))</f>
        <v>CHEQUE ORABANK F/26000000007</v>
      </c>
      <c r="Q349">
        <f>+ROW()-ROW(Tableau3[[#Headers],[N° LIGNE_RF]])</f>
        <v>346</v>
      </c>
      <c r="R349" s="6">
        <f>IF(Tableau3[[#This Row],[REFERENCE ]]="","",MATCH(Tableau3[[#This Row],[REFERENCE ]],Tableau3[[REFERENCE ]],0))</f>
        <v>337</v>
      </c>
      <c r="S349"/>
      <c r="X349" s="70"/>
      <c r="Y349"/>
      <c r="Z349" s="3"/>
      <c r="AA349"/>
      <c r="AE349" s="70"/>
      <c r="AG349"/>
    </row>
    <row r="350" spans="1:33" x14ac:dyDescent="0.2">
      <c r="A350" t="s">
        <v>100</v>
      </c>
      <c r="B350" t="s">
        <v>138</v>
      </c>
      <c r="C350" t="s">
        <v>60</v>
      </c>
      <c r="D350" s="398" t="s">
        <v>84</v>
      </c>
      <c r="E350" s="394">
        <v>7221600</v>
      </c>
      <c r="F350" s="18" t="s">
        <v>180</v>
      </c>
      <c r="G350" s="396" t="s">
        <v>157</v>
      </c>
      <c r="H350" s="100" t="s">
        <v>702</v>
      </c>
      <c r="I350" s="386">
        <v>46057</v>
      </c>
      <c r="J350" s="100" t="s">
        <v>11</v>
      </c>
      <c r="K350" s="3">
        <v>46057</v>
      </c>
      <c r="L350" s="18" t="s">
        <v>10</v>
      </c>
      <c r="M350" s="6">
        <v>26000000008</v>
      </c>
      <c r="N350" s="3">
        <f>IFERROR(INDEX(Tableau6[],MATCH(Tableau3[[#This Row],[FACTURE]],Tableau6[NUM DE FACTURE],0),4),"")</f>
        <v>26000000008</v>
      </c>
      <c r="O350" t="str">
        <f>IF(Tableau3[[#This Row],[CLIENTS]]="","",CONCATENATE(Tableau3[[#This Row],[MODE ]]," ",Tableau3[[#This Row],[ETS PAYEUR]]," ","F/",Tableau3[[#This Row],[FACTURE]]))</f>
        <v>CHEQUE ORABANK F/26000000008</v>
      </c>
      <c r="Q350">
        <f>+ROW()-ROW(Tableau3[[#Headers],[N° LIGNE_RF]])</f>
        <v>347</v>
      </c>
      <c r="R350" s="6">
        <f>IF(Tableau3[[#This Row],[REFERENCE ]]="","",MATCH(Tableau3[[#This Row],[REFERENCE ]],Tableau3[[REFERENCE ]],0))</f>
        <v>337</v>
      </c>
      <c r="S350"/>
      <c r="X350" s="70"/>
      <c r="Y350"/>
      <c r="Z350" s="3"/>
      <c r="AA350"/>
      <c r="AE350" s="70"/>
      <c r="AG350"/>
    </row>
    <row r="351" spans="1:33" x14ac:dyDescent="0.2">
      <c r="A351" t="s">
        <v>100</v>
      </c>
      <c r="B351" t="s">
        <v>106</v>
      </c>
      <c r="C351" t="s">
        <v>60</v>
      </c>
      <c r="D351" s="398" t="s">
        <v>84</v>
      </c>
      <c r="E351" s="481">
        <v>6926600</v>
      </c>
      <c r="F351" s="18" t="s">
        <v>431</v>
      </c>
      <c r="G351" s="396" t="s">
        <v>157</v>
      </c>
      <c r="H351" s="100" t="s">
        <v>814</v>
      </c>
      <c r="I351" s="386">
        <v>46063</v>
      </c>
      <c r="J351" s="100" t="s">
        <v>815</v>
      </c>
      <c r="K351" s="3">
        <v>46066</v>
      </c>
      <c r="L351" s="18" t="s">
        <v>13</v>
      </c>
      <c r="M351" s="6">
        <v>26000000015</v>
      </c>
      <c r="N351" s="3">
        <f>IFERROR(INDEX(Tableau6[],MATCH(Tableau3[[#This Row],[FACTURE]],Tableau6[NUM DE FACTURE],0),4),"")</f>
        <v>26000000015</v>
      </c>
      <c r="O351" t="str">
        <f>IF(Tableau3[[#This Row],[CLIENTS]]="","",CONCATENATE(Tableau3[[#This Row],[MODE ]]," ",Tableau3[[#This Row],[ETS PAYEUR]]," ","F/",Tableau3[[#This Row],[FACTURE]]))</f>
        <v>CHEQUE BA F/26000000015</v>
      </c>
      <c r="Q351">
        <f>+ROW()-ROW(Tableau3[[#Headers],[N° LIGNE_RF]])</f>
        <v>348</v>
      </c>
      <c r="R351" s="6">
        <f>IF(Tableau3[[#This Row],[REFERENCE ]]="","",MATCH(Tableau3[[#This Row],[REFERENCE ]],Tableau3[[REFERENCE ]],0))</f>
        <v>348</v>
      </c>
      <c r="S351"/>
      <c r="X351" s="70"/>
      <c r="Y351"/>
      <c r="Z351" s="3"/>
      <c r="AA351"/>
      <c r="AE351" s="70"/>
      <c r="AG351"/>
    </row>
    <row r="352" spans="1:33" x14ac:dyDescent="0.2">
      <c r="A352" t="s">
        <v>100</v>
      </c>
      <c r="B352" t="s">
        <v>732</v>
      </c>
      <c r="C352" t="s">
        <v>60</v>
      </c>
      <c r="D352" s="398" t="s">
        <v>84</v>
      </c>
      <c r="E352" s="394">
        <v>3540000</v>
      </c>
      <c r="F352" s="18" t="s">
        <v>737</v>
      </c>
      <c r="G352" s="396" t="s">
        <v>157</v>
      </c>
      <c r="H352" s="100" t="s">
        <v>738</v>
      </c>
      <c r="I352" s="386">
        <v>46069</v>
      </c>
      <c r="J352" s="100" t="s">
        <v>739</v>
      </c>
      <c r="K352" s="3">
        <v>46070</v>
      </c>
      <c r="L352" s="18" t="s">
        <v>13</v>
      </c>
      <c r="M352" s="6" t="s">
        <v>740</v>
      </c>
      <c r="N352" s="3" t="str">
        <f>IFERROR(INDEX(Tableau6[],MATCH(Tableau3[[#This Row],[FACTURE]],Tableau6[NUM DE FACTURE],0),4),"")</f>
        <v/>
      </c>
      <c r="O352" t="str">
        <f>IF(Tableau3[[#This Row],[CLIENTS]]="","",CONCATENATE(Tableau3[[#This Row],[MODE ]]," ",Tableau3[[#This Row],[ETS PAYEUR]]," ","F/",Tableau3[[#This Row],[FACTURE]]))</f>
        <v>CHEQUE VERSUS BANK F/AVANCE</v>
      </c>
      <c r="Q352">
        <f>+ROW()-ROW(Tableau3[[#Headers],[N° LIGNE_RF]])</f>
        <v>349</v>
      </c>
      <c r="R352" s="6">
        <f>IF(Tableau3[[#This Row],[REFERENCE ]]="","",MATCH(Tableau3[[#This Row],[REFERENCE ]],Tableau3[[REFERENCE ]],0))</f>
        <v>349</v>
      </c>
      <c r="S352"/>
      <c r="X352" s="70"/>
      <c r="Y352"/>
      <c r="Z352" s="3"/>
      <c r="AA352"/>
      <c r="AE352" s="70"/>
      <c r="AG352"/>
    </row>
    <row r="353" spans="1:33" x14ac:dyDescent="0.2">
      <c r="A353" t="s">
        <v>100</v>
      </c>
      <c r="B353" t="s">
        <v>138</v>
      </c>
      <c r="C353" t="s">
        <v>60</v>
      </c>
      <c r="D353" s="398" t="s">
        <v>84</v>
      </c>
      <c r="E353" s="481">
        <v>6510000</v>
      </c>
      <c r="F353" s="18" t="s">
        <v>629</v>
      </c>
      <c r="G353" s="396" t="s">
        <v>157</v>
      </c>
      <c r="H353" s="100" t="s">
        <v>809</v>
      </c>
      <c r="I353" s="386">
        <v>46084</v>
      </c>
      <c r="J353" s="100" t="s">
        <v>17</v>
      </c>
      <c r="K353" s="3">
        <v>46100</v>
      </c>
      <c r="L353" s="18" t="s">
        <v>10</v>
      </c>
      <c r="M353" s="6">
        <v>123</v>
      </c>
      <c r="N353" s="3">
        <f>IFERROR(INDEX(Tableau6[],MATCH(Tableau3[[#This Row],[FACTURE]],Tableau6[NUM DE FACTURE],0),4),"")</f>
        <v>123</v>
      </c>
      <c r="O353" t="str">
        <f>IF(Tableau3[[#This Row],[CLIENTS]]="","",CONCATENATE(Tableau3[[#This Row],[MODE ]]," ",Tableau3[[#This Row],[ETS PAYEUR]]," ","F/",Tableau3[[#This Row],[FACTURE]]))</f>
        <v>CHEQUE BGFIBANK F/123</v>
      </c>
      <c r="Q353">
        <f>+ROW()-ROW(Tableau3[[#Headers],[N° LIGNE_RF]])</f>
        <v>350</v>
      </c>
      <c r="R353" s="6">
        <f>IF(Tableau3[[#This Row],[REFERENCE ]]="","",MATCH(Tableau3[[#This Row],[REFERENCE ]],Tableau3[[REFERENCE ]],0))</f>
        <v>350</v>
      </c>
      <c r="S353"/>
      <c r="X353" s="70"/>
      <c r="Y353"/>
      <c r="Z353" s="3"/>
      <c r="AA353"/>
      <c r="AE353" s="70"/>
      <c r="AG353"/>
    </row>
    <row r="354" spans="1:33" x14ac:dyDescent="0.2">
      <c r="A354" t="s">
        <v>100</v>
      </c>
      <c r="B354" t="s">
        <v>138</v>
      </c>
      <c r="C354" t="s">
        <v>60</v>
      </c>
      <c r="D354" s="398" t="s">
        <v>84</v>
      </c>
      <c r="E354" s="481">
        <v>12600000</v>
      </c>
      <c r="F354" s="18" t="s">
        <v>629</v>
      </c>
      <c r="G354" s="396" t="s">
        <v>157</v>
      </c>
      <c r="H354" s="100" t="s">
        <v>809</v>
      </c>
      <c r="I354" s="386">
        <v>46084</v>
      </c>
      <c r="J354" s="100" t="s">
        <v>17</v>
      </c>
      <c r="K354" s="3">
        <v>46100</v>
      </c>
      <c r="L354" s="18" t="s">
        <v>10</v>
      </c>
      <c r="M354" s="6">
        <v>124</v>
      </c>
      <c r="N354" s="3">
        <f>IFERROR(INDEX(Tableau6[],MATCH(Tableau3[[#This Row],[FACTURE]],Tableau6[NUM DE FACTURE],0),4),"")</f>
        <v>124</v>
      </c>
      <c r="O354" t="str">
        <f>IF(Tableau3[[#This Row],[CLIENTS]]="","",CONCATENATE(Tableau3[[#This Row],[MODE ]]," ",Tableau3[[#This Row],[ETS PAYEUR]]," ","F/",Tableau3[[#This Row],[FACTURE]]))</f>
        <v>CHEQUE BGFIBANK F/124</v>
      </c>
      <c r="Q354">
        <f>+ROW()-ROW(Tableau3[[#Headers],[N° LIGNE_RF]])</f>
        <v>351</v>
      </c>
      <c r="R354" s="6">
        <f>IF(Tableau3[[#This Row],[REFERENCE ]]="","",MATCH(Tableau3[[#This Row],[REFERENCE ]],Tableau3[[REFERENCE ]],0))</f>
        <v>350</v>
      </c>
      <c r="S354"/>
      <c r="X354" s="70"/>
      <c r="Y354"/>
      <c r="Z354" s="3"/>
      <c r="AA354"/>
      <c r="AE354" s="70"/>
      <c r="AG354"/>
    </row>
    <row r="355" spans="1:33" x14ac:dyDescent="0.2">
      <c r="A355" t="s">
        <v>100</v>
      </c>
      <c r="B355" t="s">
        <v>138</v>
      </c>
      <c r="C355" t="s">
        <v>60</v>
      </c>
      <c r="D355" s="398" t="s">
        <v>84</v>
      </c>
      <c r="E355" s="483">
        <v>30234550</v>
      </c>
      <c r="F355" s="18" t="s">
        <v>180</v>
      </c>
      <c r="G355" s="396" t="s">
        <v>157</v>
      </c>
      <c r="H355" s="100" t="s">
        <v>742</v>
      </c>
      <c r="I355" s="386">
        <v>46091</v>
      </c>
      <c r="J355" s="100" t="s">
        <v>9</v>
      </c>
      <c r="K355" s="3">
        <v>46092</v>
      </c>
      <c r="L355" s="18" t="s">
        <v>10</v>
      </c>
      <c r="M355" s="6">
        <v>116</v>
      </c>
      <c r="N355" s="3">
        <f>IFERROR(INDEX(Tableau6[],MATCH(Tableau3[[#This Row],[FACTURE]],Tableau6[NUM DE FACTURE],0),4),"")</f>
        <v>116</v>
      </c>
      <c r="O355" t="str">
        <f>IF(Tableau3[[#This Row],[CLIENTS]]="","",CONCATENATE(Tableau3[[#This Row],[MODE ]]," ",Tableau3[[#This Row],[ETS PAYEUR]]," ","F/",Tableau3[[#This Row],[FACTURE]]))</f>
        <v>CHEQUE SGCI F/116</v>
      </c>
      <c r="Q355">
        <f>+ROW()-ROW(Tableau3[[#Headers],[N° LIGNE_RF]])</f>
        <v>352</v>
      </c>
      <c r="R355" s="6">
        <f>IF(Tableau3[[#This Row],[REFERENCE ]]="","",MATCH(Tableau3[[#This Row],[REFERENCE ]],Tableau3[[REFERENCE ]],0))</f>
        <v>352</v>
      </c>
      <c r="S355"/>
      <c r="X355" s="70"/>
      <c r="Y355"/>
      <c r="Z355" s="3"/>
      <c r="AA355"/>
      <c r="AE355" s="70"/>
      <c r="AG355"/>
    </row>
    <row r="356" spans="1:33" x14ac:dyDescent="0.2">
      <c r="A356" t="s">
        <v>100</v>
      </c>
      <c r="B356" t="s">
        <v>138</v>
      </c>
      <c r="C356" t="s">
        <v>60</v>
      </c>
      <c r="D356" s="398" t="s">
        <v>84</v>
      </c>
      <c r="E356" s="483">
        <v>1588752</v>
      </c>
      <c r="F356" s="18" t="s">
        <v>630</v>
      </c>
      <c r="G356" s="396" t="s">
        <v>157</v>
      </c>
      <c r="H356" s="100" t="s">
        <v>742</v>
      </c>
      <c r="I356" s="386">
        <v>46091</v>
      </c>
      <c r="J356" s="100" t="s">
        <v>9</v>
      </c>
      <c r="K356" s="3">
        <v>46092</v>
      </c>
      <c r="L356" s="18" t="s">
        <v>10</v>
      </c>
      <c r="M356" s="6">
        <v>25000000006</v>
      </c>
      <c r="N356" s="3">
        <f>IFERROR(INDEX(Tableau6[],MATCH(Tableau3[[#This Row],[FACTURE]],Tableau6[NUM DE FACTURE],0),4),"")</f>
        <v>25000000006</v>
      </c>
      <c r="O356" t="str">
        <f>IF(Tableau3[[#This Row],[CLIENTS]]="","",CONCATENATE(Tableau3[[#This Row],[MODE ]]," ",Tableau3[[#This Row],[ETS PAYEUR]]," ","F/",Tableau3[[#This Row],[FACTURE]]))</f>
        <v>CHEQUE SGCI F/25000000006</v>
      </c>
      <c r="Q356">
        <f>+ROW()-ROW(Tableau3[[#Headers],[N° LIGNE_RF]])</f>
        <v>353</v>
      </c>
      <c r="R356" s="6">
        <f>IF(Tableau3[[#This Row],[REFERENCE ]]="","",MATCH(Tableau3[[#This Row],[REFERENCE ]],Tableau3[[REFERENCE ]],0))</f>
        <v>352</v>
      </c>
      <c r="S356"/>
      <c r="X356" s="70"/>
      <c r="Y356"/>
      <c r="Z356" s="3"/>
      <c r="AA356"/>
      <c r="AE356" s="70"/>
      <c r="AG356"/>
    </row>
    <row r="357" spans="1:33" x14ac:dyDescent="0.2">
      <c r="A357" t="s">
        <v>100</v>
      </c>
      <c r="B357" t="s">
        <v>138</v>
      </c>
      <c r="C357" t="s">
        <v>60</v>
      </c>
      <c r="D357" s="398" t="s">
        <v>84</v>
      </c>
      <c r="E357" s="483">
        <v>2548800</v>
      </c>
      <c r="F357" s="18" t="s">
        <v>156</v>
      </c>
      <c r="G357" s="396" t="s">
        <v>157</v>
      </c>
      <c r="H357" s="100" t="s">
        <v>742</v>
      </c>
      <c r="I357" s="386">
        <v>46091</v>
      </c>
      <c r="J357" s="100" t="s">
        <v>9</v>
      </c>
      <c r="K357" s="3">
        <v>46092</v>
      </c>
      <c r="L357" s="18" t="s">
        <v>10</v>
      </c>
      <c r="M357" s="6">
        <v>25000000004</v>
      </c>
      <c r="N357" s="3">
        <f>IFERROR(INDEX(Tableau6[],MATCH(Tableau3[[#This Row],[FACTURE]],Tableau6[NUM DE FACTURE],0),4),"")</f>
        <v>25000000004</v>
      </c>
      <c r="O357" t="str">
        <f>IF(Tableau3[[#This Row],[CLIENTS]]="","",CONCATENATE(Tableau3[[#This Row],[MODE ]]," ",Tableau3[[#This Row],[ETS PAYEUR]]," ","F/",Tableau3[[#This Row],[FACTURE]]))</f>
        <v>CHEQUE SGCI F/25000000004</v>
      </c>
      <c r="Q357">
        <f>+ROW()-ROW(Tableau3[[#Headers],[N° LIGNE_RF]])</f>
        <v>354</v>
      </c>
      <c r="R357" s="6">
        <f>IF(Tableau3[[#This Row],[REFERENCE ]]="","",MATCH(Tableau3[[#This Row],[REFERENCE ]],Tableau3[[REFERENCE ]],0))</f>
        <v>352</v>
      </c>
      <c r="S357"/>
      <c r="X357" s="70"/>
      <c r="Y357"/>
      <c r="Z357" s="3"/>
      <c r="AA357"/>
      <c r="AE357" s="70"/>
      <c r="AG357"/>
    </row>
    <row r="358" spans="1:33" x14ac:dyDescent="0.2">
      <c r="A358" t="s">
        <v>100</v>
      </c>
      <c r="B358" t="s">
        <v>138</v>
      </c>
      <c r="C358" t="s">
        <v>60</v>
      </c>
      <c r="D358" s="398" t="s">
        <v>84</v>
      </c>
      <c r="E358" s="483">
        <v>1300000</v>
      </c>
      <c r="F358" s="18" t="s">
        <v>179</v>
      </c>
      <c r="G358" s="396" t="s">
        <v>157</v>
      </c>
      <c r="H358" s="100" t="s">
        <v>742</v>
      </c>
      <c r="I358" s="386">
        <v>46091</v>
      </c>
      <c r="J358" s="100" t="s">
        <v>9</v>
      </c>
      <c r="K358" s="3">
        <v>46092</v>
      </c>
      <c r="L358" s="18" t="s">
        <v>10</v>
      </c>
      <c r="M358" s="6">
        <v>25000000013</v>
      </c>
      <c r="N358" s="3">
        <f>IFERROR(INDEX(Tableau6[],MATCH(Tableau3[[#This Row],[FACTURE]],Tableau6[NUM DE FACTURE],0),4),"")</f>
        <v>25000000013</v>
      </c>
      <c r="O358" t="str">
        <f>IF(Tableau3[[#This Row],[CLIENTS]]="","",CONCATENATE(Tableau3[[#This Row],[MODE ]]," ",Tableau3[[#This Row],[ETS PAYEUR]]," ","F/",Tableau3[[#This Row],[FACTURE]]))</f>
        <v>CHEQUE SGCI F/25000000013</v>
      </c>
      <c r="Q358">
        <f>+ROW()-ROW(Tableau3[[#Headers],[N° LIGNE_RF]])</f>
        <v>355</v>
      </c>
      <c r="R358" s="6">
        <f>IF(Tableau3[[#This Row],[REFERENCE ]]="","",MATCH(Tableau3[[#This Row],[REFERENCE ]],Tableau3[[REFERENCE ]],0))</f>
        <v>352</v>
      </c>
      <c r="S358"/>
      <c r="X358" s="70"/>
      <c r="Y358"/>
      <c r="Z358" s="3"/>
      <c r="AA358"/>
      <c r="AE358" s="70"/>
      <c r="AG358"/>
    </row>
    <row r="359" spans="1:33" x14ac:dyDescent="0.2">
      <c r="A359" t="s">
        <v>100</v>
      </c>
      <c r="B359" t="s">
        <v>138</v>
      </c>
      <c r="C359" t="s">
        <v>60</v>
      </c>
      <c r="D359" s="398" t="s">
        <v>84</v>
      </c>
      <c r="E359" s="394">
        <v>1300000</v>
      </c>
      <c r="F359" s="18" t="s">
        <v>179</v>
      </c>
      <c r="G359" s="396" t="s">
        <v>157</v>
      </c>
      <c r="H359" s="100" t="s">
        <v>742</v>
      </c>
      <c r="I359" s="386">
        <v>46091</v>
      </c>
      <c r="J359" s="100" t="s">
        <v>9</v>
      </c>
      <c r="K359" s="3">
        <v>46092</v>
      </c>
      <c r="L359" s="18" t="s">
        <v>10</v>
      </c>
      <c r="M359" s="6">
        <v>26000000001</v>
      </c>
      <c r="N359" s="3">
        <f>IFERROR(INDEX(Tableau6[],MATCH(Tableau3[[#This Row],[FACTURE]],Tableau6[NUM DE FACTURE],0),4),"")</f>
        <v>26000000001</v>
      </c>
      <c r="O359" t="str">
        <f>IF(Tableau3[[#This Row],[CLIENTS]]="","",CONCATENATE(Tableau3[[#This Row],[MODE ]]," ",Tableau3[[#This Row],[ETS PAYEUR]]," ","F/",Tableau3[[#This Row],[FACTURE]]))</f>
        <v>CHEQUE SGCI F/26000000001</v>
      </c>
      <c r="Q359">
        <f>+ROW()-ROW(Tableau3[[#Headers],[N° LIGNE_RF]])</f>
        <v>356</v>
      </c>
      <c r="R359" s="6">
        <f>IF(Tableau3[[#This Row],[REFERENCE ]]="","",MATCH(Tableau3[[#This Row],[REFERENCE ]],Tableau3[[REFERENCE ]],0))</f>
        <v>352</v>
      </c>
      <c r="S359"/>
      <c r="X359" s="70"/>
      <c r="Y359"/>
      <c r="Z359" s="3"/>
      <c r="AA359"/>
      <c r="AE359" s="70"/>
      <c r="AG359"/>
    </row>
    <row r="360" spans="1:33" x14ac:dyDescent="0.2">
      <c r="A360" t="s">
        <v>100</v>
      </c>
      <c r="B360" t="s">
        <v>138</v>
      </c>
      <c r="C360" t="s">
        <v>60</v>
      </c>
      <c r="D360" s="398" t="s">
        <v>84</v>
      </c>
      <c r="E360" s="481">
        <v>10266019</v>
      </c>
      <c r="F360" s="18" t="s">
        <v>179</v>
      </c>
      <c r="G360" s="396" t="s">
        <v>157</v>
      </c>
      <c r="H360" s="100" t="s">
        <v>742</v>
      </c>
      <c r="I360" s="386">
        <v>46091</v>
      </c>
      <c r="J360" s="100" t="s">
        <v>9</v>
      </c>
      <c r="K360" s="3">
        <v>46092</v>
      </c>
      <c r="L360" s="18" t="s">
        <v>10</v>
      </c>
      <c r="M360" s="6">
        <v>26000000002</v>
      </c>
      <c r="N360" s="3">
        <f>IFERROR(INDEX(Tableau6[],MATCH(Tableau3[[#This Row],[FACTURE]],Tableau6[NUM DE FACTURE],0),4),"")</f>
        <v>26000000002</v>
      </c>
      <c r="O360" t="str">
        <f>IF(Tableau3[[#This Row],[CLIENTS]]="","",CONCATENATE(Tableau3[[#This Row],[MODE ]]," ",Tableau3[[#This Row],[ETS PAYEUR]]," ","F/",Tableau3[[#This Row],[FACTURE]]))</f>
        <v>CHEQUE SGCI F/26000000002</v>
      </c>
      <c r="Q360">
        <f>+ROW()-ROW(Tableau3[[#Headers],[N° LIGNE_RF]])</f>
        <v>357</v>
      </c>
      <c r="R360" s="6">
        <f>IF(Tableau3[[#This Row],[REFERENCE ]]="","",MATCH(Tableau3[[#This Row],[REFERENCE ]],Tableau3[[REFERENCE ]],0))</f>
        <v>352</v>
      </c>
      <c r="S360"/>
      <c r="X360" s="70"/>
      <c r="Y360"/>
      <c r="Z360" s="3"/>
      <c r="AA360"/>
      <c r="AE360" s="70"/>
      <c r="AG360"/>
    </row>
    <row r="361" spans="1:33" x14ac:dyDescent="0.2">
      <c r="A361" t="s">
        <v>100</v>
      </c>
      <c r="B361" t="s">
        <v>138</v>
      </c>
      <c r="C361" t="s">
        <v>60</v>
      </c>
      <c r="D361" s="398" t="s">
        <v>84</v>
      </c>
      <c r="E361" s="481">
        <v>206500</v>
      </c>
      <c r="F361" s="18" t="s">
        <v>202</v>
      </c>
      <c r="G361" s="396" t="s">
        <v>157</v>
      </c>
      <c r="H361" s="100" t="s">
        <v>742</v>
      </c>
      <c r="I361" s="386">
        <v>46091</v>
      </c>
      <c r="J361" s="100" t="s">
        <v>9</v>
      </c>
      <c r="K361" s="3">
        <v>46092</v>
      </c>
      <c r="L361" s="18" t="s">
        <v>10</v>
      </c>
      <c r="M361" s="6">
        <v>26000000013</v>
      </c>
      <c r="N361" s="3">
        <f>IFERROR(INDEX(Tableau6[],MATCH(Tableau3[[#This Row],[FACTURE]],Tableau6[NUM DE FACTURE],0),4),"")</f>
        <v>26000000013</v>
      </c>
      <c r="O361" t="str">
        <f>IF(Tableau3[[#This Row],[CLIENTS]]="","",CONCATENATE(Tableau3[[#This Row],[MODE ]]," ",Tableau3[[#This Row],[ETS PAYEUR]]," ","F/",Tableau3[[#This Row],[FACTURE]]))</f>
        <v>CHEQUE SGCI F/26000000013</v>
      </c>
      <c r="Q361">
        <f>+ROW()-ROW(Tableau3[[#Headers],[N° LIGNE_RF]])</f>
        <v>358</v>
      </c>
      <c r="R361" s="6">
        <f>IF(Tableau3[[#This Row],[REFERENCE ]]="","",MATCH(Tableau3[[#This Row],[REFERENCE ]],Tableau3[[REFERENCE ]],0))</f>
        <v>352</v>
      </c>
      <c r="S361"/>
      <c r="X361" s="70"/>
      <c r="Y361"/>
      <c r="Z361" s="3"/>
      <c r="AA361"/>
      <c r="AE361" s="70"/>
      <c r="AG361"/>
    </row>
    <row r="362" spans="1:33" x14ac:dyDescent="0.2">
      <c r="A362" t="s">
        <v>100</v>
      </c>
      <c r="B362" t="s">
        <v>138</v>
      </c>
      <c r="C362" t="s">
        <v>60</v>
      </c>
      <c r="D362" s="398" t="s">
        <v>84</v>
      </c>
      <c r="E362" s="481">
        <v>1652000</v>
      </c>
      <c r="F362" s="18" t="s">
        <v>181</v>
      </c>
      <c r="G362" s="396" t="s">
        <v>157</v>
      </c>
      <c r="H362" s="100" t="s">
        <v>742</v>
      </c>
      <c r="I362" s="386">
        <v>46091</v>
      </c>
      <c r="J362" s="100" t="s">
        <v>9</v>
      </c>
      <c r="K362" s="3">
        <v>46092</v>
      </c>
      <c r="L362" s="18" t="s">
        <v>10</v>
      </c>
      <c r="M362" s="6">
        <v>26000000003</v>
      </c>
      <c r="N362" s="3">
        <f>IFERROR(INDEX(Tableau6[],MATCH(Tableau3[[#This Row],[FACTURE]],Tableau6[NUM DE FACTURE],0),4),"")</f>
        <v>26000000003</v>
      </c>
      <c r="O362" t="str">
        <f>IF(Tableau3[[#This Row],[CLIENTS]]="","",CONCATENATE(Tableau3[[#This Row],[MODE ]]," ",Tableau3[[#This Row],[ETS PAYEUR]]," ","F/",Tableau3[[#This Row],[FACTURE]]))</f>
        <v>CHEQUE SGCI F/26000000003</v>
      </c>
      <c r="Q362">
        <f>+ROW()-ROW(Tableau3[[#Headers],[N° LIGNE_RF]])</f>
        <v>359</v>
      </c>
      <c r="R362" s="6">
        <f>IF(Tableau3[[#This Row],[REFERENCE ]]="","",MATCH(Tableau3[[#This Row],[REFERENCE ]],Tableau3[[REFERENCE ]],0))</f>
        <v>352</v>
      </c>
      <c r="S362"/>
      <c r="X362" s="70"/>
      <c r="Y362"/>
      <c r="Z362" s="3"/>
      <c r="AA362"/>
      <c r="AE362" s="70"/>
      <c r="AG362"/>
    </row>
    <row r="363" spans="1:33" x14ac:dyDescent="0.2">
      <c r="A363" t="s">
        <v>100</v>
      </c>
      <c r="B363" t="s">
        <v>138</v>
      </c>
      <c r="C363" t="s">
        <v>60</v>
      </c>
      <c r="D363" s="398" t="s">
        <v>84</v>
      </c>
      <c r="E363" s="481">
        <v>1770000</v>
      </c>
      <c r="F363" s="18" t="s">
        <v>178</v>
      </c>
      <c r="G363" s="396" t="s">
        <v>157</v>
      </c>
      <c r="H363" s="100" t="s">
        <v>742</v>
      </c>
      <c r="I363" s="386">
        <v>46091</v>
      </c>
      <c r="J363" s="100" t="s">
        <v>9</v>
      </c>
      <c r="K363" s="3">
        <v>46092</v>
      </c>
      <c r="L363" s="18" t="s">
        <v>10</v>
      </c>
      <c r="M363" s="6">
        <v>26000000004</v>
      </c>
      <c r="N363" s="3">
        <f>IFERROR(INDEX(Tableau6[],MATCH(Tableau3[[#This Row],[FACTURE]],Tableau6[NUM DE FACTURE],0),4),"")</f>
        <v>26000000004</v>
      </c>
      <c r="O363" t="str">
        <f>IF(Tableau3[[#This Row],[CLIENTS]]="","",CONCATENATE(Tableau3[[#This Row],[MODE ]]," ",Tableau3[[#This Row],[ETS PAYEUR]]," ","F/",Tableau3[[#This Row],[FACTURE]]))</f>
        <v>CHEQUE SGCI F/26000000004</v>
      </c>
      <c r="Q363">
        <f>+ROW()-ROW(Tableau3[[#Headers],[N° LIGNE_RF]])</f>
        <v>360</v>
      </c>
      <c r="R363" s="6">
        <f>IF(Tableau3[[#This Row],[REFERENCE ]]="","",MATCH(Tableau3[[#This Row],[REFERENCE ]],Tableau3[[REFERENCE ]],0))</f>
        <v>352</v>
      </c>
      <c r="S363"/>
      <c r="X363" s="70"/>
      <c r="Y363"/>
      <c r="Z363" s="3"/>
      <c r="AA363"/>
      <c r="AE363" s="70"/>
      <c r="AG363"/>
    </row>
    <row r="364" spans="1:33" x14ac:dyDescent="0.2">
      <c r="A364" t="s">
        <v>100</v>
      </c>
      <c r="B364" t="s">
        <v>138</v>
      </c>
      <c r="C364" t="s">
        <v>60</v>
      </c>
      <c r="D364" s="398" t="s">
        <v>84</v>
      </c>
      <c r="E364" s="481">
        <v>8850019</v>
      </c>
      <c r="F364" s="18" t="s">
        <v>178</v>
      </c>
      <c r="G364" s="396" t="s">
        <v>157</v>
      </c>
      <c r="H364" s="100" t="s">
        <v>742</v>
      </c>
      <c r="I364" s="386">
        <v>46091</v>
      </c>
      <c r="J364" s="100" t="s">
        <v>9</v>
      </c>
      <c r="K364" s="3">
        <v>46092</v>
      </c>
      <c r="L364" s="18" t="s">
        <v>10</v>
      </c>
      <c r="M364" s="6">
        <v>26000000005</v>
      </c>
      <c r="N364" s="3">
        <f>IFERROR(INDEX(Tableau6[],MATCH(Tableau3[[#This Row],[FACTURE]],Tableau6[NUM DE FACTURE],0),4),"")</f>
        <v>26000000005</v>
      </c>
      <c r="O364" t="str">
        <f>IF(Tableau3[[#This Row],[CLIENTS]]="","",CONCATENATE(Tableau3[[#This Row],[MODE ]]," ",Tableau3[[#This Row],[ETS PAYEUR]]," ","F/",Tableau3[[#This Row],[FACTURE]]))</f>
        <v>CHEQUE SGCI F/26000000005</v>
      </c>
      <c r="Q364">
        <f>+ROW()-ROW(Tableau3[[#Headers],[N° LIGNE_RF]])</f>
        <v>361</v>
      </c>
      <c r="R364" s="6">
        <f>IF(Tableau3[[#This Row],[REFERENCE ]]="","",MATCH(Tableau3[[#This Row],[REFERENCE ]],Tableau3[[REFERENCE ]],0))</f>
        <v>352</v>
      </c>
      <c r="S364"/>
      <c r="X364" s="70"/>
      <c r="Y364"/>
      <c r="Z364" s="3"/>
      <c r="AA364"/>
      <c r="AE364" s="70"/>
      <c r="AG364"/>
    </row>
    <row r="365" spans="1:33" x14ac:dyDescent="0.2">
      <c r="A365" t="s">
        <v>100</v>
      </c>
      <c r="B365" t="s">
        <v>138</v>
      </c>
      <c r="C365" t="s">
        <v>60</v>
      </c>
      <c r="D365" s="398" t="s">
        <v>84</v>
      </c>
      <c r="E365" s="481">
        <v>597080</v>
      </c>
      <c r="F365" s="18" t="s">
        <v>182</v>
      </c>
      <c r="G365" s="396" t="s">
        <v>157</v>
      </c>
      <c r="H365" s="100" t="s">
        <v>742</v>
      </c>
      <c r="I365" s="386">
        <v>46091</v>
      </c>
      <c r="J365" s="100" t="s">
        <v>9</v>
      </c>
      <c r="K365" s="3">
        <v>46092</v>
      </c>
      <c r="L365" s="18" t="s">
        <v>10</v>
      </c>
      <c r="M365" s="6">
        <v>26000000014</v>
      </c>
      <c r="N365" s="3">
        <f>IFERROR(INDEX(Tableau6[],MATCH(Tableau3[[#This Row],[FACTURE]],Tableau6[NUM DE FACTURE],0),4),"")</f>
        <v>26000000014</v>
      </c>
      <c r="O365" t="str">
        <f>IF(Tableau3[[#This Row],[CLIENTS]]="","",CONCATENATE(Tableau3[[#This Row],[MODE ]]," ",Tableau3[[#This Row],[ETS PAYEUR]]," ","F/",Tableau3[[#This Row],[FACTURE]]))</f>
        <v>CHEQUE SGCI F/26000000014</v>
      </c>
      <c r="Q365">
        <f>+ROW()-ROW(Tableau3[[#Headers],[N° LIGNE_RF]])</f>
        <v>362</v>
      </c>
      <c r="R365" s="6">
        <f>IF(Tableau3[[#This Row],[REFERENCE ]]="","",MATCH(Tableau3[[#This Row],[REFERENCE ]],Tableau3[[REFERENCE ]],0))</f>
        <v>352</v>
      </c>
      <c r="S365"/>
      <c r="X365" s="70"/>
      <c r="Y365"/>
      <c r="Z365" s="3"/>
      <c r="AA365"/>
      <c r="AE365" s="70"/>
      <c r="AG365"/>
    </row>
    <row r="366" spans="1:33" x14ac:dyDescent="0.2">
      <c r="A366" t="s">
        <v>100</v>
      </c>
      <c r="B366" t="s">
        <v>138</v>
      </c>
      <c r="C366" t="s">
        <v>60</v>
      </c>
      <c r="D366" s="398" t="s">
        <v>84</v>
      </c>
      <c r="E366" s="481">
        <v>27052444</v>
      </c>
      <c r="F366" s="18" t="s">
        <v>181</v>
      </c>
      <c r="G366" s="396" t="s">
        <v>157</v>
      </c>
      <c r="H366" s="100" t="s">
        <v>742</v>
      </c>
      <c r="I366" s="386">
        <v>46091</v>
      </c>
      <c r="J366" s="100" t="s">
        <v>9</v>
      </c>
      <c r="K366" s="3">
        <v>46092</v>
      </c>
      <c r="L366" s="18" t="s">
        <v>10</v>
      </c>
      <c r="M366" s="6">
        <v>26000000016</v>
      </c>
      <c r="N366" s="3">
        <f>IFERROR(INDEX(Tableau6[],MATCH(Tableau3[[#This Row],[FACTURE]],Tableau6[NUM DE FACTURE],0),4),"")</f>
        <v>26000000016</v>
      </c>
      <c r="O366" t="str">
        <f>IF(Tableau3[[#This Row],[CLIENTS]]="","",CONCATENATE(Tableau3[[#This Row],[MODE ]]," ",Tableau3[[#This Row],[ETS PAYEUR]]," ","F/",Tableau3[[#This Row],[FACTURE]]))</f>
        <v>CHEQUE SGCI F/26000000016</v>
      </c>
      <c r="Q366">
        <f>+ROW()-ROW(Tableau3[[#Headers],[N° LIGNE_RF]])</f>
        <v>363</v>
      </c>
      <c r="R366" s="6">
        <f>IF(Tableau3[[#This Row],[REFERENCE ]]="","",MATCH(Tableau3[[#This Row],[REFERENCE ]],Tableau3[[REFERENCE ]],0))</f>
        <v>352</v>
      </c>
      <c r="S366"/>
      <c r="X366" s="70"/>
      <c r="Y366"/>
      <c r="Z366" s="3"/>
      <c r="AA366"/>
      <c r="AE366" s="70"/>
      <c r="AG366"/>
    </row>
    <row r="367" spans="1:33" x14ac:dyDescent="0.2">
      <c r="A367" t="s">
        <v>100</v>
      </c>
      <c r="B367" t="s">
        <v>138</v>
      </c>
      <c r="C367" t="s">
        <v>60</v>
      </c>
      <c r="D367" s="398" t="s">
        <v>84</v>
      </c>
      <c r="E367" s="481">
        <v>8932600</v>
      </c>
      <c r="F367" s="18" t="s">
        <v>178</v>
      </c>
      <c r="G367" s="396" t="s">
        <v>157</v>
      </c>
      <c r="H367" s="100" t="s">
        <v>742</v>
      </c>
      <c r="I367" s="386">
        <v>46091</v>
      </c>
      <c r="J367" s="100" t="s">
        <v>9</v>
      </c>
      <c r="K367" s="3">
        <v>46092</v>
      </c>
      <c r="L367" s="18" t="s">
        <v>10</v>
      </c>
      <c r="M367" s="6">
        <v>26000000027</v>
      </c>
      <c r="N367" s="3">
        <f>IFERROR(INDEX(Tableau6[],MATCH(Tableau3[[#This Row],[FACTURE]],Tableau6[NUM DE FACTURE],0),4),"")</f>
        <v>26000000027</v>
      </c>
      <c r="O367" t="str">
        <f>IF(Tableau3[[#This Row],[CLIENTS]]="","",CONCATENATE(Tableau3[[#This Row],[MODE ]]," ",Tableau3[[#This Row],[ETS PAYEUR]]," ","F/",Tableau3[[#This Row],[FACTURE]]))</f>
        <v>CHEQUE SGCI F/26000000027</v>
      </c>
      <c r="Q367">
        <f>+ROW()-ROW(Tableau3[[#Headers],[N° LIGNE_RF]])</f>
        <v>364</v>
      </c>
      <c r="R367" s="6">
        <f>IF(Tableau3[[#This Row],[REFERENCE ]]="","",MATCH(Tableau3[[#This Row],[REFERENCE ]],Tableau3[[REFERENCE ]],0))</f>
        <v>352</v>
      </c>
      <c r="S367"/>
      <c r="X367" s="70"/>
      <c r="Y367"/>
      <c r="Z367" s="3"/>
      <c r="AA367"/>
      <c r="AE367" s="70"/>
      <c r="AG367"/>
    </row>
    <row r="368" spans="1:33" x14ac:dyDescent="0.2">
      <c r="A368" t="s">
        <v>100</v>
      </c>
      <c r="B368" t="s">
        <v>138</v>
      </c>
      <c r="C368" t="s">
        <v>60</v>
      </c>
      <c r="D368" s="398" t="s">
        <v>84</v>
      </c>
      <c r="E368" s="481">
        <v>944000</v>
      </c>
      <c r="F368" s="18" t="s">
        <v>183</v>
      </c>
      <c r="G368" s="396" t="s">
        <v>157</v>
      </c>
      <c r="H368" s="100" t="s">
        <v>742</v>
      </c>
      <c r="I368" s="386">
        <v>46091</v>
      </c>
      <c r="J368" s="100" t="s">
        <v>9</v>
      </c>
      <c r="K368" s="3">
        <v>46092</v>
      </c>
      <c r="L368" s="18" t="s">
        <v>10</v>
      </c>
      <c r="M368" s="6">
        <v>26000000017</v>
      </c>
      <c r="N368" s="3">
        <f>IFERROR(INDEX(Tableau6[],MATCH(Tableau3[[#This Row],[FACTURE]],Tableau6[NUM DE FACTURE],0),4),"")</f>
        <v>26000000017</v>
      </c>
      <c r="O368" t="str">
        <f>IF(Tableau3[[#This Row],[CLIENTS]]="","",CONCATENATE(Tableau3[[#This Row],[MODE ]]," ",Tableau3[[#This Row],[ETS PAYEUR]]," ","F/",Tableau3[[#This Row],[FACTURE]]))</f>
        <v>CHEQUE SGCI F/26000000017</v>
      </c>
      <c r="Q368">
        <f>+ROW()-ROW(Tableau3[[#Headers],[N° LIGNE_RF]])</f>
        <v>365</v>
      </c>
      <c r="R368" s="6">
        <f>IF(Tableau3[[#This Row],[REFERENCE ]]="","",MATCH(Tableau3[[#This Row],[REFERENCE ]],Tableau3[[REFERENCE ]],0))</f>
        <v>352</v>
      </c>
      <c r="S368"/>
      <c r="X368" s="70"/>
      <c r="Y368"/>
      <c r="Z368" s="3"/>
      <c r="AA368"/>
      <c r="AE368" s="70"/>
      <c r="AG368"/>
    </row>
    <row r="369" spans="1:33" x14ac:dyDescent="0.2">
      <c r="A369" t="s">
        <v>100</v>
      </c>
      <c r="B369" t="s">
        <v>138</v>
      </c>
      <c r="C369" t="s">
        <v>60</v>
      </c>
      <c r="D369" s="398" t="s">
        <v>84</v>
      </c>
      <c r="E369" s="481">
        <v>23646154</v>
      </c>
      <c r="F369" s="18" t="s">
        <v>741</v>
      </c>
      <c r="G369" s="396" t="s">
        <v>157</v>
      </c>
      <c r="H369" s="100" t="s">
        <v>742</v>
      </c>
      <c r="I369" s="386">
        <v>46091</v>
      </c>
      <c r="J369" s="100" t="s">
        <v>9</v>
      </c>
      <c r="K369" s="3">
        <v>46092</v>
      </c>
      <c r="L369" s="18" t="s">
        <v>10</v>
      </c>
      <c r="M369" s="6">
        <v>26000000018</v>
      </c>
      <c r="N369" s="3">
        <f>IFERROR(INDEX(Tableau6[],MATCH(Tableau3[[#This Row],[FACTURE]],Tableau6[NUM DE FACTURE],0),4),"")</f>
        <v>26000000018</v>
      </c>
      <c r="O369" t="str">
        <f>IF(Tableau3[[#This Row],[CLIENTS]]="","",CONCATENATE(Tableau3[[#This Row],[MODE ]]," ",Tableau3[[#This Row],[ETS PAYEUR]]," ","F/",Tableau3[[#This Row],[FACTURE]]))</f>
        <v>CHEQUE SGCI F/26000000018</v>
      </c>
      <c r="Q369">
        <f>+ROW()-ROW(Tableau3[[#Headers],[N° LIGNE_RF]])</f>
        <v>366</v>
      </c>
      <c r="R369" s="6">
        <f>IF(Tableau3[[#This Row],[REFERENCE ]]="","",MATCH(Tableau3[[#This Row],[REFERENCE ]],Tableau3[[REFERENCE ]],0))</f>
        <v>352</v>
      </c>
      <c r="S369"/>
      <c r="X369" s="70"/>
      <c r="Y369"/>
      <c r="Z369" s="3"/>
      <c r="AA369"/>
      <c r="AE369" s="70"/>
      <c r="AG369"/>
    </row>
    <row r="370" spans="1:33" x14ac:dyDescent="0.2">
      <c r="A370" t="s">
        <v>100</v>
      </c>
      <c r="B370" t="s">
        <v>138</v>
      </c>
      <c r="C370" t="s">
        <v>60</v>
      </c>
      <c r="D370" s="398" t="s">
        <v>84</v>
      </c>
      <c r="E370" s="481">
        <v>22071900</v>
      </c>
      <c r="F370" s="18" t="s">
        <v>181</v>
      </c>
      <c r="G370" s="396" t="s">
        <v>157</v>
      </c>
      <c r="H370" s="100" t="s">
        <v>742</v>
      </c>
      <c r="I370" s="386">
        <v>46091</v>
      </c>
      <c r="J370" s="100" t="s">
        <v>9</v>
      </c>
      <c r="K370" s="3">
        <v>46092</v>
      </c>
      <c r="L370" s="18" t="s">
        <v>10</v>
      </c>
      <c r="M370" s="6">
        <v>26000000019</v>
      </c>
      <c r="N370" s="3">
        <f>IFERROR(INDEX(Tableau6[],MATCH(Tableau3[[#This Row],[FACTURE]],Tableau6[NUM DE FACTURE],0),4),"")</f>
        <v>26000000019</v>
      </c>
      <c r="O370" t="str">
        <f>IF(Tableau3[[#This Row],[CLIENTS]]="","",CONCATENATE(Tableau3[[#This Row],[MODE ]]," ",Tableau3[[#This Row],[ETS PAYEUR]]," ","F/",Tableau3[[#This Row],[FACTURE]]))</f>
        <v>CHEQUE SGCI F/26000000019</v>
      </c>
      <c r="Q370">
        <f>+ROW()-ROW(Tableau3[[#Headers],[N° LIGNE_RF]])</f>
        <v>367</v>
      </c>
      <c r="R370" s="6">
        <f>IF(Tableau3[[#This Row],[REFERENCE ]]="","",MATCH(Tableau3[[#This Row],[REFERENCE ]],Tableau3[[REFERENCE ]],0))</f>
        <v>352</v>
      </c>
      <c r="S370"/>
      <c r="X370" s="70"/>
      <c r="Y370"/>
      <c r="Z370" s="3"/>
      <c r="AA370"/>
      <c r="AE370" s="70"/>
      <c r="AG370"/>
    </row>
    <row r="371" spans="1:33" x14ac:dyDescent="0.2">
      <c r="A371" t="s">
        <v>100</v>
      </c>
      <c r="B371" t="s">
        <v>138</v>
      </c>
      <c r="C371" t="s">
        <v>60</v>
      </c>
      <c r="D371" s="398" t="s">
        <v>84</v>
      </c>
      <c r="E371" s="481">
        <v>7847000</v>
      </c>
      <c r="F371" s="18" t="s">
        <v>181</v>
      </c>
      <c r="G371" s="396" t="s">
        <v>157</v>
      </c>
      <c r="H371" s="100" t="s">
        <v>742</v>
      </c>
      <c r="I371" s="386">
        <v>46091</v>
      </c>
      <c r="J371" s="100" t="s">
        <v>9</v>
      </c>
      <c r="K371" s="3">
        <v>46092</v>
      </c>
      <c r="L371" s="18" t="s">
        <v>10</v>
      </c>
      <c r="M371" s="6">
        <v>26000000020</v>
      </c>
      <c r="N371" s="3">
        <f>IFERROR(INDEX(Tableau6[],MATCH(Tableau3[[#This Row],[FACTURE]],Tableau6[NUM DE FACTURE],0),4),"")</f>
        <v>26000000020</v>
      </c>
      <c r="O371" t="str">
        <f>IF(Tableau3[[#This Row],[CLIENTS]]="","",CONCATENATE(Tableau3[[#This Row],[MODE ]]," ",Tableau3[[#This Row],[ETS PAYEUR]]," ","F/",Tableau3[[#This Row],[FACTURE]]))</f>
        <v>CHEQUE SGCI F/26000000020</v>
      </c>
      <c r="Q371">
        <f>+ROW()-ROW(Tableau3[[#Headers],[N° LIGNE_RF]])</f>
        <v>368</v>
      </c>
      <c r="R371" s="6">
        <f>IF(Tableau3[[#This Row],[REFERENCE ]]="","",MATCH(Tableau3[[#This Row],[REFERENCE ]],Tableau3[[REFERENCE ]],0))</f>
        <v>352</v>
      </c>
      <c r="S371"/>
      <c r="X371" s="70"/>
      <c r="Y371"/>
      <c r="Z371" s="3"/>
      <c r="AA371"/>
      <c r="AE371" s="70"/>
      <c r="AG371"/>
    </row>
    <row r="372" spans="1:33" x14ac:dyDescent="0.2">
      <c r="A372" t="s">
        <v>100</v>
      </c>
      <c r="B372" t="s">
        <v>138</v>
      </c>
      <c r="C372" t="s">
        <v>60</v>
      </c>
      <c r="D372" s="398" t="s">
        <v>84</v>
      </c>
      <c r="E372" s="481">
        <v>8000400</v>
      </c>
      <c r="F372" s="18" t="s">
        <v>180</v>
      </c>
      <c r="G372" s="396" t="s">
        <v>157</v>
      </c>
      <c r="H372" s="100" t="s">
        <v>742</v>
      </c>
      <c r="I372" s="386">
        <v>46091</v>
      </c>
      <c r="J372" s="100" t="s">
        <v>9</v>
      </c>
      <c r="K372" s="3">
        <v>46092</v>
      </c>
      <c r="L372" s="18" t="s">
        <v>10</v>
      </c>
      <c r="M372" s="6">
        <v>26000000021</v>
      </c>
      <c r="N372" s="3">
        <f>IFERROR(INDEX(Tableau6[],MATCH(Tableau3[[#This Row],[FACTURE]],Tableau6[NUM DE FACTURE],0),4),"")</f>
        <v>26000000021</v>
      </c>
      <c r="O372" t="str">
        <f>IF(Tableau3[[#This Row],[CLIENTS]]="","",CONCATENATE(Tableau3[[#This Row],[MODE ]]," ",Tableau3[[#This Row],[ETS PAYEUR]]," ","F/",Tableau3[[#This Row],[FACTURE]]))</f>
        <v>CHEQUE SGCI F/26000000021</v>
      </c>
      <c r="Q372">
        <f>+ROW()-ROW(Tableau3[[#Headers],[N° LIGNE_RF]])</f>
        <v>369</v>
      </c>
      <c r="R372" s="6">
        <f>IF(Tableau3[[#This Row],[REFERENCE ]]="","",MATCH(Tableau3[[#This Row],[REFERENCE ]],Tableau3[[REFERENCE ]],0))</f>
        <v>352</v>
      </c>
      <c r="S372"/>
      <c r="X372" s="70"/>
      <c r="Y372"/>
      <c r="Z372" s="3"/>
      <c r="AA372"/>
      <c r="AE372" s="70"/>
      <c r="AG372"/>
    </row>
    <row r="373" spans="1:33" x14ac:dyDescent="0.2">
      <c r="A373" t="s">
        <v>100</v>
      </c>
      <c r="B373" t="s">
        <v>138</v>
      </c>
      <c r="C373" t="s">
        <v>60</v>
      </c>
      <c r="D373" s="398" t="s">
        <v>84</v>
      </c>
      <c r="E373" s="481">
        <v>1770000</v>
      </c>
      <c r="F373" s="18" t="s">
        <v>178</v>
      </c>
      <c r="G373" s="396" t="s">
        <v>157</v>
      </c>
      <c r="H373" s="100" t="s">
        <v>742</v>
      </c>
      <c r="I373" s="386">
        <v>46091</v>
      </c>
      <c r="J373" s="100" t="s">
        <v>9</v>
      </c>
      <c r="K373" s="3">
        <v>46092</v>
      </c>
      <c r="L373" s="18" t="s">
        <v>10</v>
      </c>
      <c r="M373" s="6">
        <v>26000000022</v>
      </c>
      <c r="N373" s="3">
        <f>IFERROR(INDEX(Tableau6[],MATCH(Tableau3[[#This Row],[FACTURE]],Tableau6[NUM DE FACTURE],0),4),"")</f>
        <v>26000000022</v>
      </c>
      <c r="O373" t="str">
        <f>IF(Tableau3[[#This Row],[CLIENTS]]="","",CONCATENATE(Tableau3[[#This Row],[MODE ]]," ",Tableau3[[#This Row],[ETS PAYEUR]]," ","F/",Tableau3[[#This Row],[FACTURE]]))</f>
        <v>CHEQUE SGCI F/26000000022</v>
      </c>
      <c r="Q373">
        <f>+ROW()-ROW(Tableau3[[#Headers],[N° LIGNE_RF]])</f>
        <v>370</v>
      </c>
      <c r="R373" s="6">
        <f>IF(Tableau3[[#This Row],[REFERENCE ]]="","",MATCH(Tableau3[[#This Row],[REFERENCE ]],Tableau3[[REFERENCE ]],0))</f>
        <v>352</v>
      </c>
      <c r="S373"/>
      <c r="X373" s="70"/>
      <c r="Y373"/>
      <c r="Z373" s="3"/>
      <c r="AA373"/>
      <c r="AE373" s="70"/>
      <c r="AG373"/>
    </row>
    <row r="374" spans="1:33" x14ac:dyDescent="0.2">
      <c r="A374" t="s">
        <v>100</v>
      </c>
      <c r="B374" t="s">
        <v>138</v>
      </c>
      <c r="C374" t="s">
        <v>60</v>
      </c>
      <c r="D374" s="398" t="s">
        <v>84</v>
      </c>
      <c r="E374" s="481">
        <v>8850000</v>
      </c>
      <c r="F374" s="18" t="s">
        <v>178</v>
      </c>
      <c r="G374" s="396" t="s">
        <v>157</v>
      </c>
      <c r="H374" s="100" t="s">
        <v>742</v>
      </c>
      <c r="I374" s="386">
        <v>46091</v>
      </c>
      <c r="J374" s="100" t="s">
        <v>9</v>
      </c>
      <c r="K374" s="3">
        <v>46092</v>
      </c>
      <c r="L374" s="18" t="s">
        <v>10</v>
      </c>
      <c r="M374" s="6">
        <v>26000000023</v>
      </c>
      <c r="N374" s="3">
        <f>IFERROR(INDEX(Tableau6[],MATCH(Tableau3[[#This Row],[FACTURE]],Tableau6[NUM DE FACTURE],0),4),"")</f>
        <v>26000000023</v>
      </c>
      <c r="O374" t="str">
        <f>IF(Tableau3[[#This Row],[CLIENTS]]="","",CONCATENATE(Tableau3[[#This Row],[MODE ]]," ",Tableau3[[#This Row],[ETS PAYEUR]]," ","F/",Tableau3[[#This Row],[FACTURE]]))</f>
        <v>CHEQUE SGCI F/26000000023</v>
      </c>
      <c r="Q374">
        <f>+ROW()-ROW(Tableau3[[#Headers],[N° LIGNE_RF]])</f>
        <v>371</v>
      </c>
      <c r="R374" s="6">
        <f>IF(Tableau3[[#This Row],[REFERENCE ]]="","",MATCH(Tableau3[[#This Row],[REFERENCE ]],Tableau3[[REFERENCE ]],0))</f>
        <v>352</v>
      </c>
      <c r="S374"/>
      <c r="X374" s="70"/>
      <c r="Y374"/>
      <c r="Z374" s="3"/>
      <c r="AA374"/>
      <c r="AE374" s="70"/>
      <c r="AG374"/>
    </row>
    <row r="375" spans="1:33" x14ac:dyDescent="0.2">
      <c r="A375" t="s">
        <v>100</v>
      </c>
      <c r="B375" t="s">
        <v>138</v>
      </c>
      <c r="C375" t="s">
        <v>60</v>
      </c>
      <c r="D375" s="398" t="s">
        <v>84</v>
      </c>
      <c r="E375" s="481">
        <v>28137100</v>
      </c>
      <c r="F375" s="18" t="s">
        <v>178</v>
      </c>
      <c r="G375" s="396" t="s">
        <v>157</v>
      </c>
      <c r="H375" s="100" t="s">
        <v>742</v>
      </c>
      <c r="I375" s="386">
        <v>46091</v>
      </c>
      <c r="J375" s="100" t="s">
        <v>9</v>
      </c>
      <c r="K375" s="3">
        <v>46092</v>
      </c>
      <c r="L375" s="18" t="s">
        <v>10</v>
      </c>
      <c r="M375" s="6">
        <v>26000000024</v>
      </c>
      <c r="N375" s="3">
        <f>IFERROR(INDEX(Tableau6[],MATCH(Tableau3[[#This Row],[FACTURE]],Tableau6[NUM DE FACTURE],0),4),"")</f>
        <v>26000000024</v>
      </c>
      <c r="O375" t="str">
        <f>IF(Tableau3[[#This Row],[CLIENTS]]="","",CONCATENATE(Tableau3[[#This Row],[MODE ]]," ",Tableau3[[#This Row],[ETS PAYEUR]]," ","F/",Tableau3[[#This Row],[FACTURE]]))</f>
        <v>CHEQUE SGCI F/26000000024</v>
      </c>
      <c r="Q375">
        <f>+ROW()-ROW(Tableau3[[#Headers],[N° LIGNE_RF]])</f>
        <v>372</v>
      </c>
      <c r="R375" s="6">
        <f>IF(Tableau3[[#This Row],[REFERENCE ]]="","",MATCH(Tableau3[[#This Row],[REFERENCE ]],Tableau3[[REFERENCE ]],0))</f>
        <v>352</v>
      </c>
      <c r="S375"/>
      <c r="X375" s="70"/>
      <c r="Y375"/>
      <c r="Z375" s="3"/>
      <c r="AA375"/>
      <c r="AE375" s="70"/>
      <c r="AG375"/>
    </row>
    <row r="376" spans="1:33" x14ac:dyDescent="0.2">
      <c r="A376" t="s">
        <v>100</v>
      </c>
      <c r="B376" t="s">
        <v>138</v>
      </c>
      <c r="C376" t="s">
        <v>60</v>
      </c>
      <c r="D376" s="398" t="s">
        <v>84</v>
      </c>
      <c r="E376" s="481">
        <v>26591253</v>
      </c>
      <c r="F376" s="18" t="s">
        <v>180</v>
      </c>
      <c r="G376" s="396" t="s">
        <v>157</v>
      </c>
      <c r="H376" s="100" t="s">
        <v>742</v>
      </c>
      <c r="I376" s="386">
        <v>46091</v>
      </c>
      <c r="J376" s="100" t="s">
        <v>9</v>
      </c>
      <c r="K376" s="3">
        <v>46092</v>
      </c>
      <c r="L376" s="18" t="s">
        <v>10</v>
      </c>
      <c r="M376" s="6">
        <v>26000000025</v>
      </c>
      <c r="N376" s="3">
        <f>IFERROR(INDEX(Tableau6[],MATCH(Tableau3[[#This Row],[FACTURE]],Tableau6[NUM DE FACTURE],0),4),"")</f>
        <v>26000000025</v>
      </c>
      <c r="O376" t="str">
        <f>IF(Tableau3[[#This Row],[CLIENTS]]="","",CONCATENATE(Tableau3[[#This Row],[MODE ]]," ",Tableau3[[#This Row],[ETS PAYEUR]]," ","F/",Tableau3[[#This Row],[FACTURE]]))</f>
        <v>CHEQUE SGCI F/26000000025</v>
      </c>
      <c r="Q376">
        <f>+ROW()-ROW(Tableau3[[#Headers],[N° LIGNE_RF]])</f>
        <v>373</v>
      </c>
      <c r="R376" s="6">
        <f>IF(Tableau3[[#This Row],[REFERENCE ]]="","",MATCH(Tableau3[[#This Row],[REFERENCE ]],Tableau3[[REFERENCE ]],0))</f>
        <v>352</v>
      </c>
      <c r="S376"/>
      <c r="X376" s="70"/>
      <c r="Y376"/>
      <c r="Z376" s="3"/>
      <c r="AA376"/>
      <c r="AE376" s="70"/>
      <c r="AG376"/>
    </row>
    <row r="377" spans="1:33" x14ac:dyDescent="0.2">
      <c r="A377" t="s">
        <v>100</v>
      </c>
      <c r="B377" t="s">
        <v>138</v>
      </c>
      <c r="C377" t="s">
        <v>60</v>
      </c>
      <c r="D377" s="398" t="s">
        <v>84</v>
      </c>
      <c r="E377" s="481">
        <v>1300000</v>
      </c>
      <c r="F377" s="18" t="s">
        <v>706</v>
      </c>
      <c r="G377" s="396" t="s">
        <v>157</v>
      </c>
      <c r="H377" s="100" t="s">
        <v>742</v>
      </c>
      <c r="I377" s="386">
        <v>46091</v>
      </c>
      <c r="J377" s="100" t="s">
        <v>9</v>
      </c>
      <c r="K377" s="3">
        <v>46092</v>
      </c>
      <c r="L377" s="18" t="s">
        <v>10</v>
      </c>
      <c r="M377" s="6">
        <v>26000000026</v>
      </c>
      <c r="N377" s="3">
        <f>IFERROR(INDEX(Tableau6[],MATCH(Tableau3[[#This Row],[FACTURE]],Tableau6[NUM DE FACTURE],0),4),"")</f>
        <v>26000000026</v>
      </c>
      <c r="O377" t="str">
        <f>IF(Tableau3[[#This Row],[CLIENTS]]="","",CONCATENATE(Tableau3[[#This Row],[MODE ]]," ",Tableau3[[#This Row],[ETS PAYEUR]]," ","F/",Tableau3[[#This Row],[FACTURE]]))</f>
        <v>CHEQUE SGCI F/26000000026</v>
      </c>
      <c r="Q377">
        <f>+ROW()-ROW(Tableau3[[#Headers],[N° LIGNE_RF]])</f>
        <v>374</v>
      </c>
      <c r="R377" s="6">
        <f>IF(Tableau3[[#This Row],[REFERENCE ]]="","",MATCH(Tableau3[[#This Row],[REFERENCE ]],Tableau3[[REFERENCE ]],0))</f>
        <v>352</v>
      </c>
      <c r="S377"/>
      <c r="X377" s="70"/>
      <c r="Y377"/>
      <c r="Z377" s="3"/>
      <c r="AA377"/>
      <c r="AE377" s="70"/>
      <c r="AG377"/>
    </row>
    <row r="378" spans="1:33" x14ac:dyDescent="0.2">
      <c r="A378" t="s">
        <v>100</v>
      </c>
      <c r="B378" t="s">
        <v>138</v>
      </c>
      <c r="C378" t="s">
        <v>60</v>
      </c>
      <c r="D378" s="398" t="s">
        <v>84</v>
      </c>
      <c r="E378" s="481">
        <v>46038939</v>
      </c>
      <c r="F378" s="18" t="s">
        <v>180</v>
      </c>
      <c r="G378" s="396" t="s">
        <v>157</v>
      </c>
      <c r="H378" s="100" t="s">
        <v>742</v>
      </c>
      <c r="I378" s="386">
        <v>46091</v>
      </c>
      <c r="J378" s="100" t="s">
        <v>9</v>
      </c>
      <c r="K378" s="3">
        <v>46092</v>
      </c>
      <c r="L378" s="18" t="s">
        <v>10</v>
      </c>
      <c r="M378" s="6">
        <v>26000000028</v>
      </c>
      <c r="N378" s="3">
        <f>IFERROR(INDEX(Tableau6[],MATCH(Tableau3[[#This Row],[FACTURE]],Tableau6[NUM DE FACTURE],0),4),"")</f>
        <v>26000000028</v>
      </c>
      <c r="O378" t="str">
        <f>IF(Tableau3[[#This Row],[CLIENTS]]="","",CONCATENATE(Tableau3[[#This Row],[MODE ]]," ",Tableau3[[#This Row],[ETS PAYEUR]]," ","F/",Tableau3[[#This Row],[FACTURE]]))</f>
        <v>CHEQUE SGCI F/26000000028</v>
      </c>
      <c r="Q378">
        <f>+ROW()-ROW(Tableau3[[#Headers],[N° LIGNE_RF]])</f>
        <v>375</v>
      </c>
      <c r="R378" s="6">
        <f>IF(Tableau3[[#This Row],[REFERENCE ]]="","",MATCH(Tableau3[[#This Row],[REFERENCE ]],Tableau3[[REFERENCE ]],0))</f>
        <v>352</v>
      </c>
      <c r="S378"/>
      <c r="X378" s="70"/>
      <c r="Y378"/>
      <c r="Z378" s="3"/>
      <c r="AA378"/>
      <c r="AE378" s="70"/>
      <c r="AG378"/>
    </row>
    <row r="379" spans="1:33" x14ac:dyDescent="0.2">
      <c r="A379" t="s">
        <v>100</v>
      </c>
      <c r="B379" t="s">
        <v>138</v>
      </c>
      <c r="C379" t="s">
        <v>60</v>
      </c>
      <c r="D379" s="398" t="s">
        <v>84</v>
      </c>
      <c r="E379" s="481">
        <v>200000</v>
      </c>
      <c r="F379" s="18" t="s">
        <v>179</v>
      </c>
      <c r="G379" s="396" t="s">
        <v>157</v>
      </c>
      <c r="H379" s="100" t="s">
        <v>742</v>
      </c>
      <c r="I379" s="386">
        <v>46091</v>
      </c>
      <c r="J379" s="100" t="s">
        <v>9</v>
      </c>
      <c r="K379" s="3">
        <v>46092</v>
      </c>
      <c r="L379" s="18" t="s">
        <v>10</v>
      </c>
      <c r="M379" s="6">
        <v>26000000029</v>
      </c>
      <c r="N379" s="3">
        <f>IFERROR(INDEX(Tableau6[],MATCH(Tableau3[[#This Row],[FACTURE]],Tableau6[NUM DE FACTURE],0),4),"")</f>
        <v>26000000029</v>
      </c>
      <c r="O379" t="str">
        <f>IF(Tableau3[[#This Row],[CLIENTS]]="","",CONCATENATE(Tableau3[[#This Row],[MODE ]]," ",Tableau3[[#This Row],[ETS PAYEUR]]," ","F/",Tableau3[[#This Row],[FACTURE]]))</f>
        <v>CHEQUE SGCI F/26000000029</v>
      </c>
      <c r="Q379">
        <f>+ROW()-ROW(Tableau3[[#Headers],[N° LIGNE_RF]])</f>
        <v>376</v>
      </c>
      <c r="R379" s="6">
        <f>IF(Tableau3[[#This Row],[REFERENCE ]]="","",MATCH(Tableau3[[#This Row],[REFERENCE ]],Tableau3[[REFERENCE ]],0))</f>
        <v>352</v>
      </c>
      <c r="S379"/>
      <c r="X379" s="70"/>
      <c r="Y379"/>
      <c r="Z379" s="3"/>
      <c r="AA379"/>
      <c r="AE379" s="70"/>
      <c r="AG379"/>
    </row>
    <row r="380" spans="1:33" x14ac:dyDescent="0.2">
      <c r="A380" t="s">
        <v>100</v>
      </c>
      <c r="B380" t="s">
        <v>138</v>
      </c>
      <c r="C380" t="s">
        <v>60</v>
      </c>
      <c r="D380" s="398" t="s">
        <v>84</v>
      </c>
      <c r="E380" s="481">
        <v>12700000</v>
      </c>
      <c r="F380" s="18" t="s">
        <v>179</v>
      </c>
      <c r="G380" s="396" t="s">
        <v>157</v>
      </c>
      <c r="H380" s="100" t="s">
        <v>742</v>
      </c>
      <c r="I380" s="386">
        <v>46091</v>
      </c>
      <c r="J380" s="100" t="s">
        <v>9</v>
      </c>
      <c r="K380" s="3">
        <v>46092</v>
      </c>
      <c r="L380" s="18" t="s">
        <v>10</v>
      </c>
      <c r="M380" s="6">
        <v>26000000030</v>
      </c>
      <c r="N380" s="3">
        <f>IFERROR(INDEX(Tableau6[],MATCH(Tableau3[[#This Row],[FACTURE]],Tableau6[NUM DE FACTURE],0),4),"")</f>
        <v>26000000030</v>
      </c>
      <c r="O380" t="str">
        <f>IF(Tableau3[[#This Row],[CLIENTS]]="","",CONCATENATE(Tableau3[[#This Row],[MODE ]]," ",Tableau3[[#This Row],[ETS PAYEUR]]," ","F/",Tableau3[[#This Row],[FACTURE]]))</f>
        <v>CHEQUE SGCI F/26000000030</v>
      </c>
      <c r="Q380">
        <f>+ROW()-ROW(Tableau3[[#Headers],[N° LIGNE_RF]])</f>
        <v>377</v>
      </c>
      <c r="R380" s="6">
        <f>IF(Tableau3[[#This Row],[REFERENCE ]]="","",MATCH(Tableau3[[#This Row],[REFERENCE ]],Tableau3[[REFERENCE ]],0))</f>
        <v>352</v>
      </c>
      <c r="S380"/>
      <c r="X380" s="70"/>
      <c r="Y380"/>
      <c r="Z380" s="3"/>
      <c r="AA380"/>
      <c r="AE380" s="70"/>
      <c r="AG380"/>
    </row>
    <row r="381" spans="1:33" x14ac:dyDescent="0.2">
      <c r="D381" s="398"/>
      <c r="E381" s="481"/>
      <c r="F381" s="18"/>
      <c r="G381" s="395"/>
      <c r="H381" s="100"/>
      <c r="I381" s="386"/>
      <c r="J381" s="100"/>
      <c r="L381" s="482"/>
      <c r="M381" s="6"/>
      <c r="N381" s="3" t="str">
        <f>IFERROR(INDEX(Tableau6[],MATCH(Tableau3[[#This Row],[FACTURE]],Tableau6[NUM DE FACTURE],0),4),"")</f>
        <v/>
      </c>
      <c r="O381" t="str">
        <f>IF(Tableau3[[#This Row],[CLIENTS]]="","",CONCATENATE(Tableau3[[#This Row],[MODE ]]," ",Tableau3[[#This Row],[ETS PAYEUR]]," ","F/",Tableau3[[#This Row],[FACTURE]]))</f>
        <v/>
      </c>
      <c r="Q381">
        <f>+ROW()-ROW(Tableau3[[#Headers],[N° LIGNE_RF]])</f>
        <v>378</v>
      </c>
      <c r="R381" s="6" t="str">
        <f>IF(Tableau3[[#This Row],[REFERENCE ]]="","",MATCH(Tableau3[[#This Row],[REFERENCE ]],Tableau3[[REFERENCE ]],0))</f>
        <v/>
      </c>
      <c r="S381"/>
      <c r="X381" s="70"/>
      <c r="Y381"/>
      <c r="Z381" s="3"/>
      <c r="AA381"/>
      <c r="AE381" s="70"/>
      <c r="AG381"/>
    </row>
    <row r="382" spans="1:33" x14ac:dyDescent="0.2">
      <c r="D382" s="398"/>
      <c r="E382" s="481"/>
      <c r="F382" s="18"/>
      <c r="G382" s="395"/>
      <c r="H382" s="100"/>
      <c r="I382" s="386"/>
      <c r="J382" s="100"/>
      <c r="L382" s="482"/>
      <c r="M382" s="6"/>
      <c r="N382" s="3" t="str">
        <f>IFERROR(INDEX(Tableau6[],MATCH(Tableau3[[#This Row],[FACTURE]],Tableau6[NUM DE FACTURE],0),4),"")</f>
        <v/>
      </c>
      <c r="O382" t="str">
        <f>IF(Tableau3[[#This Row],[CLIENTS]]="","",CONCATENATE(Tableau3[[#This Row],[MODE ]]," ",Tableau3[[#This Row],[ETS PAYEUR]]," ","F/",Tableau3[[#This Row],[FACTURE]]))</f>
        <v/>
      </c>
      <c r="Q382">
        <f>+ROW()-ROW(Tableau3[[#Headers],[N° LIGNE_RF]])</f>
        <v>379</v>
      </c>
      <c r="R382" s="6" t="str">
        <f>IF(Tableau3[[#This Row],[REFERENCE ]]="","",MATCH(Tableau3[[#This Row],[REFERENCE ]],Tableau3[[REFERENCE ]],0))</f>
        <v/>
      </c>
      <c r="S382"/>
      <c r="X382" s="70"/>
      <c r="Y382"/>
      <c r="Z382" s="3"/>
      <c r="AA382"/>
      <c r="AE382" s="70"/>
      <c r="AG382"/>
    </row>
    <row r="383" spans="1:33" x14ac:dyDescent="0.2">
      <c r="D383" s="398"/>
      <c r="E383" s="481"/>
      <c r="F383" s="18"/>
      <c r="G383" s="395"/>
      <c r="H383" s="100"/>
      <c r="I383" s="386"/>
      <c r="J383" s="100"/>
      <c r="L383" s="482"/>
      <c r="M383" s="6"/>
      <c r="N383" s="3" t="str">
        <f>IFERROR(INDEX(Tableau6[],MATCH(Tableau3[[#This Row],[FACTURE]],Tableau6[NUM DE FACTURE],0),4),"")</f>
        <v/>
      </c>
      <c r="O383" t="str">
        <f>IF(Tableau3[[#This Row],[CLIENTS]]="","",CONCATENATE(Tableau3[[#This Row],[MODE ]]," ",Tableau3[[#This Row],[ETS PAYEUR]]," ","F/",Tableau3[[#This Row],[FACTURE]]))</f>
        <v/>
      </c>
      <c r="Q383">
        <f>+ROW()-ROW(Tableau3[[#Headers],[N° LIGNE_RF]])</f>
        <v>380</v>
      </c>
      <c r="R383" s="6" t="str">
        <f>IF(Tableau3[[#This Row],[REFERENCE ]]="","",MATCH(Tableau3[[#This Row],[REFERENCE ]],Tableau3[[REFERENCE ]],0))</f>
        <v/>
      </c>
      <c r="S383"/>
      <c r="X383" s="70"/>
      <c r="Y383"/>
      <c r="Z383" s="3"/>
      <c r="AA383"/>
      <c r="AE383" s="70"/>
      <c r="AG383"/>
    </row>
    <row r="384" spans="1:33" x14ac:dyDescent="0.2">
      <c r="E384" s="286">
        <f>SUBTOTAL(109,Tableau3[MONTANT TTC])</f>
        <v>2698336793.4000001</v>
      </c>
      <c r="F384" s="19"/>
      <c r="H384" s="6"/>
      <c r="I384"/>
      <c r="L384" s="19"/>
      <c r="N384" s="3"/>
      <c r="R384"/>
      <c r="S384"/>
      <c r="X384" s="70"/>
      <c r="Y384"/>
      <c r="Z384" s="3"/>
      <c r="AA384"/>
      <c r="AE384" s="70"/>
      <c r="AG384"/>
    </row>
  </sheetData>
  <phoneticPr fontId="9" type="noConversion"/>
  <conditionalFormatting sqref="A4:R198 A199:Q199 A200:R351 B352:F352 H352:R356 A352:A379 G352:G380 E353:F356 B353:D379 F357 M357:M377 A380:D382">
    <cfRule type="expression" dxfId="10" priority="545">
      <formula>COUNTIF($H$4:$H$384,$H4)&gt;1</formula>
    </cfRule>
  </conditionalFormatting>
  <dataValidations disablePrompts="1" count="7">
    <dataValidation type="list" allowBlank="1" showInputMessage="1" showErrorMessage="1" sqref="U4:U19 L4:L314" xr:uid="{00000000-0002-0000-0600-000000000000}">
      <formula1>COMPTE_TRESORERIE</formula1>
    </dataValidation>
    <dataValidation type="list" allowBlank="1" showInputMessage="1" showErrorMessage="1" sqref="T4:T19 L4:L314 A4:A382" xr:uid="{00000000-0002-0000-0600-000001000000}">
      <formula1>ENTITE</formula1>
    </dataValidation>
    <dataValidation type="list" allowBlank="1" showInputMessage="1" showErrorMessage="1" sqref="J58 B4:B383" xr:uid="{0950E8F9-B66F-4C97-9780-842D1BED74AB}">
      <formula1>NOM_CLIENT</formula1>
    </dataValidation>
    <dataValidation type="list" allowBlank="1" showInputMessage="1" showErrorMessage="1" sqref="D4:D314" xr:uid="{00000000-0002-0000-0600-000002000000}">
      <formula1>"HT,TTC"</formula1>
    </dataValidation>
    <dataValidation type="list" allowBlank="1" showInputMessage="1" showErrorMessage="1" sqref="D4:D314" xr:uid="{8F833DC4-688D-4BB7-942B-03AEDB7EC47B}">
      <formula1>"HT, TTC"</formula1>
    </dataValidation>
    <dataValidation type="list" allowBlank="1" showInputMessage="1" showErrorMessage="1" sqref="C4:C383" xr:uid="{CFF3D692-AB85-4755-9511-62E13106CBD1}">
      <formula1>"ENTREPRISE,PARTICULIER"</formula1>
    </dataValidation>
    <dataValidation type="custom" allowBlank="1" showInputMessage="1" showErrorMessage="1" sqref="H120" xr:uid="{00000000-0002-0000-0600-000003000000}">
      <formula1>COUNTIF($G$5:$G$612,$G120)=1</formula1>
    </dataValidation>
  </dataValidations>
  <printOptions horizontalCentered="1"/>
  <pageMargins left="0.70866141732283472" right="0.70866141732283472" top="0.74803149606299213" bottom="0.74803149606299213" header="0.31496062992125984" footer="0.31496062992125984"/>
  <pageSetup paperSize="9" scale="36" fitToHeight="0" orientation="landscape" blackAndWhite="1" verticalDpi="300" r:id="rId1"/>
  <headerFooter>
    <oddFooter>&amp;LSIM GROUP 
SERVICE COMPTABILITE</oddFooter>
  </headerFooter>
  <colBreaks count="1" manualBreakCount="1">
    <brk id="31" max="1048575" man="1"/>
  </colBreaks>
  <tableParts count="2">
    <tablePart r:id="rId2"/>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B3:R402"/>
  <sheetViews>
    <sheetView topLeftCell="K1" workbookViewId="0">
      <selection activeCell="G6" sqref="G6:G345"/>
    </sheetView>
  </sheetViews>
  <sheetFormatPr baseColWidth="10" defaultRowHeight="10.199999999999999" x14ac:dyDescent="0.2"/>
  <cols>
    <col min="1" max="1" width="3.625" customWidth="1"/>
    <col min="2" max="2" width="13.5" bestFit="1" customWidth="1"/>
    <col min="3" max="3" width="13" customWidth="1"/>
    <col min="4" max="4" width="32.5" bestFit="1" customWidth="1"/>
    <col min="5" max="5" width="22.625" style="4" bestFit="1" customWidth="1"/>
    <col min="6" max="6" width="22.625" style="4" customWidth="1"/>
    <col min="7" max="7" width="23.25" bestFit="1" customWidth="1"/>
    <col min="8" max="8" width="22.75" style="18" customWidth="1"/>
    <col min="9" max="9" width="21.125" customWidth="1"/>
    <col min="10" max="10" width="18.75" customWidth="1"/>
    <col min="11" max="11" width="21.375" bestFit="1" customWidth="1"/>
    <col min="12" max="13" width="34.25" bestFit="1" customWidth="1"/>
    <col min="14" max="14" width="34.25" customWidth="1"/>
    <col min="15" max="15" width="77.125" bestFit="1" customWidth="1"/>
    <col min="16" max="16" width="52" bestFit="1" customWidth="1"/>
    <col min="18" max="18" width="12.125" bestFit="1" customWidth="1"/>
  </cols>
  <sheetData>
    <row r="3" spans="2:16" ht="16.5" customHeight="1" x14ac:dyDescent="0.2">
      <c r="B3" s="30" t="str">
        <f ca="1">+UPPER(MID(CELL("nomfichier",A1),FIND("]",CELL("nomfichier",A1))+1,20)&amp;" "&amp;YEAR(FACTURES!C5))</f>
        <v>CARNET DE COMMANDE 2025</v>
      </c>
      <c r="C3" s="31"/>
      <c r="D3" s="31"/>
      <c r="E3" s="31"/>
      <c r="F3" s="31"/>
      <c r="G3" s="31"/>
      <c r="H3" s="31"/>
      <c r="I3" s="31"/>
      <c r="J3" s="31"/>
      <c r="K3" s="31"/>
      <c r="L3" s="31"/>
      <c r="M3" s="31"/>
      <c r="N3" s="31"/>
      <c r="O3" s="31"/>
      <c r="P3" s="31"/>
    </row>
    <row r="4" spans="2:16" x14ac:dyDescent="0.2">
      <c r="E4"/>
      <c r="F4"/>
      <c r="H4"/>
    </row>
    <row r="5" spans="2:16" s="42" customFormat="1" ht="20.399999999999999" x14ac:dyDescent="0.2">
      <c r="B5" s="37" t="s">
        <v>57</v>
      </c>
      <c r="C5" s="37" t="s">
        <v>18</v>
      </c>
      <c r="D5" s="38" t="s">
        <v>79</v>
      </c>
      <c r="E5" s="38" t="s">
        <v>59</v>
      </c>
      <c r="F5" s="39" t="s">
        <v>19</v>
      </c>
      <c r="G5" s="40" t="s">
        <v>29</v>
      </c>
      <c r="H5" s="38" t="s">
        <v>28</v>
      </c>
      <c r="I5" s="41" t="s">
        <v>27</v>
      </c>
      <c r="J5" s="229" t="s">
        <v>20</v>
      </c>
      <c r="K5" s="228" t="s">
        <v>21</v>
      </c>
      <c r="L5" s="228" t="s">
        <v>22</v>
      </c>
      <c r="M5" s="228" t="s">
        <v>39</v>
      </c>
      <c r="N5" s="228" t="s">
        <v>744</v>
      </c>
      <c r="O5" s="228" t="s">
        <v>811</v>
      </c>
      <c r="P5" s="41" t="s">
        <v>15</v>
      </c>
    </row>
    <row r="6" spans="2:16" x14ac:dyDescent="0.2">
      <c r="C6" s="7">
        <v>0</v>
      </c>
      <c r="D6" s="11" t="s">
        <v>764</v>
      </c>
      <c r="E6" s="32" t="s">
        <v>60</v>
      </c>
      <c r="F6" s="54" t="s">
        <v>138</v>
      </c>
      <c r="G6" s="2">
        <v>30</v>
      </c>
      <c r="H6" s="391">
        <v>400000</v>
      </c>
      <c r="I6" s="391">
        <v>400000</v>
      </c>
      <c r="J6" s="90">
        <f>+SUMIFS(Tableau6[MONTANT HT],Tableau6[CLIENT],Tableau2[[#This Row],[NOM CLIENT]],Tableau6[N° BC],Tableau2[[#This Row],[ID BC UNIQUE]])-SUMIFS(Tableau6[MONTANT HT],Tableau6[CLIENT],Tableau2[[#This Row],[NOM CLIENT]],Tableau6[N° BC],Tableau2[[#This Row],[ID BC UNIQUE]])</f>
        <v>0</v>
      </c>
      <c r="K6" s="90">
        <f>Tableau2[[#This Row],[MONTANT HT VALIDE]]-Tableau2[[#This Row],[MONTANT HT FACTURE]]</f>
        <v>400000</v>
      </c>
      <c r="L6" s="34">
        <f>+IFERROR(Tableau2[[#This Row],[MONTANT HT FACTURE]]/Tableau2[[#This Row],[MONTANT HT VALIDE]],0)</f>
        <v>0</v>
      </c>
      <c r="M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6">
        <f>+IFERROR(INDEX(Tableau6[[ENTITE]:[N° BC]],MATCH(Tableau2[[#This Row],[ID BC UNIQUE]],Tableau6[N° BC],0),7),"")</f>
        <v>0</v>
      </c>
      <c r="O6" t="str">
        <f>+IFERROR(INDEX(Tableau24[],MATCH(Tableau2[[#This Row],[CODE PROJET]],Tableau24[CODE PROJET],0),2),"")</f>
        <v/>
      </c>
    </row>
    <row r="7" spans="2:16" x14ac:dyDescent="0.2">
      <c r="C7" s="7">
        <v>45054</v>
      </c>
      <c r="D7" s="11" t="s">
        <v>539</v>
      </c>
      <c r="E7" s="32" t="s">
        <v>60</v>
      </c>
      <c r="F7" s="54" t="s">
        <v>138</v>
      </c>
      <c r="G7" s="2">
        <v>30</v>
      </c>
      <c r="H7" s="391">
        <v>2395900</v>
      </c>
      <c r="I7" s="391">
        <v>2395900</v>
      </c>
      <c r="J7" s="90">
        <f>+SUMIFS(Tableau6[MONTANT HT],Tableau6[CLIENT],Tableau2[[#This Row],[NOM CLIENT]],Tableau6[N° BC],Tableau2[[#This Row],[ID BC UNIQUE]])-SUMIFS(Tableau6[MONTANT HT],Tableau6[CLIENT],Tableau2[[#This Row],[NOM CLIENT]],Tableau6[N° BC],Tableau2[[#This Row],[ID BC UNIQUE]])</f>
        <v>0</v>
      </c>
      <c r="K7" s="90">
        <f>Tableau2[[#This Row],[MONTANT HT VALIDE]]-Tableau2[[#This Row],[MONTANT HT FACTURE]]</f>
        <v>2395900</v>
      </c>
      <c r="L7" s="34">
        <f>+IFERROR(Tableau2[[#This Row],[MONTANT HT FACTURE]]/Tableau2[[#This Row],[MONTANT HT VALIDE]],0)</f>
        <v>0</v>
      </c>
      <c r="M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7" t="str">
        <f>+IFERROR(INDEX(Tableau6[[ENTITE]:[N° BC]],MATCH(Tableau2[[#This Row],[ID BC UNIQUE]],Tableau6[N° BC],0),7),"")</f>
        <v>257B0206</v>
      </c>
      <c r="O7" t="str">
        <f>+IFERROR(INDEX(Tableau24[],MATCH(Tableau2[[#This Row],[CODE PROJET]],Tableau24[CODE PROJET],0),2),"")</f>
        <v>COMPLEXE RES. KONG GROS ŒUVRE MACO</v>
      </c>
    </row>
    <row r="8" spans="2:16" x14ac:dyDescent="0.2">
      <c r="C8" s="7">
        <v>45468</v>
      </c>
      <c r="D8" s="11" t="s">
        <v>415</v>
      </c>
      <c r="E8" s="32" t="s">
        <v>60</v>
      </c>
      <c r="F8" s="54" t="s">
        <v>138</v>
      </c>
      <c r="G8" s="2">
        <v>30</v>
      </c>
      <c r="H8" s="391">
        <v>1534000</v>
      </c>
      <c r="I8" s="391">
        <v>1534000</v>
      </c>
      <c r="J8" s="90">
        <f>+SUMIFS(Tableau6[MONTANT HT],Tableau6[CLIENT],Tableau2[[#This Row],[NOM CLIENT]],Tableau6[N° BC],Tableau2[[#This Row],[ID BC UNIQUE]])-SUMIFS(Tableau6[MONTANT HT],Tableau6[CLIENT],Tableau2[[#This Row],[NOM CLIENT]],Tableau6[N° BC],Tableau2[[#This Row],[ID BC UNIQUE]])</f>
        <v>0</v>
      </c>
      <c r="K8" s="90">
        <f>Tableau2[[#This Row],[MONTANT HT VALIDE]]-Tableau2[[#This Row],[MONTANT HT FACTURE]]</f>
        <v>1534000</v>
      </c>
      <c r="L8" s="34">
        <f>+IFERROR(Tableau2[[#This Row],[MONTANT HT FACTURE]]/Tableau2[[#This Row],[MONTANT HT VALIDE]],0)</f>
        <v>0</v>
      </c>
      <c r="M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8" t="str">
        <f>+IFERROR(INDEX(Tableau6[[ENTITE]:[N° BC]],MATCH(Tableau2[[#This Row],[ID BC UNIQUE]],Tableau6[N° BC],0),7),"")</f>
        <v>251B0206</v>
      </c>
      <c r="O8" t="str">
        <f>+IFERROR(INDEX(Tableau24[],MATCH(Tableau2[[#This Row],[CODE PROJET]],Tableau24[CODE PROJET],0),2),"")</f>
        <v>VILLA 20 GROS ŒUVRE MACONNERIE</v>
      </c>
    </row>
    <row r="9" spans="2:16" x14ac:dyDescent="0.2">
      <c r="C9" s="7">
        <v>45468</v>
      </c>
      <c r="D9" s="11" t="s">
        <v>529</v>
      </c>
      <c r="E9" s="32" t="s">
        <v>60</v>
      </c>
      <c r="F9" s="54" t="s">
        <v>138</v>
      </c>
      <c r="G9" s="2">
        <v>30</v>
      </c>
      <c r="H9" s="391">
        <v>844000</v>
      </c>
      <c r="I9" s="391">
        <v>844000</v>
      </c>
      <c r="J9" s="90">
        <f>+SUMIFS(Tableau6[MONTANT HT],Tableau6[CLIENT],Tableau2[[#This Row],[NOM CLIENT]],Tableau6[N° BC],Tableau2[[#This Row],[ID BC UNIQUE]])-SUMIFS(Tableau6[MONTANT HT],Tableau6[CLIENT],Tableau2[[#This Row],[NOM CLIENT]],Tableau6[N° BC],Tableau2[[#This Row],[ID BC UNIQUE]])</f>
        <v>0</v>
      </c>
      <c r="K9" s="90">
        <f>Tableau2[[#This Row],[MONTANT HT VALIDE]]-Tableau2[[#This Row],[MONTANT HT FACTURE]]</f>
        <v>844000</v>
      </c>
      <c r="L9" s="34">
        <f>+IFERROR(Tableau2[[#This Row],[MONTANT HT FACTURE]]/Tableau2[[#This Row],[MONTANT HT VALIDE]],0)</f>
        <v>0</v>
      </c>
      <c r="M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9" t="str">
        <f>+IFERROR(INDEX(Tableau6[[ENTITE]:[N° BC]],MATCH(Tableau2[[#This Row],[ID BC UNIQUE]],Tableau6[N° BC],0),7),"")</f>
        <v>251B0206</v>
      </c>
      <c r="O9" t="str">
        <f>+IFERROR(INDEX(Tableau24[],MATCH(Tableau2[[#This Row],[CODE PROJET]],Tableau24[CODE PROJET],0),2),"")</f>
        <v>VILLA 20 GROS ŒUVRE MACONNERIE</v>
      </c>
    </row>
    <row r="10" spans="2:16" x14ac:dyDescent="0.2">
      <c r="C10" s="7">
        <v>45490</v>
      </c>
      <c r="D10" s="11" t="s">
        <v>411</v>
      </c>
      <c r="E10" s="32" t="s">
        <v>60</v>
      </c>
      <c r="F10" s="54" t="s">
        <v>138</v>
      </c>
      <c r="G10" s="2">
        <v>30</v>
      </c>
      <c r="H10" s="391">
        <v>17025000</v>
      </c>
      <c r="I10" s="155">
        <v>17025000</v>
      </c>
      <c r="J10" s="90">
        <f>+SUMIFS(Tableau6[MONTANT HT],Tableau6[CLIENT],Tableau2[[#This Row],[NOM CLIENT]],Tableau6[N° BC],Tableau2[[#This Row],[ID BC UNIQUE]])-SUMIFS(Tableau6[MONTANT HT],Tableau6[CLIENT],Tableau2[[#This Row],[NOM CLIENT]],Tableau6[N° BC],Tableau2[[#This Row],[ID BC UNIQUE]])</f>
        <v>0</v>
      </c>
      <c r="K10" s="90">
        <f>Tableau2[[#This Row],[MONTANT HT VALIDE]]-Tableau2[[#This Row],[MONTANT HT FACTURE]]</f>
        <v>17025000</v>
      </c>
      <c r="L10" s="34">
        <f>+IFERROR(Tableau2[[#This Row],[MONTANT HT FACTURE]]/Tableau2[[#This Row],[MONTANT HT VALIDE]],0)</f>
        <v>0</v>
      </c>
      <c r="M1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0" t="str">
        <f>+IFERROR(INDEX(Tableau6[[ENTITE]:[N° BC]],MATCH(Tableau2[[#This Row],[ID BC UNIQUE]],Tableau6[N° BC],0),7),"")</f>
        <v>950B0003</v>
      </c>
      <c r="O10" t="str">
        <f>+IFERROR(INDEX(Tableau24[],MATCH(Tableau2[[#This Row],[CODE PROJET]],Tableau24[CODE PROJET],0),2),"")</f>
        <v>ATM MENUISERIE EXTERIEURE-ASSINIE</v>
      </c>
    </row>
    <row r="11" spans="2:16" x14ac:dyDescent="0.2">
      <c r="C11" s="7">
        <v>45517</v>
      </c>
      <c r="D11" s="11" t="s">
        <v>410</v>
      </c>
      <c r="E11" s="32" t="s">
        <v>60</v>
      </c>
      <c r="F11" s="54" t="s">
        <v>138</v>
      </c>
      <c r="G11" s="2">
        <v>30</v>
      </c>
      <c r="H11" s="391">
        <v>250000</v>
      </c>
      <c r="I11" s="155">
        <v>250000</v>
      </c>
      <c r="J11" s="90">
        <f>+SUMIFS(Tableau6[MONTANT HT],Tableau6[CLIENT],Tableau2[[#This Row],[NOM CLIENT]],Tableau6[N° BC],Tableau2[[#This Row],[ID BC UNIQUE]])-SUMIFS(Tableau6[MONTANT HT],Tableau6[CLIENT],Tableau2[[#This Row],[NOM CLIENT]],Tableau6[N° BC],Tableau2[[#This Row],[ID BC UNIQUE]])</f>
        <v>0</v>
      </c>
      <c r="K11" s="90">
        <f>Tableau2[[#This Row],[MONTANT HT VALIDE]]-Tableau2[[#This Row],[MONTANT HT FACTURE]]</f>
        <v>250000</v>
      </c>
      <c r="L11" s="34">
        <f>+IFERROR(Tableau2[[#This Row],[MONTANT HT FACTURE]]/Tableau2[[#This Row],[MONTANT HT VALIDE]],0)</f>
        <v>0</v>
      </c>
      <c r="M1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1" t="str">
        <f>+IFERROR(INDEX(Tableau6[[ENTITE]:[N° BC]],MATCH(Tableau2[[#This Row],[ID BC UNIQUE]],Tableau6[N° BC],0),7),"")</f>
        <v>255R1001</v>
      </c>
      <c r="O11" t="str">
        <f>+IFERROR(INDEX(Tableau24[],MATCH(Tableau2[[#This Row],[CODE PROJET]],Tableau24[CODE PROJET],0),2),"")</f>
        <v>TX PROLONGEMENT BD MITTERAND-INST ENTREP</v>
      </c>
    </row>
    <row r="12" spans="2:16" x14ac:dyDescent="0.2">
      <c r="C12" s="7">
        <v>45616</v>
      </c>
      <c r="D12" s="11" t="s">
        <v>487</v>
      </c>
      <c r="E12" s="32" t="s">
        <v>60</v>
      </c>
      <c r="F12" s="54" t="s">
        <v>138</v>
      </c>
      <c r="G12" s="2">
        <v>30</v>
      </c>
      <c r="H12" s="391">
        <v>6064800</v>
      </c>
      <c r="I12" s="391">
        <v>6064800</v>
      </c>
      <c r="J12" s="90">
        <f>+SUMIFS(Tableau6[MONTANT HT],Tableau6[CLIENT],Tableau2[[#This Row],[NOM CLIENT]],Tableau6[N° BC],Tableau2[[#This Row],[ID BC UNIQUE]])-SUMIFS(Tableau6[MONTANT HT],Tableau6[CLIENT],Tableau2[[#This Row],[NOM CLIENT]],Tableau6[N° BC],Tableau2[[#This Row],[ID BC UNIQUE]])</f>
        <v>0</v>
      </c>
      <c r="K12" s="90">
        <f>Tableau2[[#This Row],[MONTANT HT VALIDE]]-Tableau2[[#This Row],[MONTANT HT FACTURE]]</f>
        <v>6064800</v>
      </c>
      <c r="L12" s="34">
        <f>+IFERROR(Tableau2[[#This Row],[MONTANT HT FACTURE]]/Tableau2[[#This Row],[MONTANT HT VALIDE]],0)</f>
        <v>0</v>
      </c>
      <c r="M1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2" t="str">
        <f>+IFERROR(INDEX(Tableau6[[ENTITE]:[N° BC]],MATCH(Tableau2[[#This Row],[ID BC UNIQUE]],Tableau6[N° BC],0),7),"")</f>
        <v>252B0209</v>
      </c>
      <c r="O12" t="str">
        <f>+IFERROR(INDEX(Tableau24[],MATCH(Tableau2[[#This Row],[CODE PROJET]],Tableau24[CODE PROJET],0),2),"")</f>
        <v>REHAB. TOUR C GROS ŒUVRE M. OE</v>
      </c>
    </row>
    <row r="13" spans="2:16" x14ac:dyDescent="0.2">
      <c r="C13" s="7">
        <v>45616</v>
      </c>
      <c r="D13" s="11" t="s">
        <v>491</v>
      </c>
      <c r="E13" s="32" t="s">
        <v>60</v>
      </c>
      <c r="F13" s="54" t="s">
        <v>138</v>
      </c>
      <c r="G13" s="2">
        <v>30</v>
      </c>
      <c r="H13" s="391">
        <v>3500000</v>
      </c>
      <c r="I13" s="391">
        <v>3500000</v>
      </c>
      <c r="J13" s="90">
        <f>+SUMIFS(Tableau6[MONTANT HT],Tableau6[CLIENT],Tableau2[[#This Row],[NOM CLIENT]],Tableau6[N° BC],Tableau2[[#This Row],[ID BC UNIQUE]])-SUMIFS(Tableau6[MONTANT HT],Tableau6[CLIENT],Tableau2[[#This Row],[NOM CLIENT]],Tableau6[N° BC],Tableau2[[#This Row],[ID BC UNIQUE]])</f>
        <v>0</v>
      </c>
      <c r="K13" s="90">
        <f>Tableau2[[#This Row],[MONTANT HT VALIDE]]-Tableau2[[#This Row],[MONTANT HT FACTURE]]</f>
        <v>3500000</v>
      </c>
      <c r="L13" s="34">
        <f>+IFERROR(Tableau2[[#This Row],[MONTANT HT FACTURE]]/Tableau2[[#This Row],[MONTANT HT VALIDE]],0)</f>
        <v>0</v>
      </c>
      <c r="M1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3" t="str">
        <f>+IFERROR(INDEX(Tableau6[[ENTITE]:[N° BC]],MATCH(Tableau2[[#This Row],[ID BC UNIQUE]],Tableau6[N° BC],0),7),"")</f>
        <v>257B0200</v>
      </c>
      <c r="O13" t="str">
        <f>+IFERROR(INDEX(Tableau24[],MATCH(Tableau2[[#This Row],[CODE PROJET]],Tableau24[CODE PROJET],0),2),"")</f>
        <v>COMPLEXE RESIDENTIEL-KONG GROS ŒUVRE GL</v>
      </c>
    </row>
    <row r="14" spans="2:16" x14ac:dyDescent="0.2">
      <c r="C14" s="7">
        <v>45616</v>
      </c>
      <c r="D14" s="11" t="s">
        <v>493</v>
      </c>
      <c r="E14" s="32" t="s">
        <v>60</v>
      </c>
      <c r="F14" s="54" t="s">
        <v>138</v>
      </c>
      <c r="G14" s="2">
        <v>30</v>
      </c>
      <c r="H14" s="391">
        <v>540000</v>
      </c>
      <c r="I14" s="391">
        <v>540000</v>
      </c>
      <c r="J14" s="90">
        <f>+SUMIFS(Tableau6[MONTANT HT],Tableau6[CLIENT],Tableau2[[#This Row],[NOM CLIENT]],Tableau6[N° BC],Tableau2[[#This Row],[ID BC UNIQUE]])-SUMIFS(Tableau6[MONTANT HT],Tableau6[CLIENT],Tableau2[[#This Row],[NOM CLIENT]],Tableau6[N° BC],Tableau2[[#This Row],[ID BC UNIQUE]])</f>
        <v>0</v>
      </c>
      <c r="K14" s="90">
        <f>Tableau2[[#This Row],[MONTANT HT VALIDE]]-Tableau2[[#This Row],[MONTANT HT FACTURE]]</f>
        <v>540000</v>
      </c>
      <c r="L14" s="34">
        <f>+IFERROR(Tableau2[[#This Row],[MONTANT HT FACTURE]]/Tableau2[[#This Row],[MONTANT HT VALIDE]],0)</f>
        <v>0</v>
      </c>
      <c r="M1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4" t="str">
        <f>+IFERROR(INDEX(Tableau6[[ENTITE]:[N° BC]],MATCH(Tableau2[[#This Row],[ID BC UNIQUE]],Tableau6[N° BC],0),7),"")</f>
        <v>257B0203</v>
      </c>
      <c r="O14" t="str">
        <f>+IFERROR(INDEX(Tableau24[],MATCH(Tableau2[[#This Row],[CODE PROJET]],Tableau24[CODE PROJET],0),2),"")</f>
        <v>COMPLEXE RESIDENTIEL KONG-GROS ŒUVRE FONDATION</v>
      </c>
    </row>
    <row r="15" spans="2:16" x14ac:dyDescent="0.2">
      <c r="C15" s="7">
        <v>45616</v>
      </c>
      <c r="D15" s="11" t="s">
        <v>449</v>
      </c>
      <c r="E15" s="32" t="s">
        <v>60</v>
      </c>
      <c r="F15" s="54" t="s">
        <v>138</v>
      </c>
      <c r="G15" s="2">
        <v>30</v>
      </c>
      <c r="H15" s="391">
        <v>2602000</v>
      </c>
      <c r="I15" s="391">
        <v>2602000</v>
      </c>
      <c r="J15" s="90">
        <f>+SUMIFS(Tableau6[MONTANT HT],Tableau6[CLIENT],Tableau2[[#This Row],[NOM CLIENT]],Tableau6[N° BC],Tableau2[[#This Row],[ID BC UNIQUE]])-SUMIFS(Tableau6[MONTANT HT],Tableau6[CLIENT],Tableau2[[#This Row],[NOM CLIENT]],Tableau6[N° BC],Tableau2[[#This Row],[ID BC UNIQUE]])</f>
        <v>0</v>
      </c>
      <c r="K15" s="90">
        <f>Tableau2[[#This Row],[MONTANT HT VALIDE]]-Tableau2[[#This Row],[MONTANT HT FACTURE]]</f>
        <v>2602000</v>
      </c>
      <c r="L15" s="34">
        <f>+IFERROR(Tableau2[[#This Row],[MONTANT HT FACTURE]]/Tableau2[[#This Row],[MONTANT HT VALIDE]],0)</f>
        <v>0</v>
      </c>
      <c r="M1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5" t="str">
        <f>+IFERROR(INDEX(Tableau6[[ENTITE]:[N° BC]],MATCH(Tableau2[[#This Row],[ID BC UNIQUE]],Tableau6[N° BC],0),7),"")</f>
        <v>252B0402</v>
      </c>
      <c r="O15" t="str">
        <f>+IFERROR(INDEX(Tableau24[],MATCH(Tableau2[[#This Row],[CODE PROJET]],Tableau24[CODE PROJET],0),2),"")</f>
        <v>REHAB. TOUR C CHARPENTE COUVERTURE M</v>
      </c>
    </row>
    <row r="16" spans="2:16" x14ac:dyDescent="0.2">
      <c r="C16" s="7">
        <v>45616</v>
      </c>
      <c r="D16" s="11" t="s">
        <v>558</v>
      </c>
      <c r="E16" s="32" t="s">
        <v>60</v>
      </c>
      <c r="F16" s="54" t="s">
        <v>138</v>
      </c>
      <c r="G16" s="2">
        <v>30</v>
      </c>
      <c r="H16" s="391">
        <v>4860000</v>
      </c>
      <c r="I16" s="391">
        <v>4860000</v>
      </c>
      <c r="J16" s="90">
        <f>+SUMIFS(Tableau6[MONTANT HT],Tableau6[CLIENT],Tableau2[[#This Row],[NOM CLIENT]],Tableau6[N° BC],Tableau2[[#This Row],[ID BC UNIQUE]])-SUMIFS(Tableau6[MONTANT HT],Tableau6[CLIENT],Tableau2[[#This Row],[NOM CLIENT]],Tableau6[N° BC],Tableau2[[#This Row],[ID BC UNIQUE]])</f>
        <v>0</v>
      </c>
      <c r="K16" s="90">
        <f>Tableau2[[#This Row],[MONTANT HT VALIDE]]-Tableau2[[#This Row],[MONTANT HT FACTURE]]</f>
        <v>4860000</v>
      </c>
      <c r="L16" s="34">
        <f>+IFERROR(Tableau2[[#This Row],[MONTANT HT FACTURE]]/Tableau2[[#This Row],[MONTANT HT VALIDE]],0)</f>
        <v>0</v>
      </c>
      <c r="M1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6" t="str">
        <f>+IFERROR(INDEX(Tableau6[[ENTITE]:[N° BC]],MATCH(Tableau2[[#This Row],[ID BC UNIQUE]],Tableau6[N° BC],0),7),"")</f>
        <v>257B0209</v>
      </c>
      <c r="O16" t="str">
        <f>+IFERROR(INDEX(Tableau24[],MATCH(Tableau2[[#This Row],[CODE PROJET]],Tableau24[CODE PROJET],0),2),"")</f>
        <v>COMPLEXE RESIDENTIEL-KONG-GROS ŒUVRE DRAINAGE</v>
      </c>
    </row>
    <row r="17" spans="3:15" x14ac:dyDescent="0.2">
      <c r="C17" s="7">
        <v>45623</v>
      </c>
      <c r="D17" s="11" t="s">
        <v>472</v>
      </c>
      <c r="E17" s="32" t="s">
        <v>60</v>
      </c>
      <c r="F17" s="54" t="s">
        <v>138</v>
      </c>
      <c r="G17" s="2">
        <v>30</v>
      </c>
      <c r="H17" s="391">
        <v>180000</v>
      </c>
      <c r="I17" s="391">
        <v>180000</v>
      </c>
      <c r="J17" s="90">
        <f>+SUMIFS(Tableau6[MONTANT HT],Tableau6[CLIENT],Tableau2[[#This Row],[NOM CLIENT]],Tableau6[N° BC],Tableau2[[#This Row],[ID BC UNIQUE]])-SUMIFS(Tableau6[MONTANT HT],Tableau6[CLIENT],Tableau2[[#This Row],[NOM CLIENT]],Tableau6[N° BC],Tableau2[[#This Row],[ID BC UNIQUE]])</f>
        <v>0</v>
      </c>
      <c r="K17" s="90">
        <f>Tableau2[[#This Row],[MONTANT HT VALIDE]]-Tableau2[[#This Row],[MONTANT HT FACTURE]]</f>
        <v>180000</v>
      </c>
      <c r="L17" s="34">
        <f>+IFERROR(Tableau2[[#This Row],[MONTANT HT FACTURE]]/Tableau2[[#This Row],[MONTANT HT VALIDE]],0)</f>
        <v>0</v>
      </c>
      <c r="M1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7" t="str">
        <f>+IFERROR(INDEX(Tableau6[[ENTITE]:[N° BC]],MATCH(Tableau2[[#This Row],[ID BC UNIQUE]],Tableau6[N° BC],0),7),"")</f>
        <v>257B0203</v>
      </c>
      <c r="O17" t="str">
        <f>+IFERROR(INDEX(Tableau24[],MATCH(Tableau2[[#This Row],[CODE PROJET]],Tableau24[CODE PROJET],0),2),"")</f>
        <v>COMPLEXE RESIDENTIEL KONG-GROS ŒUVRE FONDATION</v>
      </c>
    </row>
    <row r="18" spans="3:15" x14ac:dyDescent="0.2">
      <c r="C18" s="7">
        <v>45625</v>
      </c>
      <c r="D18" s="11" t="s">
        <v>492</v>
      </c>
      <c r="E18" s="32" t="s">
        <v>60</v>
      </c>
      <c r="F18" s="54" t="s">
        <v>138</v>
      </c>
      <c r="G18" s="2">
        <v>30</v>
      </c>
      <c r="H18" s="391">
        <v>1350000</v>
      </c>
      <c r="I18" s="391">
        <v>1350000</v>
      </c>
      <c r="J18" s="90">
        <f>+SUMIFS(Tableau6[MONTANT HT],Tableau6[CLIENT],Tableau2[[#This Row],[NOM CLIENT]],Tableau6[N° BC],Tableau2[[#This Row],[ID BC UNIQUE]])-SUMIFS(Tableau6[MONTANT HT],Tableau6[CLIENT],Tableau2[[#This Row],[NOM CLIENT]],Tableau6[N° BC],Tableau2[[#This Row],[ID BC UNIQUE]])</f>
        <v>0</v>
      </c>
      <c r="K18" s="90">
        <f>Tableau2[[#This Row],[MONTANT HT VALIDE]]-Tableau2[[#This Row],[MONTANT HT FACTURE]]</f>
        <v>1350000</v>
      </c>
      <c r="L18" s="34">
        <f>+IFERROR(Tableau2[[#This Row],[MONTANT HT FACTURE]]/Tableau2[[#This Row],[MONTANT HT VALIDE]],0)</f>
        <v>0</v>
      </c>
      <c r="M1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8" t="str">
        <f>+IFERROR(INDEX(Tableau6[[ENTITE]:[N° BC]],MATCH(Tableau2[[#This Row],[ID BC UNIQUE]],Tableau6[N° BC],0),7),"")</f>
        <v>257B0209</v>
      </c>
      <c r="O18" t="str">
        <f>+IFERROR(INDEX(Tableau24[],MATCH(Tableau2[[#This Row],[CODE PROJET]],Tableau24[CODE PROJET],0),2),"")</f>
        <v>COMPLEXE RESIDENTIEL-KONG-GROS ŒUVRE DRAINAGE</v>
      </c>
    </row>
    <row r="19" spans="3:15" x14ac:dyDescent="0.2">
      <c r="C19" s="7">
        <v>45625</v>
      </c>
      <c r="D19" s="11" t="s">
        <v>494</v>
      </c>
      <c r="E19" s="32" t="s">
        <v>60</v>
      </c>
      <c r="F19" s="54" t="s">
        <v>138</v>
      </c>
      <c r="G19" s="2">
        <v>30</v>
      </c>
      <c r="H19" s="391">
        <v>4000000</v>
      </c>
      <c r="I19" s="391">
        <v>4000000</v>
      </c>
      <c r="J19" s="90">
        <f>+SUMIFS(Tableau6[MONTANT HT],Tableau6[CLIENT],Tableau2[[#This Row],[NOM CLIENT]],Tableau6[N° BC],Tableau2[[#This Row],[ID BC UNIQUE]])-SUMIFS(Tableau6[MONTANT HT],Tableau6[CLIENT],Tableau2[[#This Row],[NOM CLIENT]],Tableau6[N° BC],Tableau2[[#This Row],[ID BC UNIQUE]])</f>
        <v>0</v>
      </c>
      <c r="K19" s="90">
        <f>Tableau2[[#This Row],[MONTANT HT VALIDE]]-Tableau2[[#This Row],[MONTANT HT FACTURE]]</f>
        <v>4000000</v>
      </c>
      <c r="L19" s="34">
        <f>+IFERROR(Tableau2[[#This Row],[MONTANT HT FACTURE]]/Tableau2[[#This Row],[MONTANT HT VALIDE]],0)</f>
        <v>0</v>
      </c>
      <c r="M1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9" t="str">
        <f>+IFERROR(INDEX(Tableau6[[ENTITE]:[N° BC]],MATCH(Tableau2[[#This Row],[ID BC UNIQUE]],Tableau6[N° BC],0),7),"")</f>
        <v>257B0209</v>
      </c>
      <c r="O19" t="str">
        <f>+IFERROR(INDEX(Tableau24[],MATCH(Tableau2[[#This Row],[CODE PROJET]],Tableau24[CODE PROJET],0),2),"")</f>
        <v>COMPLEXE RESIDENTIEL-KONG-GROS ŒUVRE DRAINAGE</v>
      </c>
    </row>
    <row r="20" spans="3:15" x14ac:dyDescent="0.2">
      <c r="C20" s="7">
        <v>45625</v>
      </c>
      <c r="D20" s="11" t="s">
        <v>495</v>
      </c>
      <c r="E20" s="32" t="s">
        <v>60</v>
      </c>
      <c r="F20" s="54" t="s">
        <v>138</v>
      </c>
      <c r="G20" s="2">
        <v>30</v>
      </c>
      <c r="H20" s="391">
        <v>400000</v>
      </c>
      <c r="I20" s="391">
        <v>400000</v>
      </c>
      <c r="J20" s="90">
        <f>+SUMIFS(Tableau6[MONTANT HT],Tableau6[CLIENT],Tableau2[[#This Row],[NOM CLIENT]],Tableau6[N° BC],Tableau2[[#This Row],[ID BC UNIQUE]])-SUMIFS(Tableau6[MONTANT HT],Tableau6[CLIENT],Tableau2[[#This Row],[NOM CLIENT]],Tableau6[N° BC],Tableau2[[#This Row],[ID BC UNIQUE]])</f>
        <v>0</v>
      </c>
      <c r="K20" s="90">
        <f>Tableau2[[#This Row],[MONTANT HT VALIDE]]-Tableau2[[#This Row],[MONTANT HT FACTURE]]</f>
        <v>400000</v>
      </c>
      <c r="L20" s="34">
        <f>+IFERROR(Tableau2[[#This Row],[MONTANT HT FACTURE]]/Tableau2[[#This Row],[MONTANT HT VALIDE]],0)</f>
        <v>0</v>
      </c>
      <c r="M2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0" t="str">
        <f>+IFERROR(INDEX(Tableau6[[ENTITE]:[N° BC]],MATCH(Tableau2[[#This Row],[ID BC UNIQUE]],Tableau6[N° BC],0),7),"")</f>
        <v>257B0207</v>
      </c>
      <c r="O20" t="str">
        <f>+IFERROR(INDEX(Tableau24[],MATCH(Tableau2[[#This Row],[CODE PROJET]],Tableau24[CODE PROJET],0),2),"")</f>
        <v>COMPLEXE RESIDENTIEL KONG-GROS ŒUVRE M.O</v>
      </c>
    </row>
    <row r="21" spans="3:15" x14ac:dyDescent="0.2">
      <c r="C21" s="7">
        <v>45625</v>
      </c>
      <c r="D21" s="11" t="s">
        <v>535</v>
      </c>
      <c r="E21" s="32" t="s">
        <v>60</v>
      </c>
      <c r="F21" s="54" t="s">
        <v>138</v>
      </c>
      <c r="G21" s="2">
        <v>30</v>
      </c>
      <c r="H21" s="391">
        <v>4800000</v>
      </c>
      <c r="I21" s="391">
        <v>4800000</v>
      </c>
      <c r="J21" s="90">
        <f>+SUMIFS(Tableau6[MONTANT HT],Tableau6[CLIENT],Tableau2[[#This Row],[NOM CLIENT]],Tableau6[N° BC],Tableau2[[#This Row],[ID BC UNIQUE]])-SUMIFS(Tableau6[MONTANT HT],Tableau6[CLIENT],Tableau2[[#This Row],[NOM CLIENT]],Tableau6[N° BC],Tableau2[[#This Row],[ID BC UNIQUE]])</f>
        <v>0</v>
      </c>
      <c r="K21" s="90">
        <f>Tableau2[[#This Row],[MONTANT HT VALIDE]]-Tableau2[[#This Row],[MONTANT HT FACTURE]]</f>
        <v>4800000</v>
      </c>
      <c r="L21" s="34">
        <f>+IFERROR(Tableau2[[#This Row],[MONTANT HT FACTURE]]/Tableau2[[#This Row],[MONTANT HT VALIDE]],0)</f>
        <v>0</v>
      </c>
      <c r="M2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1" t="str">
        <f>+IFERROR(INDEX(Tableau6[[ENTITE]:[N° BC]],MATCH(Tableau2[[#This Row],[ID BC UNIQUE]],Tableau6[N° BC],0),7),"")</f>
        <v>257B0209</v>
      </c>
      <c r="O21" t="str">
        <f>+IFERROR(INDEX(Tableau24[],MATCH(Tableau2[[#This Row],[CODE PROJET]],Tableau24[CODE PROJET],0),2),"")</f>
        <v>COMPLEXE RESIDENTIEL-KONG-GROS ŒUVRE DRAINAGE</v>
      </c>
    </row>
    <row r="22" spans="3:15" x14ac:dyDescent="0.2">
      <c r="C22" s="7">
        <v>45625</v>
      </c>
      <c r="D22" s="11" t="s">
        <v>556</v>
      </c>
      <c r="E22" s="32" t="s">
        <v>60</v>
      </c>
      <c r="F22" s="54" t="s">
        <v>138</v>
      </c>
      <c r="G22" s="2">
        <v>30</v>
      </c>
      <c r="H22" s="391">
        <v>4860000</v>
      </c>
      <c r="I22" s="391">
        <v>4860000</v>
      </c>
      <c r="J22" s="90">
        <f>+SUMIFS(Tableau6[MONTANT HT],Tableau6[CLIENT],Tableau2[[#This Row],[NOM CLIENT]],Tableau6[N° BC],Tableau2[[#This Row],[ID BC UNIQUE]])-SUMIFS(Tableau6[MONTANT HT],Tableau6[CLIENT],Tableau2[[#This Row],[NOM CLIENT]],Tableau6[N° BC],Tableau2[[#This Row],[ID BC UNIQUE]])</f>
        <v>0</v>
      </c>
      <c r="K22" s="90">
        <f>Tableau2[[#This Row],[MONTANT HT VALIDE]]-Tableau2[[#This Row],[MONTANT HT FACTURE]]</f>
        <v>4860000</v>
      </c>
      <c r="L22" s="34">
        <f>+IFERROR(Tableau2[[#This Row],[MONTANT HT FACTURE]]/Tableau2[[#This Row],[MONTANT HT VALIDE]],0)</f>
        <v>0</v>
      </c>
      <c r="M2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2" t="str">
        <f>+IFERROR(INDEX(Tableau6[[ENTITE]:[N° BC]],MATCH(Tableau2[[#This Row],[ID BC UNIQUE]],Tableau6[N° BC],0),7),"")</f>
        <v>257B0209</v>
      </c>
      <c r="O22" t="str">
        <f>+IFERROR(INDEX(Tableau24[],MATCH(Tableau2[[#This Row],[CODE PROJET]],Tableau24[CODE PROJET],0),2),"")</f>
        <v>COMPLEXE RESIDENTIEL-KONG-GROS ŒUVRE DRAINAGE</v>
      </c>
    </row>
    <row r="23" spans="3:15" x14ac:dyDescent="0.2">
      <c r="C23" s="7">
        <v>45628</v>
      </c>
      <c r="D23" s="11" t="s">
        <v>496</v>
      </c>
      <c r="E23" s="32" t="s">
        <v>60</v>
      </c>
      <c r="F23" s="54" t="s">
        <v>138</v>
      </c>
      <c r="G23" s="2">
        <v>30</v>
      </c>
      <c r="H23" s="391">
        <v>1400000</v>
      </c>
      <c r="I23" s="391">
        <v>1400000</v>
      </c>
      <c r="J23" s="90">
        <f>+SUMIFS(Tableau6[MONTANT HT],Tableau6[CLIENT],Tableau2[[#This Row],[NOM CLIENT]],Tableau6[N° BC],Tableau2[[#This Row],[ID BC UNIQUE]])-SUMIFS(Tableau6[MONTANT HT],Tableau6[CLIENT],Tableau2[[#This Row],[NOM CLIENT]],Tableau6[N° BC],Tableau2[[#This Row],[ID BC UNIQUE]])</f>
        <v>0</v>
      </c>
      <c r="K23" s="90">
        <f>Tableau2[[#This Row],[MONTANT HT VALIDE]]-Tableau2[[#This Row],[MONTANT HT FACTURE]]</f>
        <v>1400000</v>
      </c>
      <c r="L23" s="34">
        <f>+IFERROR(Tableau2[[#This Row],[MONTANT HT FACTURE]]/Tableau2[[#This Row],[MONTANT HT VALIDE]],0)</f>
        <v>0</v>
      </c>
      <c r="M2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3" t="str">
        <f>+IFERROR(INDEX(Tableau6[[ENTITE]:[N° BC]],MATCH(Tableau2[[#This Row],[ID BC UNIQUE]],Tableau6[N° BC],0),7),"")</f>
        <v>257B0203</v>
      </c>
      <c r="O23" t="str">
        <f>+IFERROR(INDEX(Tableau24[],MATCH(Tableau2[[#This Row],[CODE PROJET]],Tableau24[CODE PROJET],0),2),"")</f>
        <v>COMPLEXE RESIDENTIEL KONG-GROS ŒUVRE FONDATION</v>
      </c>
    </row>
    <row r="24" spans="3:15" x14ac:dyDescent="0.2">
      <c r="C24" s="7">
        <v>45628</v>
      </c>
      <c r="D24" s="11" t="s">
        <v>497</v>
      </c>
      <c r="E24" s="32" t="s">
        <v>60</v>
      </c>
      <c r="F24" s="54" t="s">
        <v>138</v>
      </c>
      <c r="G24" s="2">
        <v>30</v>
      </c>
      <c r="H24" s="391">
        <v>3800000</v>
      </c>
      <c r="I24" s="391">
        <v>3800000</v>
      </c>
      <c r="J24" s="90">
        <f>+SUMIFS(Tableau6[MONTANT HT],Tableau6[CLIENT],Tableau2[[#This Row],[NOM CLIENT]],Tableau6[N° BC],Tableau2[[#This Row],[ID BC UNIQUE]])-SUMIFS(Tableau6[MONTANT HT],Tableau6[CLIENT],Tableau2[[#This Row],[NOM CLIENT]],Tableau6[N° BC],Tableau2[[#This Row],[ID BC UNIQUE]])</f>
        <v>0</v>
      </c>
      <c r="K24" s="90">
        <f>Tableau2[[#This Row],[MONTANT HT VALIDE]]-Tableau2[[#This Row],[MONTANT HT FACTURE]]</f>
        <v>3800000</v>
      </c>
      <c r="L24" s="34">
        <f>+IFERROR(Tableau2[[#This Row],[MONTANT HT FACTURE]]/Tableau2[[#This Row],[MONTANT HT VALIDE]],0)</f>
        <v>0</v>
      </c>
      <c r="M2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4" t="str">
        <f>+IFERROR(INDEX(Tableau6[[ENTITE]:[N° BC]],MATCH(Tableau2[[#This Row],[ID BC UNIQUE]],Tableau6[N° BC],0),7),"")</f>
        <v>257B0200</v>
      </c>
      <c r="O24" t="str">
        <f>+IFERROR(INDEX(Tableau24[],MATCH(Tableau2[[#This Row],[CODE PROJET]],Tableau24[CODE PROJET],0),2),"")</f>
        <v>COMPLEXE RESIDENTIEL-KONG GROS ŒUVRE GL</v>
      </c>
    </row>
    <row r="25" spans="3:15" x14ac:dyDescent="0.2">
      <c r="C25" s="7">
        <v>45628</v>
      </c>
      <c r="D25" s="11" t="s">
        <v>498</v>
      </c>
      <c r="E25" s="32" t="s">
        <v>60</v>
      </c>
      <c r="F25" s="54" t="s">
        <v>138</v>
      </c>
      <c r="G25" s="2">
        <v>30</v>
      </c>
      <c r="H25" s="391">
        <v>2700000</v>
      </c>
      <c r="I25" s="391">
        <v>2700000</v>
      </c>
      <c r="J25" s="90">
        <f>+SUMIFS(Tableau6[MONTANT HT],Tableau6[CLIENT],Tableau2[[#This Row],[NOM CLIENT]],Tableau6[N° BC],Tableau2[[#This Row],[ID BC UNIQUE]])-SUMIFS(Tableau6[MONTANT HT],Tableau6[CLIENT],Tableau2[[#This Row],[NOM CLIENT]],Tableau6[N° BC],Tableau2[[#This Row],[ID BC UNIQUE]])</f>
        <v>0</v>
      </c>
      <c r="K25" s="90">
        <f>Tableau2[[#This Row],[MONTANT HT VALIDE]]-Tableau2[[#This Row],[MONTANT HT FACTURE]]</f>
        <v>2700000</v>
      </c>
      <c r="L25" s="34">
        <f>+IFERROR(Tableau2[[#This Row],[MONTANT HT FACTURE]]/Tableau2[[#This Row],[MONTANT HT VALIDE]],0)</f>
        <v>0</v>
      </c>
      <c r="M2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5" t="str">
        <f>+IFERROR(INDEX(Tableau6[[ENTITE]:[N° BC]],MATCH(Tableau2[[#This Row],[ID BC UNIQUE]],Tableau6[N° BC],0),7),"")</f>
        <v>257B0200</v>
      </c>
      <c r="O25" t="str">
        <f>+IFERROR(INDEX(Tableau24[],MATCH(Tableau2[[#This Row],[CODE PROJET]],Tableau24[CODE PROJET],0),2),"")</f>
        <v>COMPLEXE RESIDENTIEL-KONG GROS ŒUVRE GL</v>
      </c>
    </row>
    <row r="26" spans="3:15" x14ac:dyDescent="0.2">
      <c r="C26" s="7">
        <v>45630</v>
      </c>
      <c r="D26" s="11" t="s">
        <v>488</v>
      </c>
      <c r="E26" s="32" t="s">
        <v>60</v>
      </c>
      <c r="F26" s="54" t="s">
        <v>138</v>
      </c>
      <c r="G26" s="2">
        <v>30</v>
      </c>
      <c r="H26" s="391">
        <v>540000</v>
      </c>
      <c r="I26" s="391">
        <v>540000</v>
      </c>
      <c r="J26" s="90">
        <f>+SUMIFS(Tableau6[MONTANT HT],Tableau6[CLIENT],Tableau2[[#This Row],[NOM CLIENT]],Tableau6[N° BC],Tableau2[[#This Row],[ID BC UNIQUE]])-SUMIFS(Tableau6[MONTANT HT],Tableau6[CLIENT],Tableau2[[#This Row],[NOM CLIENT]],Tableau6[N° BC],Tableau2[[#This Row],[ID BC UNIQUE]])</f>
        <v>0</v>
      </c>
      <c r="K26" s="90">
        <f>Tableau2[[#This Row],[MONTANT HT VALIDE]]-Tableau2[[#This Row],[MONTANT HT FACTURE]]</f>
        <v>540000</v>
      </c>
      <c r="L26" s="34">
        <f>+IFERROR(Tableau2[[#This Row],[MONTANT HT FACTURE]]/Tableau2[[#This Row],[MONTANT HT VALIDE]],0)</f>
        <v>0</v>
      </c>
      <c r="M2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6" t="str">
        <f>+IFERROR(INDEX(Tableau6[[ENTITE]:[N° BC]],MATCH(Tableau2[[#This Row],[ID BC UNIQUE]],Tableau6[N° BC],0),7),"")</f>
        <v>257B0209</v>
      </c>
      <c r="O26" t="str">
        <f>+IFERROR(INDEX(Tableau24[],MATCH(Tableau2[[#This Row],[CODE PROJET]],Tableau24[CODE PROJET],0),2),"")</f>
        <v>COMPLEXE RESIDENTIEL-KONG-GROS ŒUVRE DRAINAGE</v>
      </c>
    </row>
    <row r="27" spans="3:15" x14ac:dyDescent="0.2">
      <c r="C27" s="7">
        <v>45630</v>
      </c>
      <c r="D27" s="11" t="s">
        <v>489</v>
      </c>
      <c r="E27" s="32" t="s">
        <v>60</v>
      </c>
      <c r="F27" s="54" t="s">
        <v>138</v>
      </c>
      <c r="G27" s="2">
        <v>30</v>
      </c>
      <c r="H27" s="391">
        <v>1980000</v>
      </c>
      <c r="I27" s="391">
        <v>1980000</v>
      </c>
      <c r="J27" s="90">
        <f>+SUMIFS(Tableau6[MONTANT HT],Tableau6[CLIENT],Tableau2[[#This Row],[NOM CLIENT]],Tableau6[N° BC],Tableau2[[#This Row],[ID BC UNIQUE]])-SUMIFS(Tableau6[MONTANT HT],Tableau6[CLIENT],Tableau2[[#This Row],[NOM CLIENT]],Tableau6[N° BC],Tableau2[[#This Row],[ID BC UNIQUE]])</f>
        <v>0</v>
      </c>
      <c r="K27" s="90">
        <f>Tableau2[[#This Row],[MONTANT HT VALIDE]]-Tableau2[[#This Row],[MONTANT HT FACTURE]]</f>
        <v>1980000</v>
      </c>
      <c r="L27" s="34">
        <f>+IFERROR(Tableau2[[#This Row],[MONTANT HT FACTURE]]/Tableau2[[#This Row],[MONTANT HT VALIDE]],0)</f>
        <v>0</v>
      </c>
      <c r="M2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7" t="str">
        <f>+IFERROR(INDEX(Tableau6[[ENTITE]:[N° BC]],MATCH(Tableau2[[#This Row],[ID BC UNIQUE]],Tableau6[N° BC],0),7),"")</f>
        <v>257B0207</v>
      </c>
      <c r="O27" t="str">
        <f>+IFERROR(INDEX(Tableau24[],MATCH(Tableau2[[#This Row],[CODE PROJET]],Tableau24[CODE PROJET],0),2),"")</f>
        <v>COMPLEXE RESIDENTIEL KONG-GROS ŒUVRE M.O</v>
      </c>
    </row>
    <row r="28" spans="3:15" x14ac:dyDescent="0.2">
      <c r="C28" s="7">
        <v>45630</v>
      </c>
      <c r="D28" s="11" t="s">
        <v>483</v>
      </c>
      <c r="E28" s="32" t="s">
        <v>60</v>
      </c>
      <c r="F28" s="54" t="s">
        <v>138</v>
      </c>
      <c r="G28" s="2">
        <v>30</v>
      </c>
      <c r="H28" s="391">
        <v>2200000</v>
      </c>
      <c r="I28" s="391">
        <v>2200000</v>
      </c>
      <c r="J28" s="90">
        <f>+SUMIFS(Tableau6[MONTANT HT],Tableau6[CLIENT],Tableau2[[#This Row],[NOM CLIENT]],Tableau6[N° BC],Tableau2[[#This Row],[ID BC UNIQUE]])-SUMIFS(Tableau6[MONTANT HT],Tableau6[CLIENT],Tableau2[[#This Row],[NOM CLIENT]],Tableau6[N° BC],Tableau2[[#This Row],[ID BC UNIQUE]])</f>
        <v>0</v>
      </c>
      <c r="K28" s="90">
        <f>Tableau2[[#This Row],[MONTANT HT VALIDE]]-Tableau2[[#This Row],[MONTANT HT FACTURE]]</f>
        <v>2200000</v>
      </c>
      <c r="L28" s="34">
        <f>+IFERROR(Tableau2[[#This Row],[MONTANT HT FACTURE]]/Tableau2[[#This Row],[MONTANT HT VALIDE]],0)</f>
        <v>0</v>
      </c>
      <c r="M2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8" t="str">
        <f>+IFERROR(INDEX(Tableau6[[ENTITE]:[N° BC]],MATCH(Tableau2[[#This Row],[ID BC UNIQUE]],Tableau6[N° BC],0),7),"")</f>
        <v>257B0207</v>
      </c>
      <c r="O28" t="str">
        <f>+IFERROR(INDEX(Tableau24[],MATCH(Tableau2[[#This Row],[CODE PROJET]],Tableau24[CODE PROJET],0),2),"")</f>
        <v>COMPLEXE RESIDENTIEL KONG-GROS ŒUVRE M.O</v>
      </c>
    </row>
    <row r="29" spans="3:15" x14ac:dyDescent="0.2">
      <c r="C29" s="7">
        <v>45630</v>
      </c>
      <c r="D29" s="11" t="s">
        <v>490</v>
      </c>
      <c r="E29" s="32" t="s">
        <v>60</v>
      </c>
      <c r="F29" s="54" t="s">
        <v>138</v>
      </c>
      <c r="G29" s="2">
        <v>30</v>
      </c>
      <c r="H29" s="391">
        <v>1400000</v>
      </c>
      <c r="I29" s="391">
        <v>1400000</v>
      </c>
      <c r="J29" s="90">
        <f>+SUMIFS(Tableau6[MONTANT HT],Tableau6[CLIENT],Tableau2[[#This Row],[NOM CLIENT]],Tableau6[N° BC],Tableau2[[#This Row],[ID BC UNIQUE]])-SUMIFS(Tableau6[MONTANT HT],Tableau6[CLIENT],Tableau2[[#This Row],[NOM CLIENT]],Tableau6[N° BC],Tableau2[[#This Row],[ID BC UNIQUE]])</f>
        <v>0</v>
      </c>
      <c r="K29" s="90">
        <f>Tableau2[[#This Row],[MONTANT HT VALIDE]]-Tableau2[[#This Row],[MONTANT HT FACTURE]]</f>
        <v>1400000</v>
      </c>
      <c r="L29" s="34">
        <f>+IFERROR(Tableau2[[#This Row],[MONTANT HT FACTURE]]/Tableau2[[#This Row],[MONTANT HT VALIDE]],0)</f>
        <v>0</v>
      </c>
      <c r="M2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9" t="str">
        <f>+IFERROR(INDEX(Tableau6[[ENTITE]:[N° BC]],MATCH(Tableau2[[#This Row],[ID BC UNIQUE]],Tableau6[N° BC],0),7),"")</f>
        <v>257B0209</v>
      </c>
      <c r="O29" t="str">
        <f>+IFERROR(INDEX(Tableau24[],MATCH(Tableau2[[#This Row],[CODE PROJET]],Tableau24[CODE PROJET],0),2),"")</f>
        <v>COMPLEXE RESIDENTIEL-KONG-GROS ŒUVRE DRAINAGE</v>
      </c>
    </row>
    <row r="30" spans="3:15" x14ac:dyDescent="0.2">
      <c r="C30" s="7">
        <v>45630</v>
      </c>
      <c r="D30" s="11" t="s">
        <v>499</v>
      </c>
      <c r="E30" s="32" t="s">
        <v>60</v>
      </c>
      <c r="F30" s="54" t="s">
        <v>138</v>
      </c>
      <c r="G30" s="2">
        <v>30</v>
      </c>
      <c r="H30" s="391">
        <v>3500000</v>
      </c>
      <c r="I30" s="391">
        <v>3500000</v>
      </c>
      <c r="J30" s="90">
        <f>+SUMIFS(Tableau6[MONTANT HT],Tableau6[CLIENT],Tableau2[[#This Row],[NOM CLIENT]],Tableau6[N° BC],Tableau2[[#This Row],[ID BC UNIQUE]])-SUMIFS(Tableau6[MONTANT HT],Tableau6[CLIENT],Tableau2[[#This Row],[NOM CLIENT]],Tableau6[N° BC],Tableau2[[#This Row],[ID BC UNIQUE]])</f>
        <v>0</v>
      </c>
      <c r="K30" s="90">
        <f>Tableau2[[#This Row],[MONTANT HT VALIDE]]-Tableau2[[#This Row],[MONTANT HT FACTURE]]</f>
        <v>3500000</v>
      </c>
      <c r="L30" s="34">
        <f>+IFERROR(Tableau2[[#This Row],[MONTANT HT FACTURE]]/Tableau2[[#This Row],[MONTANT HT VALIDE]],0)</f>
        <v>0</v>
      </c>
      <c r="M3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0" t="str">
        <f>+IFERROR(INDEX(Tableau6[[ENTITE]:[N° BC]],MATCH(Tableau2[[#This Row],[ID BC UNIQUE]],Tableau6[N° BC],0),7),"")</f>
        <v>257B0200</v>
      </c>
      <c r="O30" t="str">
        <f>+IFERROR(INDEX(Tableau24[],MATCH(Tableau2[[#This Row],[CODE PROJET]],Tableau24[CODE PROJET],0),2),"")</f>
        <v>COMPLEXE RESIDENTIEL-KONG GROS ŒUVRE GL</v>
      </c>
    </row>
    <row r="31" spans="3:15" x14ac:dyDescent="0.2">
      <c r="C31" s="7">
        <v>45630</v>
      </c>
      <c r="D31" s="11" t="s">
        <v>500</v>
      </c>
      <c r="E31" s="32" t="s">
        <v>60</v>
      </c>
      <c r="F31" s="54" t="s">
        <v>138</v>
      </c>
      <c r="G31" s="2">
        <v>30</v>
      </c>
      <c r="H31" s="391">
        <v>650000</v>
      </c>
      <c r="I31" s="391">
        <v>650000</v>
      </c>
      <c r="J31" s="90">
        <f>+SUMIFS(Tableau6[MONTANT HT],Tableau6[CLIENT],Tableau2[[#This Row],[NOM CLIENT]],Tableau6[N° BC],Tableau2[[#This Row],[ID BC UNIQUE]])-SUMIFS(Tableau6[MONTANT HT],Tableau6[CLIENT],Tableau2[[#This Row],[NOM CLIENT]],Tableau6[N° BC],Tableau2[[#This Row],[ID BC UNIQUE]])</f>
        <v>0</v>
      </c>
      <c r="K31" s="90">
        <f>Tableau2[[#This Row],[MONTANT HT VALIDE]]-Tableau2[[#This Row],[MONTANT HT FACTURE]]</f>
        <v>650000</v>
      </c>
      <c r="L31" s="34">
        <f>+IFERROR(Tableau2[[#This Row],[MONTANT HT FACTURE]]/Tableau2[[#This Row],[MONTANT HT VALIDE]],0)</f>
        <v>0</v>
      </c>
      <c r="M3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1" t="str">
        <f>+IFERROR(INDEX(Tableau6[[ENTITE]:[N° BC]],MATCH(Tableau2[[#This Row],[ID BC UNIQUE]],Tableau6[N° BC],0),7),"")</f>
        <v>257B0200</v>
      </c>
      <c r="O31" t="str">
        <f>+IFERROR(INDEX(Tableau24[],MATCH(Tableau2[[#This Row],[CODE PROJET]],Tableau24[CODE PROJET],0),2),"")</f>
        <v>COMPLEXE RESIDENTIEL-KONG GROS ŒUVRE GL</v>
      </c>
    </row>
    <row r="32" spans="3:15" x14ac:dyDescent="0.2">
      <c r="C32" s="7">
        <v>45630</v>
      </c>
      <c r="D32" s="11" t="s">
        <v>478</v>
      </c>
      <c r="E32" s="32" t="s">
        <v>60</v>
      </c>
      <c r="F32" s="54" t="s">
        <v>138</v>
      </c>
      <c r="G32" s="2">
        <v>30</v>
      </c>
      <c r="H32" s="391">
        <v>720000</v>
      </c>
      <c r="I32" s="391">
        <v>720000</v>
      </c>
      <c r="J32" s="90">
        <f>+SUMIFS(Tableau6[MONTANT HT],Tableau6[CLIENT],Tableau2[[#This Row],[NOM CLIENT]],Tableau6[N° BC],Tableau2[[#This Row],[ID BC UNIQUE]])-SUMIFS(Tableau6[MONTANT HT],Tableau6[CLIENT],Tableau2[[#This Row],[NOM CLIENT]],Tableau6[N° BC],Tableau2[[#This Row],[ID BC UNIQUE]])</f>
        <v>0</v>
      </c>
      <c r="K32" s="90">
        <f>Tableau2[[#This Row],[MONTANT HT VALIDE]]-Tableau2[[#This Row],[MONTANT HT FACTURE]]</f>
        <v>720000</v>
      </c>
      <c r="L32" s="34">
        <f>+IFERROR(Tableau2[[#This Row],[MONTANT HT FACTURE]]/Tableau2[[#This Row],[MONTANT HT VALIDE]],0)</f>
        <v>0</v>
      </c>
      <c r="M3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2" t="str">
        <f>+IFERROR(INDEX(Tableau6[[ENTITE]:[N° BC]],MATCH(Tableau2[[#This Row],[ID BC UNIQUE]],Tableau6[N° BC],0),7),"")</f>
        <v>257B0203</v>
      </c>
      <c r="O32" t="str">
        <f>+IFERROR(INDEX(Tableau24[],MATCH(Tableau2[[#This Row],[CODE PROJET]],Tableau24[CODE PROJET],0),2),"")</f>
        <v>COMPLEXE RESIDENTIEL KONG-GROS ŒUVRE FONDATION</v>
      </c>
    </row>
    <row r="33" spans="3:18" x14ac:dyDescent="0.2">
      <c r="C33" s="7">
        <v>45630</v>
      </c>
      <c r="D33" s="11" t="s">
        <v>557</v>
      </c>
      <c r="E33" s="32" t="s">
        <v>60</v>
      </c>
      <c r="F33" s="54" t="s">
        <v>138</v>
      </c>
      <c r="G33" s="2">
        <v>30</v>
      </c>
      <c r="H33" s="391">
        <v>5000000</v>
      </c>
      <c r="I33" s="391">
        <v>5000000</v>
      </c>
      <c r="J33" s="90">
        <f>+SUMIFS(Tableau6[MONTANT HT],Tableau6[CLIENT],Tableau2[[#This Row],[NOM CLIENT]],Tableau6[N° BC],Tableau2[[#This Row],[ID BC UNIQUE]])-SUMIFS(Tableau6[MONTANT HT],Tableau6[CLIENT],Tableau2[[#This Row],[NOM CLIENT]],Tableau6[N° BC],Tableau2[[#This Row],[ID BC UNIQUE]])</f>
        <v>0</v>
      </c>
      <c r="K33" s="90">
        <f>Tableau2[[#This Row],[MONTANT HT VALIDE]]-Tableau2[[#This Row],[MONTANT HT FACTURE]]</f>
        <v>5000000</v>
      </c>
      <c r="L33" s="34">
        <f>+IFERROR(Tableau2[[#This Row],[MONTANT HT FACTURE]]/Tableau2[[#This Row],[MONTANT HT VALIDE]],0)</f>
        <v>0</v>
      </c>
      <c r="M3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3" t="str">
        <f>+IFERROR(INDEX(Tableau6[[ENTITE]:[N° BC]],MATCH(Tableau2[[#This Row],[ID BC UNIQUE]],Tableau6[N° BC],0),7),"")</f>
        <v>257B0200</v>
      </c>
      <c r="O33" t="str">
        <f>+IFERROR(INDEX(Tableau24[],MATCH(Tableau2[[#This Row],[CODE PROJET]],Tableau24[CODE PROJET],0),2),"")</f>
        <v>COMPLEXE RESIDENTIEL-KONG GROS ŒUVRE GL</v>
      </c>
    </row>
    <row r="34" spans="3:18" x14ac:dyDescent="0.2">
      <c r="C34" s="7">
        <v>45630</v>
      </c>
      <c r="D34" s="11" t="s">
        <v>559</v>
      </c>
      <c r="E34" s="32" t="s">
        <v>60</v>
      </c>
      <c r="F34" s="54" t="s">
        <v>138</v>
      </c>
      <c r="G34" s="2">
        <v>30</v>
      </c>
      <c r="H34" s="391">
        <v>4800000</v>
      </c>
      <c r="I34" s="391">
        <v>4800000</v>
      </c>
      <c r="J34" s="90">
        <f>+SUMIFS(Tableau6[MONTANT HT],Tableau6[CLIENT],Tableau2[[#This Row],[NOM CLIENT]],Tableau6[N° BC],Tableau2[[#This Row],[ID BC UNIQUE]])-SUMIFS(Tableau6[MONTANT HT],Tableau6[CLIENT],Tableau2[[#This Row],[NOM CLIENT]],Tableau6[N° BC],Tableau2[[#This Row],[ID BC UNIQUE]])</f>
        <v>0</v>
      </c>
      <c r="K34" s="90">
        <f>Tableau2[[#This Row],[MONTANT HT VALIDE]]-Tableau2[[#This Row],[MONTANT HT FACTURE]]</f>
        <v>4800000</v>
      </c>
      <c r="L34" s="34">
        <f>+IFERROR(Tableau2[[#This Row],[MONTANT HT FACTURE]]/Tableau2[[#This Row],[MONTANT HT VALIDE]],0)</f>
        <v>0</v>
      </c>
      <c r="M3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4" t="str">
        <f>+IFERROR(INDEX(Tableau6[[ENTITE]:[N° BC]],MATCH(Tableau2[[#This Row],[ID BC UNIQUE]],Tableau6[N° BC],0),7),"")</f>
        <v>257B0200</v>
      </c>
      <c r="O34" t="str">
        <f>+IFERROR(INDEX(Tableau24[],MATCH(Tableau2[[#This Row],[CODE PROJET]],Tableau24[CODE PROJET],0),2),"")</f>
        <v>COMPLEXE RESIDENTIEL-KONG GROS ŒUVRE GL</v>
      </c>
    </row>
    <row r="35" spans="3:18" x14ac:dyDescent="0.2">
      <c r="C35" s="7">
        <v>45630</v>
      </c>
      <c r="D35" s="11" t="s">
        <v>560</v>
      </c>
      <c r="E35" s="32" t="s">
        <v>60</v>
      </c>
      <c r="F35" s="54" t="s">
        <v>138</v>
      </c>
      <c r="G35" s="2">
        <v>30</v>
      </c>
      <c r="H35" s="391">
        <v>4320000</v>
      </c>
      <c r="I35" s="391">
        <v>4320000</v>
      </c>
      <c r="J35" s="90">
        <f>+SUMIFS(Tableau6[MONTANT HT],Tableau6[CLIENT],Tableau2[[#This Row],[NOM CLIENT]],Tableau6[N° BC],Tableau2[[#This Row],[ID BC UNIQUE]])-SUMIFS(Tableau6[MONTANT HT],Tableau6[CLIENT],Tableau2[[#This Row],[NOM CLIENT]],Tableau6[N° BC],Tableau2[[#This Row],[ID BC UNIQUE]])</f>
        <v>0</v>
      </c>
      <c r="K35" s="90">
        <f>Tableau2[[#This Row],[MONTANT HT VALIDE]]-Tableau2[[#This Row],[MONTANT HT FACTURE]]</f>
        <v>4320000</v>
      </c>
      <c r="L35" s="34">
        <f>+IFERROR(Tableau2[[#This Row],[MONTANT HT FACTURE]]/Tableau2[[#This Row],[MONTANT HT VALIDE]],0)</f>
        <v>0</v>
      </c>
      <c r="M3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5" t="str">
        <f>+IFERROR(INDEX(Tableau6[[ENTITE]:[N° BC]],MATCH(Tableau2[[#This Row],[ID BC UNIQUE]],Tableau6[N° BC],0),7),"")</f>
        <v>257B0203</v>
      </c>
      <c r="O35" t="str">
        <f>+IFERROR(INDEX(Tableau24[],MATCH(Tableau2[[#This Row],[CODE PROJET]],Tableau24[CODE PROJET],0),2),"")</f>
        <v>COMPLEXE RESIDENTIEL KONG-GROS ŒUVRE FONDATION</v>
      </c>
    </row>
    <row r="36" spans="3:18" x14ac:dyDescent="0.2">
      <c r="C36" s="7">
        <v>45636</v>
      </c>
      <c r="D36" s="11" t="s">
        <v>442</v>
      </c>
      <c r="E36" s="32" t="s">
        <v>60</v>
      </c>
      <c r="F36" s="55" t="s">
        <v>138</v>
      </c>
      <c r="G36" s="2">
        <v>30</v>
      </c>
      <c r="H36" s="391">
        <v>6392000</v>
      </c>
      <c r="I36" s="155">
        <v>6392000</v>
      </c>
      <c r="J36" s="90">
        <f>+SUMIFS(Tableau6[MONTANT HT],Tableau6[CLIENT],Tableau2[[#This Row],[NOM CLIENT]],Tableau6[N° BC],Tableau2[[#This Row],[ID BC UNIQUE]])-SUMIFS(Tableau6[MONTANT HT],Tableau6[CLIENT],Tableau2[[#This Row],[NOM CLIENT]],Tableau6[N° BC],Tableau2[[#This Row],[ID BC UNIQUE]])</f>
        <v>0</v>
      </c>
      <c r="K36" s="90">
        <f>Tableau2[[#This Row],[MONTANT HT VALIDE]]-Tableau2[[#This Row],[MONTANT HT FACTURE]]</f>
        <v>6392000</v>
      </c>
      <c r="L36" s="34">
        <f>+IFERROR(Tableau2[[#This Row],[MONTANT HT FACTURE]]/Tableau2[[#This Row],[MONTANT HT VALIDE]],0)</f>
        <v>0</v>
      </c>
      <c r="M3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6" t="str">
        <f>+IFERROR(INDEX(Tableau6[[ENTITE]:[N° BC]],MATCH(Tableau2[[#This Row],[ID BC UNIQUE]],Tableau6[N° BC],0),7),"")</f>
        <v>257B0403</v>
      </c>
      <c r="O36" t="str">
        <f>+IFERROR(INDEX(Tableau24[],MATCH(Tableau2[[#This Row],[CODE PROJET]],Tableau24[CODE PROJET],0),2),"")</f>
        <v>COMPLEXE RESIDENTIEL KONG-CHARPENTE COUVERTURE BOIS-05 VILLAS FAMILLE</v>
      </c>
    </row>
    <row r="37" spans="3:18" x14ac:dyDescent="0.2">
      <c r="C37" s="7">
        <v>45636</v>
      </c>
      <c r="D37" s="11" t="s">
        <v>444</v>
      </c>
      <c r="E37" s="32" t="s">
        <v>60</v>
      </c>
      <c r="F37" s="55" t="s">
        <v>138</v>
      </c>
      <c r="G37" s="2">
        <v>30</v>
      </c>
      <c r="H37" s="391">
        <v>4320000</v>
      </c>
      <c r="I37" s="155">
        <v>4320000</v>
      </c>
      <c r="J37" s="90">
        <f>+SUMIFS(Tableau6[MONTANT HT],Tableau6[CLIENT],Tableau2[[#This Row],[NOM CLIENT]],Tableau6[N° BC],Tableau2[[#This Row],[ID BC UNIQUE]])-SUMIFS(Tableau6[MONTANT HT],Tableau6[CLIENT],Tableau2[[#This Row],[NOM CLIENT]],Tableau6[N° BC],Tableau2[[#This Row],[ID BC UNIQUE]])</f>
        <v>0</v>
      </c>
      <c r="K37" s="90">
        <f>Tableau2[[#This Row],[MONTANT HT VALIDE]]-Tableau2[[#This Row],[MONTANT HT FACTURE]]</f>
        <v>4320000</v>
      </c>
      <c r="L37" s="34">
        <f>+IFERROR(Tableau2[[#This Row],[MONTANT HT FACTURE]]/Tableau2[[#This Row],[MONTANT HT VALIDE]],0)</f>
        <v>0</v>
      </c>
      <c r="M3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7" t="str">
        <f>+IFERROR(INDEX(Tableau6[[ENTITE]:[N° BC]],MATCH(Tableau2[[#This Row],[ID BC UNIQUE]],Tableau6[N° BC],0),7),"")</f>
        <v>257B0403</v>
      </c>
      <c r="O37" t="str">
        <f>+IFERROR(INDEX(Tableau24[],MATCH(Tableau2[[#This Row],[CODE PROJET]],Tableau24[CODE PROJET],0),2),"")</f>
        <v>COMPLEXE RESIDENTIEL KONG-CHARPENTE COUVERTURE BOIS-05 VILLAS FAMILLE</v>
      </c>
    </row>
    <row r="38" spans="3:18" x14ac:dyDescent="0.2">
      <c r="C38" s="7">
        <v>45636</v>
      </c>
      <c r="D38" s="11" t="s">
        <v>443</v>
      </c>
      <c r="E38" s="32" t="s">
        <v>60</v>
      </c>
      <c r="F38" s="55" t="s">
        <v>138</v>
      </c>
      <c r="G38" s="2">
        <v>30</v>
      </c>
      <c r="H38" s="391">
        <v>5000000</v>
      </c>
      <c r="I38" s="155">
        <v>5000000</v>
      </c>
      <c r="J38" s="90">
        <f>+SUMIFS(Tableau6[MONTANT HT],Tableau6[CLIENT],Tableau2[[#This Row],[NOM CLIENT]],Tableau6[N° BC],Tableau2[[#This Row],[ID BC UNIQUE]])-SUMIFS(Tableau6[MONTANT HT],Tableau6[CLIENT],Tableau2[[#This Row],[NOM CLIENT]],Tableau6[N° BC],Tableau2[[#This Row],[ID BC UNIQUE]])</f>
        <v>0</v>
      </c>
      <c r="K38" s="90">
        <f>Tableau2[[#This Row],[MONTANT HT VALIDE]]-Tableau2[[#This Row],[MONTANT HT FACTURE]]</f>
        <v>5000000</v>
      </c>
      <c r="L38" s="34">
        <f>+IFERROR(Tableau2[[#This Row],[MONTANT HT FACTURE]]/Tableau2[[#This Row],[MONTANT HT VALIDE]],0)</f>
        <v>0</v>
      </c>
      <c r="M3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8" t="str">
        <f>+IFERROR(INDEX(Tableau6[[ENTITE]:[N° BC]],MATCH(Tableau2[[#This Row],[ID BC UNIQUE]],Tableau6[N° BC],0),7),"")</f>
        <v>257B0005</v>
      </c>
      <c r="O38" t="str">
        <f>+IFERROR(INDEX(Tableau24[],MATCH(Tableau2[[#This Row],[CODE PROJET]],Tableau24[CODE PROJET],0),2),"")</f>
        <v>COMPLEXE RES. KONG GLE</v>
      </c>
    </row>
    <row r="39" spans="3:18" x14ac:dyDescent="0.2">
      <c r="C39" s="7">
        <v>45636</v>
      </c>
      <c r="D39" s="11" t="s">
        <v>448</v>
      </c>
      <c r="E39" s="32" t="s">
        <v>60</v>
      </c>
      <c r="F39" s="55" t="s">
        <v>138</v>
      </c>
      <c r="G39" s="2">
        <v>30</v>
      </c>
      <c r="H39" s="391">
        <v>5000000</v>
      </c>
      <c r="I39" s="155">
        <v>5000000</v>
      </c>
      <c r="J39" s="90">
        <f>+SUMIFS(Tableau6[MONTANT HT],Tableau6[CLIENT],Tableau2[[#This Row],[NOM CLIENT]],Tableau6[N° BC],Tableau2[[#This Row],[ID BC UNIQUE]])-SUMIFS(Tableau6[MONTANT HT],Tableau6[CLIENT],Tableau2[[#This Row],[NOM CLIENT]],Tableau6[N° BC],Tableau2[[#This Row],[ID BC UNIQUE]])</f>
        <v>0</v>
      </c>
      <c r="K39" s="90">
        <f>Tableau2[[#This Row],[MONTANT HT VALIDE]]-Tableau2[[#This Row],[MONTANT HT FACTURE]]</f>
        <v>5000000</v>
      </c>
      <c r="L39" s="34">
        <f>+IFERROR(Tableau2[[#This Row],[MONTANT HT FACTURE]]/Tableau2[[#This Row],[MONTANT HT VALIDE]],0)</f>
        <v>0</v>
      </c>
      <c r="M3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9" t="str">
        <f>+IFERROR(INDEX(Tableau6[[ENTITE]:[N° BC]],MATCH(Tableau2[[#This Row],[ID BC UNIQUE]],Tableau6[N° BC],0),7),"")</f>
        <v>257B0005</v>
      </c>
      <c r="O39" t="str">
        <f>+IFERROR(INDEX(Tableau24[],MATCH(Tableau2[[#This Row],[CODE PROJET]],Tableau24[CODE PROJET],0),2),"")</f>
        <v>COMPLEXE RES. KONG GLE</v>
      </c>
    </row>
    <row r="40" spans="3:18" x14ac:dyDescent="0.2">
      <c r="C40" s="7">
        <v>45636</v>
      </c>
      <c r="D40" s="11" t="s">
        <v>501</v>
      </c>
      <c r="E40" s="32" t="s">
        <v>60</v>
      </c>
      <c r="F40" s="55" t="s">
        <v>138</v>
      </c>
      <c r="G40" s="2">
        <v>30</v>
      </c>
      <c r="H40" s="391">
        <v>1980000</v>
      </c>
      <c r="I40" s="391">
        <v>1980000</v>
      </c>
      <c r="J40" s="90">
        <f>+SUMIFS(Tableau6[MONTANT HT],Tableau6[CLIENT],Tableau2[[#This Row],[NOM CLIENT]],Tableau6[N° BC],Tableau2[[#This Row],[ID BC UNIQUE]])-SUMIFS(Tableau6[MONTANT HT],Tableau6[CLIENT],Tableau2[[#This Row],[NOM CLIENT]],Tableau6[N° BC],Tableau2[[#This Row],[ID BC UNIQUE]])</f>
        <v>0</v>
      </c>
      <c r="K40" s="90">
        <f>Tableau2[[#This Row],[MONTANT HT VALIDE]]-Tableau2[[#This Row],[MONTANT HT FACTURE]]</f>
        <v>1980000</v>
      </c>
      <c r="L40" s="34">
        <f>+IFERROR(Tableau2[[#This Row],[MONTANT HT FACTURE]]/Tableau2[[#This Row],[MONTANT HT VALIDE]],0)</f>
        <v>0</v>
      </c>
      <c r="M4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40" t="str">
        <f>+IFERROR(INDEX(Tableau6[[ENTITE]:[N° BC]],MATCH(Tableau2[[#This Row],[ID BC UNIQUE]],Tableau6[N° BC],0),7),"")</f>
        <v>257B0203</v>
      </c>
      <c r="O40" t="str">
        <f>+IFERROR(INDEX(Tableau24[],MATCH(Tableau2[[#This Row],[CODE PROJET]],Tableau24[CODE PROJET],0),2),"")</f>
        <v>COMPLEXE RESIDENTIEL KONG-GROS ŒUVRE FONDATION</v>
      </c>
      <c r="R40" s="19"/>
    </row>
    <row r="41" spans="3:18" x14ac:dyDescent="0.2">
      <c r="C41" s="7">
        <v>45636</v>
      </c>
      <c r="D41" s="11" t="s">
        <v>502</v>
      </c>
      <c r="E41" s="32" t="s">
        <v>60</v>
      </c>
      <c r="F41" s="55" t="s">
        <v>138</v>
      </c>
      <c r="G41" s="2">
        <v>30</v>
      </c>
      <c r="H41" s="391">
        <v>330000</v>
      </c>
      <c r="I41" s="391">
        <v>330000</v>
      </c>
      <c r="J41" s="90">
        <f>+SUMIFS(Tableau6[MONTANT HT],Tableau6[CLIENT],Tableau2[[#This Row],[NOM CLIENT]],Tableau6[N° BC],Tableau2[[#This Row],[ID BC UNIQUE]])-SUMIFS(Tableau6[MONTANT HT],Tableau6[CLIENT],Tableau2[[#This Row],[NOM CLIENT]],Tableau6[N° BC],Tableau2[[#This Row],[ID BC UNIQUE]])</f>
        <v>0</v>
      </c>
      <c r="K41" s="90">
        <f>Tableau2[[#This Row],[MONTANT HT VALIDE]]-Tableau2[[#This Row],[MONTANT HT FACTURE]]</f>
        <v>330000</v>
      </c>
      <c r="L41" s="34">
        <f>+IFERROR(Tableau2[[#This Row],[MONTANT HT FACTURE]]/Tableau2[[#This Row],[MONTANT HT VALIDE]],0)</f>
        <v>0</v>
      </c>
      <c r="M4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41" t="str">
        <f>+IFERROR(INDEX(Tableau6[[ENTITE]:[N° BC]],MATCH(Tableau2[[#This Row],[ID BC UNIQUE]],Tableau6[N° BC],0),7),"")</f>
        <v>257B0203</v>
      </c>
      <c r="O41" t="str">
        <f>+IFERROR(INDEX(Tableau24[],MATCH(Tableau2[[#This Row],[CODE PROJET]],Tableau24[CODE PROJET],0),2),"")</f>
        <v>COMPLEXE RESIDENTIEL KONG-GROS ŒUVRE FONDATION</v>
      </c>
      <c r="R41" s="18"/>
    </row>
    <row r="42" spans="3:18" x14ac:dyDescent="0.2">
      <c r="C42" s="7">
        <v>45636</v>
      </c>
      <c r="D42" s="11" t="s">
        <v>503</v>
      </c>
      <c r="E42" s="32" t="s">
        <v>60</v>
      </c>
      <c r="F42" s="55" t="s">
        <v>138</v>
      </c>
      <c r="G42" s="2">
        <v>30</v>
      </c>
      <c r="H42" s="391">
        <v>3400000</v>
      </c>
      <c r="I42" s="391">
        <v>3400000</v>
      </c>
      <c r="J42" s="90">
        <f>+SUMIFS(Tableau6[MONTANT HT],Tableau6[CLIENT],Tableau2[[#This Row],[NOM CLIENT]],Tableau6[N° BC],Tableau2[[#This Row],[ID BC UNIQUE]])-SUMIFS(Tableau6[MONTANT HT],Tableau6[CLIENT],Tableau2[[#This Row],[NOM CLIENT]],Tableau6[N° BC],Tableau2[[#This Row],[ID BC UNIQUE]])</f>
        <v>0</v>
      </c>
      <c r="K42" s="90">
        <f>Tableau2[[#This Row],[MONTANT HT VALIDE]]-Tableau2[[#This Row],[MONTANT HT FACTURE]]</f>
        <v>3400000</v>
      </c>
      <c r="L42" s="34">
        <f>+IFERROR(Tableau2[[#This Row],[MONTANT HT FACTURE]]/Tableau2[[#This Row],[MONTANT HT VALIDE]],0)</f>
        <v>0</v>
      </c>
      <c r="M4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42" t="str">
        <f>+IFERROR(INDEX(Tableau6[[ENTITE]:[N° BC]],MATCH(Tableau2[[#This Row],[ID BC UNIQUE]],Tableau6[N° BC],0),7),"")</f>
        <v>257B0203</v>
      </c>
      <c r="O42" t="str">
        <f>+IFERROR(INDEX(Tableau24[],MATCH(Tableau2[[#This Row],[CODE PROJET]],Tableau24[CODE PROJET],0),2),"")</f>
        <v>COMPLEXE RESIDENTIEL KONG-GROS ŒUVRE FONDATION</v>
      </c>
      <c r="R42" s="19"/>
    </row>
    <row r="43" spans="3:18" x14ac:dyDescent="0.2">
      <c r="C43" s="7">
        <v>45636</v>
      </c>
      <c r="D43" s="11" t="s">
        <v>504</v>
      </c>
      <c r="E43" s="32" t="s">
        <v>60</v>
      </c>
      <c r="F43" s="55" t="s">
        <v>138</v>
      </c>
      <c r="G43" s="2">
        <v>30</v>
      </c>
      <c r="H43" s="391">
        <v>1000000</v>
      </c>
      <c r="I43" s="391">
        <v>1000000</v>
      </c>
      <c r="J43" s="90">
        <f>+SUMIFS(Tableau6[MONTANT HT],Tableau6[CLIENT],Tableau2[[#This Row],[NOM CLIENT]],Tableau6[N° BC],Tableau2[[#This Row],[ID BC UNIQUE]])-SUMIFS(Tableau6[MONTANT HT],Tableau6[CLIENT],Tableau2[[#This Row],[NOM CLIENT]],Tableau6[N° BC],Tableau2[[#This Row],[ID BC UNIQUE]])</f>
        <v>0</v>
      </c>
      <c r="K43" s="90">
        <f>Tableau2[[#This Row],[MONTANT HT VALIDE]]-Tableau2[[#This Row],[MONTANT HT FACTURE]]</f>
        <v>1000000</v>
      </c>
      <c r="L43" s="34">
        <f>+IFERROR(Tableau2[[#This Row],[MONTANT HT FACTURE]]/Tableau2[[#This Row],[MONTANT HT VALIDE]],0)</f>
        <v>0</v>
      </c>
      <c r="M4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43" t="str">
        <f>+IFERROR(INDEX(Tableau6[[ENTITE]:[N° BC]],MATCH(Tableau2[[#This Row],[ID BC UNIQUE]],Tableau6[N° BC],0),7),"")</f>
        <v>257B0203</v>
      </c>
      <c r="O43" t="str">
        <f>+IFERROR(INDEX(Tableau24[],MATCH(Tableau2[[#This Row],[CODE PROJET]],Tableau24[CODE PROJET],0),2),"")</f>
        <v>COMPLEXE RESIDENTIEL KONG-GROS ŒUVRE FONDATION</v>
      </c>
    </row>
    <row r="44" spans="3:18" x14ac:dyDescent="0.2">
      <c r="C44" s="7">
        <v>45636</v>
      </c>
      <c r="D44" s="11" t="s">
        <v>505</v>
      </c>
      <c r="E44" s="32" t="s">
        <v>60</v>
      </c>
      <c r="F44" s="55" t="s">
        <v>138</v>
      </c>
      <c r="G44" s="2">
        <v>30</v>
      </c>
      <c r="H44" s="391">
        <v>1875000</v>
      </c>
      <c r="I44" s="391">
        <v>1875000</v>
      </c>
      <c r="J44" s="90">
        <f>+SUMIFS(Tableau6[MONTANT HT],Tableau6[CLIENT],Tableau2[[#This Row],[NOM CLIENT]],Tableau6[N° BC],Tableau2[[#This Row],[ID BC UNIQUE]])-SUMIFS(Tableau6[MONTANT HT],Tableau6[CLIENT],Tableau2[[#This Row],[NOM CLIENT]],Tableau6[N° BC],Tableau2[[#This Row],[ID BC UNIQUE]])</f>
        <v>0</v>
      </c>
      <c r="K44" s="90">
        <f>Tableau2[[#This Row],[MONTANT HT VALIDE]]-Tableau2[[#This Row],[MONTANT HT FACTURE]]</f>
        <v>1875000</v>
      </c>
      <c r="L44" s="34">
        <f>+IFERROR(Tableau2[[#This Row],[MONTANT HT FACTURE]]/Tableau2[[#This Row],[MONTANT HT VALIDE]],0)</f>
        <v>0</v>
      </c>
      <c r="M4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44" t="str">
        <f>+IFERROR(INDEX(Tableau6[[ENTITE]:[N° BC]],MATCH(Tableau2[[#This Row],[ID BC UNIQUE]],Tableau6[N° BC],0),7),"")</f>
        <v>257B0101</v>
      </c>
      <c r="O44" t="str">
        <f>+IFERROR(INDEX(Tableau24[],MATCH(Tableau2[[#This Row],[CODE PROJET]],Tableau24[CODE PROJET],0),2),"")</f>
        <v>COMPLEXE RESIDENTIEL-KONG-AMENAGEMENT EXT TERRASSEMENT</v>
      </c>
    </row>
    <row r="45" spans="3:18" x14ac:dyDescent="0.2">
      <c r="C45" s="7">
        <v>45636</v>
      </c>
      <c r="D45" s="11" t="s">
        <v>506</v>
      </c>
      <c r="E45" s="32" t="s">
        <v>60</v>
      </c>
      <c r="F45" s="55" t="s">
        <v>138</v>
      </c>
      <c r="G45" s="2">
        <v>30</v>
      </c>
      <c r="H45" s="391">
        <v>3800000</v>
      </c>
      <c r="I45" s="391">
        <v>3800000</v>
      </c>
      <c r="J45" s="90">
        <f>+SUMIFS(Tableau6[MONTANT HT],Tableau6[CLIENT],Tableau2[[#This Row],[NOM CLIENT]],Tableau6[N° BC],Tableau2[[#This Row],[ID BC UNIQUE]])-SUMIFS(Tableau6[MONTANT HT],Tableau6[CLIENT],Tableau2[[#This Row],[NOM CLIENT]],Tableau6[N° BC],Tableau2[[#This Row],[ID BC UNIQUE]])</f>
        <v>0</v>
      </c>
      <c r="K45" s="90">
        <f>Tableau2[[#This Row],[MONTANT HT VALIDE]]-Tableau2[[#This Row],[MONTANT HT FACTURE]]</f>
        <v>3800000</v>
      </c>
      <c r="L45" s="34">
        <f>+IFERROR(Tableau2[[#This Row],[MONTANT HT FACTURE]]/Tableau2[[#This Row],[MONTANT HT VALIDE]],0)</f>
        <v>0</v>
      </c>
      <c r="M4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45" t="str">
        <f>+IFERROR(INDEX(Tableau6[[ENTITE]:[N° BC]],MATCH(Tableau2[[#This Row],[ID BC UNIQUE]],Tableau6[N° BC],0),7),"")</f>
        <v>257B0209</v>
      </c>
      <c r="O45" t="str">
        <f>+IFERROR(INDEX(Tableau24[],MATCH(Tableau2[[#This Row],[CODE PROJET]],Tableau24[CODE PROJET],0),2),"")</f>
        <v>COMPLEXE RESIDENTIEL-KONG-GROS ŒUVRE DRAINAGE</v>
      </c>
    </row>
    <row r="46" spans="3:18" x14ac:dyDescent="0.2">
      <c r="C46" s="7">
        <v>45636</v>
      </c>
      <c r="D46" s="11" t="s">
        <v>482</v>
      </c>
      <c r="E46" s="32" t="s">
        <v>60</v>
      </c>
      <c r="F46" s="55" t="s">
        <v>138</v>
      </c>
      <c r="G46" s="2">
        <v>30</v>
      </c>
      <c r="H46" s="391">
        <v>360000</v>
      </c>
      <c r="I46" s="391">
        <v>360000</v>
      </c>
      <c r="J46" s="90">
        <f>+SUMIFS(Tableau6[MONTANT HT],Tableau6[CLIENT],Tableau2[[#This Row],[NOM CLIENT]],Tableau6[N° BC],Tableau2[[#This Row],[ID BC UNIQUE]])-SUMIFS(Tableau6[MONTANT HT],Tableau6[CLIENT],Tableau2[[#This Row],[NOM CLIENT]],Tableau6[N° BC],Tableau2[[#This Row],[ID BC UNIQUE]])</f>
        <v>0</v>
      </c>
      <c r="K46" s="90">
        <f>Tableau2[[#This Row],[MONTANT HT VALIDE]]-Tableau2[[#This Row],[MONTANT HT FACTURE]]</f>
        <v>360000</v>
      </c>
      <c r="L46" s="34">
        <f>+IFERROR(Tableau2[[#This Row],[MONTANT HT FACTURE]]/Tableau2[[#This Row],[MONTANT HT VALIDE]],0)</f>
        <v>0</v>
      </c>
      <c r="M4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46" t="str">
        <f>+IFERROR(INDEX(Tableau6[[ENTITE]:[N° BC]],MATCH(Tableau2[[#This Row],[ID BC UNIQUE]],Tableau6[N° BC],0),7),"")</f>
        <v>257B0209</v>
      </c>
      <c r="O46" t="str">
        <f>+IFERROR(INDEX(Tableau24[],MATCH(Tableau2[[#This Row],[CODE PROJET]],Tableau24[CODE PROJET],0),2),"")</f>
        <v>COMPLEXE RESIDENTIEL-KONG-GROS ŒUVRE DRAINAGE</v>
      </c>
    </row>
    <row r="47" spans="3:18" x14ac:dyDescent="0.2">
      <c r="C47" s="7">
        <v>45636</v>
      </c>
      <c r="D47" s="11" t="s">
        <v>481</v>
      </c>
      <c r="E47" s="32" t="s">
        <v>60</v>
      </c>
      <c r="F47" s="55" t="s">
        <v>138</v>
      </c>
      <c r="G47" s="2">
        <v>30</v>
      </c>
      <c r="H47" s="391">
        <v>200000</v>
      </c>
      <c r="I47" s="391">
        <v>200000</v>
      </c>
      <c r="J47" s="90">
        <f>+SUMIFS(Tableau6[MONTANT HT],Tableau6[CLIENT],Tableau2[[#This Row],[NOM CLIENT]],Tableau6[N° BC],Tableau2[[#This Row],[ID BC UNIQUE]])-SUMIFS(Tableau6[MONTANT HT],Tableau6[CLIENT],Tableau2[[#This Row],[NOM CLIENT]],Tableau6[N° BC],Tableau2[[#This Row],[ID BC UNIQUE]])</f>
        <v>0</v>
      </c>
      <c r="K47" s="90">
        <f>Tableau2[[#This Row],[MONTANT HT VALIDE]]-Tableau2[[#This Row],[MONTANT HT FACTURE]]</f>
        <v>200000</v>
      </c>
      <c r="L47" s="34">
        <f>+IFERROR(Tableau2[[#This Row],[MONTANT HT FACTURE]]/Tableau2[[#This Row],[MONTANT HT VALIDE]],0)</f>
        <v>0</v>
      </c>
      <c r="M4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47" t="str">
        <f>+IFERROR(INDEX(Tableau6[[ENTITE]:[N° BC]],MATCH(Tableau2[[#This Row],[ID BC UNIQUE]],Tableau6[N° BC],0),7),"")</f>
        <v>257B0209</v>
      </c>
      <c r="O47" t="str">
        <f>+IFERROR(INDEX(Tableau24[],MATCH(Tableau2[[#This Row],[CODE PROJET]],Tableau24[CODE PROJET],0),2),"")</f>
        <v>COMPLEXE RESIDENTIEL-KONG-GROS ŒUVRE DRAINAGE</v>
      </c>
    </row>
    <row r="48" spans="3:18" x14ac:dyDescent="0.2">
      <c r="C48" s="7">
        <v>45636</v>
      </c>
      <c r="D48" s="11" t="s">
        <v>507</v>
      </c>
      <c r="E48" s="32" t="s">
        <v>60</v>
      </c>
      <c r="F48" s="55" t="s">
        <v>138</v>
      </c>
      <c r="G48" s="2">
        <v>30</v>
      </c>
      <c r="H48" s="391">
        <v>200000</v>
      </c>
      <c r="I48" s="391">
        <v>200000</v>
      </c>
      <c r="J48" s="90">
        <f>+SUMIFS(Tableau6[MONTANT HT],Tableau6[CLIENT],Tableau2[[#This Row],[NOM CLIENT]],Tableau6[N° BC],Tableau2[[#This Row],[ID BC UNIQUE]])-SUMIFS(Tableau6[MONTANT HT],Tableau6[CLIENT],Tableau2[[#This Row],[NOM CLIENT]],Tableau6[N° BC],Tableau2[[#This Row],[ID BC UNIQUE]])</f>
        <v>0</v>
      </c>
      <c r="K48" s="90">
        <f>Tableau2[[#This Row],[MONTANT HT VALIDE]]-Tableau2[[#This Row],[MONTANT HT FACTURE]]</f>
        <v>200000</v>
      </c>
      <c r="L48" s="34">
        <f>+IFERROR(Tableau2[[#This Row],[MONTANT HT FACTURE]]/Tableau2[[#This Row],[MONTANT HT VALIDE]],0)</f>
        <v>0</v>
      </c>
      <c r="M4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48" t="str">
        <f>+IFERROR(INDEX(Tableau6[[ENTITE]:[N° BC]],MATCH(Tableau2[[#This Row],[ID BC UNIQUE]],Tableau6[N° BC],0),7),"")</f>
        <v>257B0209</v>
      </c>
      <c r="O48" t="str">
        <f>+IFERROR(INDEX(Tableau24[],MATCH(Tableau2[[#This Row],[CODE PROJET]],Tableau24[CODE PROJET],0),2),"")</f>
        <v>COMPLEXE RESIDENTIEL-KONG-GROS ŒUVRE DRAINAGE</v>
      </c>
    </row>
    <row r="49" spans="3:18" x14ac:dyDescent="0.2">
      <c r="C49" s="7">
        <v>45636</v>
      </c>
      <c r="D49" s="11" t="s">
        <v>508</v>
      </c>
      <c r="E49" s="32" t="s">
        <v>60</v>
      </c>
      <c r="F49" s="55" t="s">
        <v>138</v>
      </c>
      <c r="G49" s="2">
        <v>30</v>
      </c>
      <c r="H49" s="391">
        <v>1350000</v>
      </c>
      <c r="I49" s="391">
        <v>1350000</v>
      </c>
      <c r="J49" s="90">
        <f>+SUMIFS(Tableau6[MONTANT HT],Tableau6[CLIENT],Tableau2[[#This Row],[NOM CLIENT]],Tableau6[N° BC],Tableau2[[#This Row],[ID BC UNIQUE]])-SUMIFS(Tableau6[MONTANT HT],Tableau6[CLIENT],Tableau2[[#This Row],[NOM CLIENT]],Tableau6[N° BC],Tableau2[[#This Row],[ID BC UNIQUE]])</f>
        <v>0</v>
      </c>
      <c r="K49" s="90">
        <f>Tableau2[[#This Row],[MONTANT HT VALIDE]]-Tableau2[[#This Row],[MONTANT HT FACTURE]]</f>
        <v>1350000</v>
      </c>
      <c r="L49" s="34">
        <f>+IFERROR(Tableau2[[#This Row],[MONTANT HT FACTURE]]/Tableau2[[#This Row],[MONTANT HT VALIDE]],0)</f>
        <v>0</v>
      </c>
      <c r="M4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49" t="str">
        <f>+IFERROR(INDEX(Tableau6[[ENTITE]:[N° BC]],MATCH(Tableau2[[#This Row],[ID BC UNIQUE]],Tableau6[N° BC],0),7),"")</f>
        <v>257B0801</v>
      </c>
      <c r="O49" t="str">
        <f>+IFERROR(INDEX(Tableau24[],MATCH(Tableau2[[#This Row],[CODE PROJET]],Tableau24[CODE PROJET],0),2),"")</f>
        <v>COMPLEXE RES. KONG CLOISON DOUBLAGE</v>
      </c>
    </row>
    <row r="50" spans="3:18" x14ac:dyDescent="0.2">
      <c r="C50" s="7">
        <v>45636</v>
      </c>
      <c r="D50" s="11" t="s">
        <v>509</v>
      </c>
      <c r="E50" s="32" t="s">
        <v>60</v>
      </c>
      <c r="F50" s="55" t="s">
        <v>138</v>
      </c>
      <c r="G50" s="2">
        <v>30</v>
      </c>
      <c r="H50" s="391">
        <v>3500000</v>
      </c>
      <c r="I50" s="391">
        <v>3500000</v>
      </c>
      <c r="J50" s="90">
        <f>+SUMIFS(Tableau6[MONTANT HT],Tableau6[CLIENT],Tableau2[[#This Row],[NOM CLIENT]],Tableau6[N° BC],Tableau2[[#This Row],[ID BC UNIQUE]])-SUMIFS(Tableau6[MONTANT HT],Tableau6[CLIENT],Tableau2[[#This Row],[NOM CLIENT]],Tableau6[N° BC],Tableau2[[#This Row],[ID BC UNIQUE]])</f>
        <v>0</v>
      </c>
      <c r="K50" s="90">
        <f>Tableau2[[#This Row],[MONTANT HT VALIDE]]-Tableau2[[#This Row],[MONTANT HT FACTURE]]</f>
        <v>3500000</v>
      </c>
      <c r="L50" s="34">
        <f>+IFERROR(Tableau2[[#This Row],[MONTANT HT FACTURE]]/Tableau2[[#This Row],[MONTANT HT VALIDE]],0)</f>
        <v>0</v>
      </c>
      <c r="M5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50" t="str">
        <f>+IFERROR(INDEX(Tableau6[[ENTITE]:[N° BC]],MATCH(Tableau2[[#This Row],[ID BC UNIQUE]],Tableau6[N° BC],0),7),"")</f>
        <v>257B0001</v>
      </c>
      <c r="O50" t="str">
        <f>+IFERROR(INDEX(Tableau24[],MATCH(Tableau2[[#This Row],[CODE PROJET]],Tableau24[CODE PROJET],0),2),"")</f>
        <v>COMPLEXE RES KONG RES KONG GLE FRS</v>
      </c>
    </row>
    <row r="51" spans="3:18" x14ac:dyDescent="0.2">
      <c r="C51" s="7">
        <v>45636</v>
      </c>
      <c r="D51" s="11" t="s">
        <v>510</v>
      </c>
      <c r="E51" s="32" t="s">
        <v>60</v>
      </c>
      <c r="F51" s="55" t="s">
        <v>138</v>
      </c>
      <c r="G51" s="2">
        <v>30</v>
      </c>
      <c r="H51" s="391">
        <v>1620000</v>
      </c>
      <c r="I51" s="391">
        <v>1620000</v>
      </c>
      <c r="J51" s="90">
        <f>+SUMIFS(Tableau6[MONTANT HT],Tableau6[CLIENT],Tableau2[[#This Row],[NOM CLIENT]],Tableau6[N° BC],Tableau2[[#This Row],[ID BC UNIQUE]])-SUMIFS(Tableau6[MONTANT HT],Tableau6[CLIENT],Tableau2[[#This Row],[NOM CLIENT]],Tableau6[N° BC],Tableau2[[#This Row],[ID BC UNIQUE]])</f>
        <v>0</v>
      </c>
      <c r="K51" s="90">
        <f>Tableau2[[#This Row],[MONTANT HT VALIDE]]-Tableau2[[#This Row],[MONTANT HT FACTURE]]</f>
        <v>1620000</v>
      </c>
      <c r="L51" s="34">
        <f>+IFERROR(Tableau2[[#This Row],[MONTANT HT FACTURE]]/Tableau2[[#This Row],[MONTANT HT VALIDE]],0)</f>
        <v>0</v>
      </c>
      <c r="M5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51" t="str">
        <f>+IFERROR(INDEX(Tableau6[[ENTITE]:[N° BC]],MATCH(Tableau2[[#This Row],[ID BC UNIQUE]],Tableau6[N° BC],0),7),"")</f>
        <v>257B0207</v>
      </c>
      <c r="O51" t="str">
        <f>+IFERROR(INDEX(Tableau24[],MATCH(Tableau2[[#This Row],[CODE PROJET]],Tableau24[CODE PROJET],0),2),"")</f>
        <v>COMPLEXE RESIDENTIEL KONG-GROS ŒUVRE M.O</v>
      </c>
    </row>
    <row r="52" spans="3:18" x14ac:dyDescent="0.2">
      <c r="C52" s="7">
        <v>45636</v>
      </c>
      <c r="D52" s="11" t="s">
        <v>531</v>
      </c>
      <c r="E52" s="32" t="s">
        <v>60</v>
      </c>
      <c r="F52" s="55" t="s">
        <v>138</v>
      </c>
      <c r="G52" s="2">
        <v>30</v>
      </c>
      <c r="H52" s="391">
        <v>4500000</v>
      </c>
      <c r="I52" s="391">
        <v>4500000</v>
      </c>
      <c r="J52" s="90">
        <f>+SUMIFS(Tableau6[MONTANT HT],Tableau6[CLIENT],Tableau2[[#This Row],[NOM CLIENT]],Tableau6[N° BC],Tableau2[[#This Row],[ID BC UNIQUE]])-SUMIFS(Tableau6[MONTANT HT],Tableau6[CLIENT],Tableau2[[#This Row],[NOM CLIENT]],Tableau6[N° BC],Tableau2[[#This Row],[ID BC UNIQUE]])</f>
        <v>0</v>
      </c>
      <c r="K52" s="90">
        <f>Tableau2[[#This Row],[MONTANT HT VALIDE]]-Tableau2[[#This Row],[MONTANT HT FACTURE]]</f>
        <v>4500000</v>
      </c>
      <c r="L52" s="34">
        <f>+IFERROR(Tableau2[[#This Row],[MONTANT HT FACTURE]]/Tableau2[[#This Row],[MONTANT HT VALIDE]],0)</f>
        <v>0</v>
      </c>
      <c r="M5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52" t="str">
        <f>+IFERROR(INDEX(Tableau6[[ENTITE]:[N° BC]],MATCH(Tableau2[[#This Row],[ID BC UNIQUE]],Tableau6[N° BC],0),7),"")</f>
        <v>257B0206</v>
      </c>
      <c r="O52" t="str">
        <f>+IFERROR(INDEX(Tableau24[],MATCH(Tableau2[[#This Row],[CODE PROJET]],Tableau24[CODE PROJET],0),2),"")</f>
        <v>COMPLEXE RES. KONG GROS ŒUVRE MACO</v>
      </c>
    </row>
    <row r="53" spans="3:18" x14ac:dyDescent="0.2">
      <c r="C53" s="7">
        <v>45636</v>
      </c>
      <c r="D53" s="11" t="s">
        <v>533</v>
      </c>
      <c r="E53" s="32" t="s">
        <v>60</v>
      </c>
      <c r="F53" s="55" t="s">
        <v>138</v>
      </c>
      <c r="G53" s="2">
        <v>30</v>
      </c>
      <c r="H53" s="391">
        <v>5000000</v>
      </c>
      <c r="I53" s="391">
        <v>5000000</v>
      </c>
      <c r="J53" s="90">
        <f>+SUMIFS(Tableau6[MONTANT HT],Tableau6[CLIENT],Tableau2[[#This Row],[NOM CLIENT]],Tableau6[N° BC],Tableau2[[#This Row],[ID BC UNIQUE]])-SUMIFS(Tableau6[MONTANT HT],Tableau6[CLIENT],Tableau2[[#This Row],[NOM CLIENT]],Tableau6[N° BC],Tableau2[[#This Row],[ID BC UNIQUE]])</f>
        <v>0</v>
      </c>
      <c r="K53" s="90">
        <f>Tableau2[[#This Row],[MONTANT HT VALIDE]]-Tableau2[[#This Row],[MONTANT HT FACTURE]]</f>
        <v>5000000</v>
      </c>
      <c r="L53" s="34">
        <f>+IFERROR(Tableau2[[#This Row],[MONTANT HT FACTURE]]/Tableau2[[#This Row],[MONTANT HT VALIDE]],0)</f>
        <v>0</v>
      </c>
      <c r="M5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53" t="str">
        <f>+IFERROR(INDEX(Tableau6[[ENTITE]:[N° BC]],MATCH(Tableau2[[#This Row],[ID BC UNIQUE]],Tableau6[N° BC],0),7),"")</f>
        <v>257B0209</v>
      </c>
      <c r="O53" t="str">
        <f>+IFERROR(INDEX(Tableau24[],MATCH(Tableau2[[#This Row],[CODE PROJET]],Tableau24[CODE PROJET],0),2),"")</f>
        <v>COMPLEXE RESIDENTIEL-KONG-GROS ŒUVRE DRAINAGE</v>
      </c>
    </row>
    <row r="54" spans="3:18" x14ac:dyDescent="0.2">
      <c r="C54" s="7">
        <v>45636</v>
      </c>
      <c r="D54" s="11" t="s">
        <v>551</v>
      </c>
      <c r="E54" s="32" t="s">
        <v>60</v>
      </c>
      <c r="F54" s="55" t="s">
        <v>138</v>
      </c>
      <c r="G54" s="2">
        <v>30</v>
      </c>
      <c r="H54" s="391">
        <v>7456000</v>
      </c>
      <c r="I54" s="391">
        <v>7456000</v>
      </c>
      <c r="J54" s="90">
        <f>+SUMIFS(Tableau6[MONTANT HT],Tableau6[CLIENT],Tableau2[[#This Row],[NOM CLIENT]],Tableau6[N° BC],Tableau2[[#This Row],[ID BC UNIQUE]])-SUMIFS(Tableau6[MONTANT HT],Tableau6[CLIENT],Tableau2[[#This Row],[NOM CLIENT]],Tableau6[N° BC],Tableau2[[#This Row],[ID BC UNIQUE]])</f>
        <v>0</v>
      </c>
      <c r="K54" s="90">
        <f>Tableau2[[#This Row],[MONTANT HT VALIDE]]-Tableau2[[#This Row],[MONTANT HT FACTURE]]</f>
        <v>7456000</v>
      </c>
      <c r="L54" s="34">
        <f>+IFERROR(Tableau2[[#This Row],[MONTANT HT FACTURE]]/Tableau2[[#This Row],[MONTANT HT VALIDE]],0)</f>
        <v>0</v>
      </c>
      <c r="M5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54" t="str">
        <f>+IFERROR(INDEX(Tableau6[[ENTITE]:[N° BC]],MATCH(Tableau2[[#This Row],[ID BC UNIQUE]],Tableau6[N° BC],0),7),"")</f>
        <v>257B0203</v>
      </c>
      <c r="O54" t="str">
        <f>+IFERROR(INDEX(Tableau24[],MATCH(Tableau2[[#This Row],[CODE PROJET]],Tableau24[CODE PROJET],0),2),"")</f>
        <v>COMPLEXE RESIDENTIEL KONG-GROS ŒUVRE FONDATION</v>
      </c>
    </row>
    <row r="55" spans="3:18" x14ac:dyDescent="0.2">
      <c r="C55" s="7">
        <v>45636</v>
      </c>
      <c r="D55" s="11" t="s">
        <v>561</v>
      </c>
      <c r="E55" s="32" t="s">
        <v>60</v>
      </c>
      <c r="F55" s="55" t="s">
        <v>138</v>
      </c>
      <c r="G55" s="2">
        <v>30</v>
      </c>
      <c r="H55" s="391">
        <v>7960000</v>
      </c>
      <c r="I55" s="391">
        <v>7960000</v>
      </c>
      <c r="J55" s="90">
        <f>+SUMIFS(Tableau6[MONTANT HT],Tableau6[CLIENT],Tableau2[[#This Row],[NOM CLIENT]],Tableau6[N° BC],Tableau2[[#This Row],[ID BC UNIQUE]])-SUMIFS(Tableau6[MONTANT HT],Tableau6[CLIENT],Tableau2[[#This Row],[NOM CLIENT]],Tableau6[N° BC],Tableau2[[#This Row],[ID BC UNIQUE]])</f>
        <v>0</v>
      </c>
      <c r="K55" s="90">
        <f>Tableau2[[#This Row],[MONTANT HT VALIDE]]-Tableau2[[#This Row],[MONTANT HT FACTURE]]</f>
        <v>7960000</v>
      </c>
      <c r="L55" s="34">
        <f>+IFERROR(Tableau2[[#This Row],[MONTANT HT FACTURE]]/Tableau2[[#This Row],[MONTANT HT VALIDE]],0)</f>
        <v>0</v>
      </c>
      <c r="M5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55" t="str">
        <f>+IFERROR(INDEX(Tableau6[[ENTITE]:[N° BC]],MATCH(Tableau2[[#This Row],[ID BC UNIQUE]],Tableau6[N° BC],0),7),"")</f>
        <v>257B0203</v>
      </c>
      <c r="O55" t="str">
        <f>+IFERROR(INDEX(Tableau24[],MATCH(Tableau2[[#This Row],[CODE PROJET]],Tableau24[CODE PROJET],0),2),"")</f>
        <v>COMPLEXE RESIDENTIEL KONG-GROS ŒUVRE FONDATION</v>
      </c>
    </row>
    <row r="56" spans="3:18" x14ac:dyDescent="0.2">
      <c r="C56" s="7">
        <v>45636</v>
      </c>
      <c r="D56" s="11" t="s">
        <v>562</v>
      </c>
      <c r="E56" s="32" t="s">
        <v>60</v>
      </c>
      <c r="F56" s="58" t="s">
        <v>138</v>
      </c>
      <c r="G56" s="2">
        <v>30</v>
      </c>
      <c r="H56" s="391">
        <v>5760000</v>
      </c>
      <c r="I56" s="391">
        <v>5760000</v>
      </c>
      <c r="J56" s="90">
        <f>+SUMIFS(Tableau6[MONTANT HT],Tableau6[CLIENT],Tableau2[[#This Row],[NOM CLIENT]],Tableau6[N° BC],Tableau2[[#This Row],[ID BC UNIQUE]])-SUMIFS(Tableau6[MONTANT HT],Tableau6[CLIENT],Tableau2[[#This Row],[NOM CLIENT]],Tableau6[N° BC],Tableau2[[#This Row],[ID BC UNIQUE]])</f>
        <v>0</v>
      </c>
      <c r="K56" s="90">
        <f>Tableau2[[#This Row],[MONTANT HT VALIDE]]-Tableau2[[#This Row],[MONTANT HT FACTURE]]</f>
        <v>5760000</v>
      </c>
      <c r="L56" s="34">
        <f>+IFERROR(Tableau2[[#This Row],[MONTANT HT FACTURE]]/Tableau2[[#This Row],[MONTANT HT VALIDE]],0)</f>
        <v>0</v>
      </c>
      <c r="M5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56" t="str">
        <f>+IFERROR(INDEX(Tableau6[[ENTITE]:[N° BC]],MATCH(Tableau2[[#This Row],[ID BC UNIQUE]],Tableau6[N° BC],0),7),"")</f>
        <v>257B0101</v>
      </c>
      <c r="O56" t="str">
        <f>+IFERROR(INDEX(Tableau24[],MATCH(Tableau2[[#This Row],[CODE PROJET]],Tableau24[CODE PROJET],0),2),"")</f>
        <v>COMPLEXE RESIDENTIEL-KONG-AMENAGEMENT EXT TERRASSEMENT</v>
      </c>
    </row>
    <row r="57" spans="3:18" x14ac:dyDescent="0.2">
      <c r="C57" s="7">
        <v>45642</v>
      </c>
      <c r="D57" s="11" t="s">
        <v>417</v>
      </c>
      <c r="E57" s="32" t="s">
        <v>60</v>
      </c>
      <c r="F57" s="58" t="s">
        <v>138</v>
      </c>
      <c r="G57" s="2">
        <v>30</v>
      </c>
      <c r="H57" s="391">
        <v>7360000</v>
      </c>
      <c r="I57" s="155">
        <v>7360000</v>
      </c>
      <c r="J57" s="90">
        <f>+SUMIFS(Tableau6[MONTANT HT],Tableau6[CLIENT],Tableau2[[#This Row],[NOM CLIENT]],Tableau6[N° BC],Tableau2[[#This Row],[ID BC UNIQUE]])-SUMIFS(Tableau6[MONTANT HT],Tableau6[CLIENT],Tableau2[[#This Row],[NOM CLIENT]],Tableau6[N° BC],Tableau2[[#This Row],[ID BC UNIQUE]])</f>
        <v>0</v>
      </c>
      <c r="K57" s="90">
        <f>Tableau2[[#This Row],[MONTANT HT VALIDE]]-Tableau2[[#This Row],[MONTANT HT FACTURE]]</f>
        <v>7360000</v>
      </c>
      <c r="L57" s="34">
        <f>+IFERROR(Tableau2[[#This Row],[MONTANT HT FACTURE]]/Tableau2[[#This Row],[MONTANT HT VALIDE]],0)</f>
        <v>0</v>
      </c>
      <c r="M5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57" t="str">
        <f>+IFERROR(INDEX(Tableau6[[ENTITE]:[N° BC]],MATCH(Tableau2[[#This Row],[ID BC UNIQUE]],Tableau6[N° BC],0),7),"")</f>
        <v>257B0109</v>
      </c>
      <c r="O57" t="str">
        <f>+IFERROR(INDEX(Tableau24[],MATCH(Tableau2[[#This Row],[CODE PROJET]],Tableau24[CODE PROJET],0),2),"")</f>
        <v>COMPLEXE RES. KONG AMENGT EXT P</v>
      </c>
    </row>
    <row r="58" spans="3:18" x14ac:dyDescent="0.2">
      <c r="C58" s="7">
        <v>45642</v>
      </c>
      <c r="D58" s="11" t="s">
        <v>445</v>
      </c>
      <c r="E58" s="32" t="s">
        <v>60</v>
      </c>
      <c r="F58" s="58" t="s">
        <v>138</v>
      </c>
      <c r="G58" s="2">
        <v>30</v>
      </c>
      <c r="H58" s="391">
        <v>6000000</v>
      </c>
      <c r="I58" s="155">
        <v>6000000</v>
      </c>
      <c r="J58" s="90">
        <f>+SUMIFS(Tableau6[MONTANT HT],Tableau6[CLIENT],Tableau2[[#This Row],[NOM CLIENT]],Tableau6[N° BC],Tableau2[[#This Row],[ID BC UNIQUE]])-SUMIFS(Tableau6[MONTANT HT],Tableau6[CLIENT],Tableau2[[#This Row],[NOM CLIENT]],Tableau6[N° BC],Tableau2[[#This Row],[ID BC UNIQUE]])</f>
        <v>0</v>
      </c>
      <c r="K58" s="90">
        <f>Tableau2[[#This Row],[MONTANT HT VALIDE]]-Tableau2[[#This Row],[MONTANT HT FACTURE]]</f>
        <v>6000000</v>
      </c>
      <c r="L58" s="34">
        <f>+IFERROR(Tableau2[[#This Row],[MONTANT HT FACTURE]]/Tableau2[[#This Row],[MONTANT HT VALIDE]],0)</f>
        <v>0</v>
      </c>
      <c r="M5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58" t="str">
        <f>+IFERROR(INDEX(Tableau6[[ENTITE]:[N° BC]],MATCH(Tableau2[[#This Row],[ID BC UNIQUE]],Tableau6[N° BC],0),7),"")</f>
        <v>257B0403</v>
      </c>
      <c r="O58" t="str">
        <f>+IFERROR(INDEX(Tableau24[],MATCH(Tableau2[[#This Row],[CODE PROJET]],Tableau24[CODE PROJET],0),2),"")</f>
        <v>COMPLEXE RESIDENTIEL KONG-CHARPENTE COUVERTURE BOIS-05 VILLAS FAMILLE</v>
      </c>
    </row>
    <row r="59" spans="3:18" x14ac:dyDescent="0.2">
      <c r="C59" s="7">
        <v>45642</v>
      </c>
      <c r="D59" s="11" t="s">
        <v>511</v>
      </c>
      <c r="E59" s="32" t="s">
        <v>60</v>
      </c>
      <c r="F59" s="58" t="s">
        <v>138</v>
      </c>
      <c r="G59" s="2">
        <v>30</v>
      </c>
      <c r="H59" s="391">
        <v>2880000</v>
      </c>
      <c r="I59" s="391">
        <v>2880000</v>
      </c>
      <c r="J59" s="90">
        <f>+SUMIFS(Tableau6[MONTANT HT],Tableau6[CLIENT],Tableau2[[#This Row],[NOM CLIENT]],Tableau6[N° BC],Tableau2[[#This Row],[ID BC UNIQUE]])-SUMIFS(Tableau6[MONTANT HT],Tableau6[CLIENT],Tableau2[[#This Row],[NOM CLIENT]],Tableau6[N° BC],Tableau2[[#This Row],[ID BC UNIQUE]])</f>
        <v>0</v>
      </c>
      <c r="K59" s="90">
        <f>Tableau2[[#This Row],[MONTANT HT VALIDE]]-Tableau2[[#This Row],[MONTANT HT FACTURE]]</f>
        <v>2880000</v>
      </c>
      <c r="L59" s="34">
        <f>+IFERROR(Tableau2[[#This Row],[MONTANT HT FACTURE]]/Tableau2[[#This Row],[MONTANT HT VALIDE]],0)</f>
        <v>0</v>
      </c>
      <c r="M5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59" t="str">
        <f>+IFERROR(INDEX(Tableau6[[ENTITE]:[N° BC]],MATCH(Tableau2[[#This Row],[ID BC UNIQUE]],Tableau6[N° BC],0),7),"")</f>
        <v>257B0203</v>
      </c>
      <c r="O59" t="str">
        <f>+IFERROR(INDEX(Tableau24[],MATCH(Tableau2[[#This Row],[CODE PROJET]],Tableau24[CODE PROJET],0),2),"")</f>
        <v>COMPLEXE RESIDENTIEL KONG-GROS ŒUVRE FONDATION</v>
      </c>
    </row>
    <row r="60" spans="3:18" x14ac:dyDescent="0.2">
      <c r="C60" s="7">
        <v>45642</v>
      </c>
      <c r="D60" s="11" t="s">
        <v>514</v>
      </c>
      <c r="E60" s="32" t="s">
        <v>60</v>
      </c>
      <c r="F60" s="58" t="s">
        <v>138</v>
      </c>
      <c r="G60" s="2">
        <v>30</v>
      </c>
      <c r="H60" s="391">
        <v>4140000</v>
      </c>
      <c r="I60" s="391">
        <v>4140000</v>
      </c>
      <c r="J60" s="90">
        <f>+SUMIFS(Tableau6[MONTANT HT],Tableau6[CLIENT],Tableau2[[#This Row],[NOM CLIENT]],Tableau6[N° BC],Tableau2[[#This Row],[ID BC UNIQUE]])-SUMIFS(Tableau6[MONTANT HT],Tableau6[CLIENT],Tableau2[[#This Row],[NOM CLIENT]],Tableau6[N° BC],Tableau2[[#This Row],[ID BC UNIQUE]])</f>
        <v>0</v>
      </c>
      <c r="K60" s="90">
        <f>Tableau2[[#This Row],[MONTANT HT VALIDE]]-Tableau2[[#This Row],[MONTANT HT FACTURE]]</f>
        <v>4140000</v>
      </c>
      <c r="L60" s="34">
        <f>+IFERROR(Tableau2[[#This Row],[MONTANT HT FACTURE]]/Tableau2[[#This Row],[MONTANT HT VALIDE]],0)</f>
        <v>0</v>
      </c>
      <c r="M6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60" t="str">
        <f>+IFERROR(INDEX(Tableau6[[ENTITE]:[N° BC]],MATCH(Tableau2[[#This Row],[ID BC UNIQUE]],Tableau6[N° BC],0),7),"")</f>
        <v>257B0504</v>
      </c>
      <c r="O60" t="str">
        <f>+IFERROR(INDEX(Tableau24[],MATCH(Tableau2[[#This Row],[CODE PROJET]],Tableau24[CODE PROJET],0),2),"")</f>
        <v>COMPLEXE RES. KONG REVT FASCADES M.</v>
      </c>
    </row>
    <row r="61" spans="3:18" x14ac:dyDescent="0.2">
      <c r="C61" s="7">
        <v>45642</v>
      </c>
      <c r="D61" s="11" t="s">
        <v>515</v>
      </c>
      <c r="E61" s="32" t="s">
        <v>60</v>
      </c>
      <c r="F61" s="58" t="s">
        <v>138</v>
      </c>
      <c r="G61" s="2">
        <v>30</v>
      </c>
      <c r="H61" s="391">
        <v>3960000</v>
      </c>
      <c r="I61" s="391">
        <v>3960000</v>
      </c>
      <c r="J61" s="90">
        <f>+SUMIFS(Tableau6[MONTANT HT],Tableau6[CLIENT],Tableau2[[#This Row],[NOM CLIENT]],Tableau6[N° BC],Tableau2[[#This Row],[ID BC UNIQUE]])-SUMIFS(Tableau6[MONTANT HT],Tableau6[CLIENT],Tableau2[[#This Row],[NOM CLIENT]],Tableau6[N° BC],Tableau2[[#This Row],[ID BC UNIQUE]])</f>
        <v>0</v>
      </c>
      <c r="K61" s="90">
        <f>Tableau2[[#This Row],[MONTANT HT VALIDE]]-Tableau2[[#This Row],[MONTANT HT FACTURE]]</f>
        <v>3960000</v>
      </c>
      <c r="L61" s="34">
        <f>+IFERROR(Tableau2[[#This Row],[MONTANT HT FACTURE]]/Tableau2[[#This Row],[MONTANT HT VALIDE]],0)</f>
        <v>0</v>
      </c>
      <c r="M6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61" t="str">
        <f>+IFERROR(INDEX(Tableau6[[ENTITE]:[N° BC]],MATCH(Tableau2[[#This Row],[ID BC UNIQUE]],Tableau6[N° BC],0),7),"")</f>
        <v>257B0200</v>
      </c>
      <c r="O61" t="str">
        <f>+IFERROR(INDEX(Tableau24[],MATCH(Tableau2[[#This Row],[CODE PROJET]],Tableau24[CODE PROJET],0),2),"")</f>
        <v>COMPLEXE RESIDENTIEL-KONG GROS ŒUVRE GL</v>
      </c>
      <c r="R61" s="262"/>
    </row>
    <row r="62" spans="3:18" x14ac:dyDescent="0.2">
      <c r="C62" s="7">
        <v>45642</v>
      </c>
      <c r="D62" s="11" t="s">
        <v>534</v>
      </c>
      <c r="E62" s="32" t="s">
        <v>60</v>
      </c>
      <c r="F62" s="58" t="s">
        <v>138</v>
      </c>
      <c r="G62" s="2">
        <v>30</v>
      </c>
      <c r="H62" s="391">
        <v>4420000</v>
      </c>
      <c r="I62" s="391">
        <v>4420000</v>
      </c>
      <c r="J62" s="90">
        <f>+SUMIFS(Tableau6[MONTANT HT],Tableau6[CLIENT],Tableau2[[#This Row],[NOM CLIENT]],Tableau6[N° BC],Tableau2[[#This Row],[ID BC UNIQUE]])-SUMIFS(Tableau6[MONTANT HT],Tableau6[CLIENT],Tableau2[[#This Row],[NOM CLIENT]],Tableau6[N° BC],Tableau2[[#This Row],[ID BC UNIQUE]])</f>
        <v>0</v>
      </c>
      <c r="K62" s="90">
        <f>Tableau2[[#This Row],[MONTANT HT VALIDE]]-Tableau2[[#This Row],[MONTANT HT FACTURE]]</f>
        <v>4420000</v>
      </c>
      <c r="L62" s="34">
        <f>+IFERROR(Tableau2[[#This Row],[MONTANT HT FACTURE]]/Tableau2[[#This Row],[MONTANT HT VALIDE]],0)</f>
        <v>0</v>
      </c>
      <c r="M6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62" t="str">
        <f>+IFERROR(INDEX(Tableau6[[ENTITE]:[N° BC]],MATCH(Tableau2[[#This Row],[ID BC UNIQUE]],Tableau6[N° BC],0),7),"")</f>
        <v>257B0101</v>
      </c>
      <c r="O62" t="str">
        <f>+IFERROR(INDEX(Tableau24[],MATCH(Tableau2[[#This Row],[CODE PROJET]],Tableau24[CODE PROJET],0),2),"")</f>
        <v>COMPLEXE RESIDENTIEL-KONG-AMENAGEMENT EXT TERRASSEMENT</v>
      </c>
    </row>
    <row r="63" spans="3:18" x14ac:dyDescent="0.2">
      <c r="C63" s="7">
        <v>45644</v>
      </c>
      <c r="D63" s="11" t="s">
        <v>421</v>
      </c>
      <c r="E63" s="32" t="s">
        <v>60</v>
      </c>
      <c r="F63" s="58" t="s">
        <v>138</v>
      </c>
      <c r="G63" s="2">
        <v>30</v>
      </c>
      <c r="H63" s="391">
        <v>8000000</v>
      </c>
      <c r="I63" s="155">
        <v>8000000</v>
      </c>
      <c r="J63" s="90">
        <f>+SUMIFS(Tableau6[MONTANT HT],Tableau6[CLIENT],Tableau2[[#This Row],[NOM CLIENT]],Tableau6[N° BC],Tableau2[[#This Row],[ID BC UNIQUE]])-SUMIFS(Tableau6[MONTANT HT],Tableau6[CLIENT],Tableau2[[#This Row],[NOM CLIENT]],Tableau6[N° BC],Tableau2[[#This Row],[ID BC UNIQUE]])</f>
        <v>0</v>
      </c>
      <c r="K63" s="90">
        <f>Tableau2[[#This Row],[MONTANT HT VALIDE]]-Tableau2[[#This Row],[MONTANT HT FACTURE]]</f>
        <v>8000000</v>
      </c>
      <c r="L63" s="34">
        <f>+IFERROR(Tableau2[[#This Row],[MONTANT HT FACTURE]]/Tableau2[[#This Row],[MONTANT HT VALIDE]],0)</f>
        <v>0</v>
      </c>
      <c r="M6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63" t="str">
        <f>+IFERROR(INDEX(Tableau6[[ENTITE]:[N° BC]],MATCH(Tableau2[[#This Row],[ID BC UNIQUE]],Tableau6[N° BC],0),7),"")</f>
        <v>257B0209</v>
      </c>
      <c r="O63" t="str">
        <f>+IFERROR(INDEX(Tableau24[],MATCH(Tableau2[[#This Row],[CODE PROJET]],Tableau24[CODE PROJET],0),2),"")</f>
        <v>COMPLEXE RESIDENTIEL-KONG-GROS ŒUVRE DRAINAGE</v>
      </c>
    </row>
    <row r="64" spans="3:18" x14ac:dyDescent="0.2">
      <c r="C64" s="7">
        <v>45644</v>
      </c>
      <c r="D64" s="11" t="s">
        <v>517</v>
      </c>
      <c r="E64" s="32" t="s">
        <v>60</v>
      </c>
      <c r="F64" s="58" t="s">
        <v>138</v>
      </c>
      <c r="G64" s="2">
        <v>30</v>
      </c>
      <c r="H64" s="391">
        <v>330000</v>
      </c>
      <c r="I64" s="391">
        <v>330000</v>
      </c>
      <c r="J64" s="90">
        <f>+SUMIFS(Tableau6[MONTANT HT],Tableau6[CLIENT],Tableau2[[#This Row],[NOM CLIENT]],Tableau6[N° BC],Tableau2[[#This Row],[ID BC UNIQUE]])-SUMIFS(Tableau6[MONTANT HT],Tableau6[CLIENT],Tableau2[[#This Row],[NOM CLIENT]],Tableau6[N° BC],Tableau2[[#This Row],[ID BC UNIQUE]])</f>
        <v>0</v>
      </c>
      <c r="K64" s="90">
        <f>Tableau2[[#This Row],[MONTANT HT VALIDE]]-Tableau2[[#This Row],[MONTANT HT FACTURE]]</f>
        <v>330000</v>
      </c>
      <c r="L64" s="34">
        <f>+IFERROR(Tableau2[[#This Row],[MONTANT HT FACTURE]]/Tableau2[[#This Row],[MONTANT HT VALIDE]],0)</f>
        <v>0</v>
      </c>
      <c r="M6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64" t="str">
        <f>+IFERROR(INDEX(Tableau6[[ENTITE]:[N° BC]],MATCH(Tableau2[[#This Row],[ID BC UNIQUE]],Tableau6[N° BC],0),7),"")</f>
        <v>257B0109</v>
      </c>
      <c r="O64" t="str">
        <f>+IFERROR(INDEX(Tableau24[],MATCH(Tableau2[[#This Row],[CODE PROJET]],Tableau24[CODE PROJET],0),2),"")</f>
        <v>COMPLEXE RES. KONG AMENGT EXT P</v>
      </c>
    </row>
    <row r="65" spans="3:15" x14ac:dyDescent="0.2">
      <c r="C65" s="7">
        <v>45644</v>
      </c>
      <c r="D65" s="11" t="s">
        <v>516</v>
      </c>
      <c r="E65" s="32" t="s">
        <v>60</v>
      </c>
      <c r="F65" s="58" t="s">
        <v>138</v>
      </c>
      <c r="G65" s="2">
        <v>30</v>
      </c>
      <c r="H65" s="391">
        <v>1700000</v>
      </c>
      <c r="I65" s="391">
        <v>1700000</v>
      </c>
      <c r="J65" s="90">
        <f>+SUMIFS(Tableau6[MONTANT HT],Tableau6[CLIENT],Tableau2[[#This Row],[NOM CLIENT]],Tableau6[N° BC],Tableau2[[#This Row],[ID BC UNIQUE]])-SUMIFS(Tableau6[MONTANT HT],Tableau6[CLIENT],Tableau2[[#This Row],[NOM CLIENT]],Tableau6[N° BC],Tableau2[[#This Row],[ID BC UNIQUE]])</f>
        <v>0</v>
      </c>
      <c r="K65" s="90">
        <f>Tableau2[[#This Row],[MONTANT HT VALIDE]]-Tableau2[[#This Row],[MONTANT HT FACTURE]]</f>
        <v>1700000</v>
      </c>
      <c r="L65" s="34">
        <f>+IFERROR(Tableau2[[#This Row],[MONTANT HT FACTURE]]/Tableau2[[#This Row],[MONTANT HT VALIDE]],0)</f>
        <v>0</v>
      </c>
      <c r="M6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65" t="str">
        <f>+IFERROR(INDEX(Tableau6[[ENTITE]:[N° BC]],MATCH(Tableau2[[#This Row],[ID BC UNIQUE]],Tableau6[N° BC],0),7),"")</f>
        <v>257B0105</v>
      </c>
      <c r="O65" t="str">
        <f>+IFERROR(INDEX(Tableau24[],MATCH(Tableau2[[#This Row],[CODE PROJET]],Tableau24[CODE PROJET],0),2),"")</f>
        <v>COMPLEXE RES KONG AMENAGT EX RESEA E</v>
      </c>
    </row>
    <row r="66" spans="3:15" x14ac:dyDescent="0.2">
      <c r="C66" s="7">
        <v>45644</v>
      </c>
      <c r="D66" s="11" t="s">
        <v>760</v>
      </c>
      <c r="E66" s="32" t="s">
        <v>60</v>
      </c>
      <c r="F66" s="58" t="s">
        <v>138</v>
      </c>
      <c r="G66" s="2">
        <v>30</v>
      </c>
      <c r="H66" s="391">
        <v>4500000</v>
      </c>
      <c r="I66" s="391">
        <v>4500000</v>
      </c>
      <c r="J66" s="90">
        <f>+SUMIFS(Tableau6[MONTANT HT],Tableau6[CLIENT],Tableau2[[#This Row],[NOM CLIENT]],Tableau6[N° BC],Tableau2[[#This Row],[ID BC UNIQUE]])-SUMIFS(Tableau6[MONTANT HT],Tableau6[CLIENT],Tableau2[[#This Row],[NOM CLIENT]],Tableau6[N° BC],Tableau2[[#This Row],[ID BC UNIQUE]])</f>
        <v>0</v>
      </c>
      <c r="K66" s="90">
        <f>Tableau2[[#This Row],[MONTANT HT VALIDE]]-Tableau2[[#This Row],[MONTANT HT FACTURE]]</f>
        <v>4500000</v>
      </c>
      <c r="L66" s="34">
        <f>+IFERROR(Tableau2[[#This Row],[MONTANT HT FACTURE]]/Tableau2[[#This Row],[MONTANT HT VALIDE]],0)</f>
        <v>0</v>
      </c>
      <c r="M6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66" t="str">
        <f>+IFERROR(INDEX(Tableau6[[ENTITE]:[N° BC]],MATCH(Tableau2[[#This Row],[ID BC UNIQUE]],Tableau6[N° BC],0),7),"")</f>
        <v>257B0207</v>
      </c>
      <c r="O66" t="str">
        <f>+IFERROR(INDEX(Tableau24[],MATCH(Tableau2[[#This Row],[CODE PROJET]],Tableau24[CODE PROJET],0),2),"")</f>
        <v>COMPLEXE RESIDENTIEL KONG-GROS ŒUVRE M.O</v>
      </c>
    </row>
    <row r="67" spans="3:15" x14ac:dyDescent="0.2">
      <c r="C67" s="7">
        <v>45644</v>
      </c>
      <c r="D67" s="11" t="s">
        <v>522</v>
      </c>
      <c r="E67" s="32" t="s">
        <v>60</v>
      </c>
      <c r="F67" s="58" t="s">
        <v>138</v>
      </c>
      <c r="G67" s="2">
        <v>30</v>
      </c>
      <c r="H67" s="391">
        <v>4500000</v>
      </c>
      <c r="I67" s="391">
        <v>4500000</v>
      </c>
      <c r="J67" s="90">
        <f>+SUMIFS(Tableau6[MONTANT HT],Tableau6[CLIENT],Tableau2[[#This Row],[NOM CLIENT]],Tableau6[N° BC],Tableau2[[#This Row],[ID BC UNIQUE]])-SUMIFS(Tableau6[MONTANT HT],Tableau6[CLIENT],Tableau2[[#This Row],[NOM CLIENT]],Tableau6[N° BC],Tableau2[[#This Row],[ID BC UNIQUE]])</f>
        <v>0</v>
      </c>
      <c r="K67" s="90">
        <f>Tableau2[[#This Row],[MONTANT HT VALIDE]]-Tableau2[[#This Row],[MONTANT HT FACTURE]]</f>
        <v>4500000</v>
      </c>
      <c r="L67" s="34">
        <f>+IFERROR(Tableau2[[#This Row],[MONTANT HT FACTURE]]/Tableau2[[#This Row],[MONTANT HT VALIDE]],0)</f>
        <v>0</v>
      </c>
      <c r="M6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67" t="str">
        <f>+IFERROR(INDEX(Tableau6[[ENTITE]:[N° BC]],MATCH(Tableau2[[#This Row],[ID BC UNIQUE]],Tableau6[N° BC],0),7),"")</f>
        <v>257B0207</v>
      </c>
      <c r="O67" t="str">
        <f>+IFERROR(INDEX(Tableau24[],MATCH(Tableau2[[#This Row],[CODE PROJET]],Tableau24[CODE PROJET],0),2),"")</f>
        <v>COMPLEXE RESIDENTIEL KONG-GROS ŒUVRE M.O</v>
      </c>
    </row>
    <row r="68" spans="3:15" x14ac:dyDescent="0.2">
      <c r="C68" s="7">
        <v>45644</v>
      </c>
      <c r="D68" s="11" t="s">
        <v>525</v>
      </c>
      <c r="E68" s="32" t="s">
        <v>60</v>
      </c>
      <c r="F68" s="58" t="s">
        <v>138</v>
      </c>
      <c r="G68" s="2">
        <v>30</v>
      </c>
      <c r="H68" s="391">
        <v>8250000</v>
      </c>
      <c r="I68" s="391">
        <v>8250000</v>
      </c>
      <c r="J68" s="90">
        <f>+SUMIFS(Tableau6[MONTANT HT],Tableau6[CLIENT],Tableau2[[#This Row],[NOM CLIENT]],Tableau6[N° BC],Tableau2[[#This Row],[ID BC UNIQUE]])-SUMIFS(Tableau6[MONTANT HT],Tableau6[CLIENT],Tableau2[[#This Row],[NOM CLIENT]],Tableau6[N° BC],Tableau2[[#This Row],[ID BC UNIQUE]])</f>
        <v>0</v>
      </c>
      <c r="K68" s="90">
        <f>Tableau2[[#This Row],[MONTANT HT VALIDE]]-Tableau2[[#This Row],[MONTANT HT FACTURE]]</f>
        <v>8250000</v>
      </c>
      <c r="L68" s="34">
        <f>+IFERROR(Tableau2[[#This Row],[MONTANT HT FACTURE]]/Tableau2[[#This Row],[MONTANT HT VALIDE]],0)</f>
        <v>0</v>
      </c>
      <c r="M6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68" t="str">
        <f>+IFERROR(INDEX(Tableau6[[ENTITE]:[N° BC]],MATCH(Tableau2[[#This Row],[ID BC UNIQUE]],Tableau6[N° BC],0),7),"")</f>
        <v>257B0109</v>
      </c>
      <c r="O68" t="str">
        <f>+IFERROR(INDEX(Tableau24[],MATCH(Tableau2[[#This Row],[CODE PROJET]],Tableau24[CODE PROJET],0),2),"")</f>
        <v>COMPLEXE RES. KONG AMENGT EXT P</v>
      </c>
    </row>
    <row r="69" spans="3:15" x14ac:dyDescent="0.2">
      <c r="C69" s="7">
        <v>45644</v>
      </c>
      <c r="D69" s="11" t="s">
        <v>526</v>
      </c>
      <c r="E69" s="32" t="s">
        <v>60</v>
      </c>
      <c r="F69" s="58" t="s">
        <v>138</v>
      </c>
      <c r="G69" s="2">
        <v>30</v>
      </c>
      <c r="H69" s="391">
        <v>5120000</v>
      </c>
      <c r="I69" s="391">
        <v>5120000</v>
      </c>
      <c r="J69" s="90">
        <f>+SUMIFS(Tableau6[MONTANT HT],Tableau6[CLIENT],Tableau2[[#This Row],[NOM CLIENT]],Tableau6[N° BC],Tableau2[[#This Row],[ID BC UNIQUE]])-SUMIFS(Tableau6[MONTANT HT],Tableau6[CLIENT],Tableau2[[#This Row],[NOM CLIENT]],Tableau6[N° BC],Tableau2[[#This Row],[ID BC UNIQUE]])</f>
        <v>0</v>
      </c>
      <c r="K69" s="90">
        <f>Tableau2[[#This Row],[MONTANT HT VALIDE]]-Tableau2[[#This Row],[MONTANT HT FACTURE]]</f>
        <v>5120000</v>
      </c>
      <c r="L69" s="34">
        <f>+IFERROR(Tableau2[[#This Row],[MONTANT HT FACTURE]]/Tableau2[[#This Row],[MONTANT HT VALIDE]],0)</f>
        <v>0</v>
      </c>
      <c r="M6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69" t="str">
        <f>+IFERROR(INDEX(Tableau6[[ENTITE]:[N° BC]],MATCH(Tableau2[[#This Row],[ID BC UNIQUE]],Tableau6[N° BC],0),7),"")</f>
        <v>257B0105</v>
      </c>
      <c r="O69" t="str">
        <f>+IFERROR(INDEX(Tableau24[],MATCH(Tableau2[[#This Row],[CODE PROJET]],Tableau24[CODE PROJET],0),2),"")</f>
        <v>COMPLEXE RES KONG AMENAGT EX RESEA E</v>
      </c>
    </row>
    <row r="70" spans="3:15" x14ac:dyDescent="0.2">
      <c r="C70" s="7">
        <v>45646</v>
      </c>
      <c r="D70" s="11" t="s">
        <v>418</v>
      </c>
      <c r="E70" s="32" t="s">
        <v>60</v>
      </c>
      <c r="F70" s="58" t="s">
        <v>138</v>
      </c>
      <c r="G70" s="2">
        <v>30</v>
      </c>
      <c r="H70" s="391">
        <v>4400000</v>
      </c>
      <c r="I70" s="155">
        <v>4400000</v>
      </c>
      <c r="J70" s="90">
        <f>+SUMIFS(Tableau6[MONTANT HT],Tableau6[CLIENT],Tableau2[[#This Row],[NOM CLIENT]],Tableau6[N° BC],Tableau2[[#This Row],[ID BC UNIQUE]])-SUMIFS(Tableau6[MONTANT HT],Tableau6[CLIENT],Tableau2[[#This Row],[NOM CLIENT]],Tableau6[N° BC],Tableau2[[#This Row],[ID BC UNIQUE]])</f>
        <v>0</v>
      </c>
      <c r="K70" s="90">
        <f>Tableau2[[#This Row],[MONTANT HT VALIDE]]-Tableau2[[#This Row],[MONTANT HT FACTURE]]</f>
        <v>4400000</v>
      </c>
      <c r="L70" s="34">
        <f>+IFERROR(Tableau2[[#This Row],[MONTANT HT FACTURE]]/Tableau2[[#This Row],[MONTANT HT VALIDE]],0)</f>
        <v>0</v>
      </c>
      <c r="M7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70" t="str">
        <f>+IFERROR(INDEX(Tableau6[[ENTITE]:[N° BC]],MATCH(Tableau2[[#This Row],[ID BC UNIQUE]],Tableau6[N° BC],0),7),"")</f>
        <v>257B0109</v>
      </c>
      <c r="O70" t="str">
        <f>+IFERROR(INDEX(Tableau24[],MATCH(Tableau2[[#This Row],[CODE PROJET]],Tableau24[CODE PROJET],0),2),"")</f>
        <v>COMPLEXE RES. KONG AMENGT EXT P</v>
      </c>
    </row>
    <row r="71" spans="3:15" x14ac:dyDescent="0.2">
      <c r="C71" s="7">
        <v>45646</v>
      </c>
      <c r="D71" s="11" t="s">
        <v>423</v>
      </c>
      <c r="E71" s="32" t="s">
        <v>60</v>
      </c>
      <c r="F71" s="58" t="s">
        <v>138</v>
      </c>
      <c r="G71" s="2">
        <v>30</v>
      </c>
      <c r="H71" s="391">
        <v>6600000</v>
      </c>
      <c r="I71" s="155">
        <v>6600000</v>
      </c>
      <c r="J71" s="90">
        <f>+SUMIFS(Tableau6[MONTANT HT],Tableau6[CLIENT],Tableau2[[#This Row],[NOM CLIENT]],Tableau6[N° BC],Tableau2[[#This Row],[ID BC UNIQUE]])-SUMIFS(Tableau6[MONTANT HT],Tableau6[CLIENT],Tableau2[[#This Row],[NOM CLIENT]],Tableau6[N° BC],Tableau2[[#This Row],[ID BC UNIQUE]])</f>
        <v>0</v>
      </c>
      <c r="K71" s="90">
        <f>Tableau2[[#This Row],[MONTANT HT VALIDE]]-Tableau2[[#This Row],[MONTANT HT FACTURE]]</f>
        <v>6600000</v>
      </c>
      <c r="L71" s="34">
        <f>+IFERROR(Tableau2[[#This Row],[MONTANT HT FACTURE]]/Tableau2[[#This Row],[MONTANT HT VALIDE]],0)</f>
        <v>0</v>
      </c>
      <c r="M7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71" t="str">
        <f>+IFERROR(INDEX(Tableau6[[ENTITE]:[N° BC]],MATCH(Tableau2[[#This Row],[ID BC UNIQUE]],Tableau6[N° BC],0),7),"")</f>
        <v>257B0109</v>
      </c>
      <c r="O71" t="str">
        <f>+IFERROR(INDEX(Tableau24[],MATCH(Tableau2[[#This Row],[CODE PROJET]],Tableau24[CODE PROJET],0),2),"")</f>
        <v>COMPLEXE RES. KONG AMENGT EXT P</v>
      </c>
    </row>
    <row r="72" spans="3:15" x14ac:dyDescent="0.2">
      <c r="C72" s="7">
        <v>45646</v>
      </c>
      <c r="D72" s="11" t="s">
        <v>512</v>
      </c>
      <c r="E72" s="32" t="s">
        <v>60</v>
      </c>
      <c r="F72" s="58" t="s">
        <v>138</v>
      </c>
      <c r="G72" s="2">
        <v>30</v>
      </c>
      <c r="H72" s="391">
        <v>4000000</v>
      </c>
      <c r="I72" s="391">
        <v>4000000</v>
      </c>
      <c r="J72" s="90">
        <f>+SUMIFS(Tableau6[MONTANT HT],Tableau6[CLIENT],Tableau2[[#This Row],[NOM CLIENT]],Tableau6[N° BC],Tableau2[[#This Row],[ID BC UNIQUE]])-SUMIFS(Tableau6[MONTANT HT],Tableau6[CLIENT],Tableau2[[#This Row],[NOM CLIENT]],Tableau6[N° BC],Tableau2[[#This Row],[ID BC UNIQUE]])</f>
        <v>0</v>
      </c>
      <c r="K72" s="90">
        <f>Tableau2[[#This Row],[MONTANT HT VALIDE]]-Tableau2[[#This Row],[MONTANT HT FACTURE]]</f>
        <v>4000000</v>
      </c>
      <c r="L72" s="34">
        <f>+IFERROR(Tableau2[[#This Row],[MONTANT HT FACTURE]]/Tableau2[[#This Row],[MONTANT HT VALIDE]],0)</f>
        <v>0</v>
      </c>
      <c r="M7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72" t="str">
        <f>+IFERROR(INDEX(Tableau6[[ENTITE]:[N° BC]],MATCH(Tableau2[[#This Row],[ID BC UNIQUE]],Tableau6[N° BC],0),7),"")</f>
        <v>257B0200</v>
      </c>
      <c r="O72" t="str">
        <f>+IFERROR(INDEX(Tableau24[],MATCH(Tableau2[[#This Row],[CODE PROJET]],Tableau24[CODE PROJET],0),2),"")</f>
        <v>COMPLEXE RESIDENTIEL-KONG GROS ŒUVRE GL</v>
      </c>
    </row>
    <row r="73" spans="3:15" x14ac:dyDescent="0.2">
      <c r="C73" s="7">
        <v>45646</v>
      </c>
      <c r="D73" s="11" t="s">
        <v>513</v>
      </c>
      <c r="E73" s="32" t="s">
        <v>60</v>
      </c>
      <c r="F73" s="58" t="s">
        <v>138</v>
      </c>
      <c r="G73" s="2">
        <v>30</v>
      </c>
      <c r="H73" s="391">
        <v>1000000</v>
      </c>
      <c r="I73" s="391">
        <v>1000000</v>
      </c>
      <c r="J73" s="90">
        <f>+SUMIFS(Tableau6[MONTANT HT],Tableau6[CLIENT],Tableau2[[#This Row],[NOM CLIENT]],Tableau6[N° BC],Tableau2[[#This Row],[ID BC UNIQUE]])-SUMIFS(Tableau6[MONTANT HT],Tableau6[CLIENT],Tableau2[[#This Row],[NOM CLIENT]],Tableau6[N° BC],Tableau2[[#This Row],[ID BC UNIQUE]])</f>
        <v>0</v>
      </c>
      <c r="K73" s="90">
        <f>Tableau2[[#This Row],[MONTANT HT VALIDE]]-Tableau2[[#This Row],[MONTANT HT FACTURE]]</f>
        <v>1000000</v>
      </c>
      <c r="L73" s="34">
        <f>+IFERROR(Tableau2[[#This Row],[MONTANT HT FACTURE]]/Tableau2[[#This Row],[MONTANT HT VALIDE]],0)</f>
        <v>0</v>
      </c>
      <c r="M7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73" t="str">
        <f>+IFERROR(INDEX(Tableau6[[ENTITE]:[N° BC]],MATCH(Tableau2[[#This Row],[ID BC UNIQUE]],Tableau6[N° BC],0),7),"")</f>
        <v>257B0200</v>
      </c>
      <c r="O73" t="str">
        <f>+IFERROR(INDEX(Tableau24[],MATCH(Tableau2[[#This Row],[CODE PROJET]],Tableau24[CODE PROJET],0),2),"")</f>
        <v>COMPLEXE RESIDENTIEL-KONG GROS ŒUVRE GL</v>
      </c>
    </row>
    <row r="74" spans="3:15" x14ac:dyDescent="0.2">
      <c r="C74" s="7">
        <v>45646</v>
      </c>
      <c r="D74" s="11" t="s">
        <v>480</v>
      </c>
      <c r="E74" s="32" t="s">
        <v>60</v>
      </c>
      <c r="F74" s="58" t="s">
        <v>138</v>
      </c>
      <c r="G74" s="2">
        <v>30</v>
      </c>
      <c r="H74" s="391">
        <v>2700000</v>
      </c>
      <c r="I74" s="391">
        <v>2700000</v>
      </c>
      <c r="J74" s="90">
        <f>+SUMIFS(Tableau6[MONTANT HT],Tableau6[CLIENT],Tableau2[[#This Row],[NOM CLIENT]],Tableau6[N° BC],Tableau2[[#This Row],[ID BC UNIQUE]])-SUMIFS(Tableau6[MONTANT HT],Tableau6[CLIENT],Tableau2[[#This Row],[NOM CLIENT]],Tableau6[N° BC],Tableau2[[#This Row],[ID BC UNIQUE]])</f>
        <v>0</v>
      </c>
      <c r="K74" s="90">
        <f>Tableau2[[#This Row],[MONTANT HT VALIDE]]-Tableau2[[#This Row],[MONTANT HT FACTURE]]</f>
        <v>2700000</v>
      </c>
      <c r="L74" s="34">
        <f>+IFERROR(Tableau2[[#This Row],[MONTANT HT FACTURE]]/Tableau2[[#This Row],[MONTANT HT VALIDE]],0)</f>
        <v>0</v>
      </c>
      <c r="M7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74" t="str">
        <f>+IFERROR(INDEX(Tableau6[[ENTITE]:[N° BC]],MATCH(Tableau2[[#This Row],[ID BC UNIQUE]],Tableau6[N° BC],0),7),"")</f>
        <v>257B0003</v>
      </c>
      <c r="O74" t="str">
        <f>+IFERROR(INDEX(Tableau24[],MATCH(Tableau2[[#This Row],[CODE PROJET]],Tableau24[CODE PROJET],0),2),"")</f>
        <v>COMPLEXE RES KONG GLE INST CHANT</v>
      </c>
    </row>
    <row r="75" spans="3:15" x14ac:dyDescent="0.2">
      <c r="C75" s="7">
        <v>45646</v>
      </c>
      <c r="D75" s="11" t="s">
        <v>479</v>
      </c>
      <c r="E75" s="32" t="s">
        <v>60</v>
      </c>
      <c r="F75" s="58" t="s">
        <v>138</v>
      </c>
      <c r="G75" s="2">
        <v>30</v>
      </c>
      <c r="H75" s="391">
        <v>800000</v>
      </c>
      <c r="I75" s="391">
        <v>800000</v>
      </c>
      <c r="J75" s="90">
        <f>+SUMIFS(Tableau6[MONTANT HT],Tableau6[CLIENT],Tableau2[[#This Row],[NOM CLIENT]],Tableau6[N° BC],Tableau2[[#This Row],[ID BC UNIQUE]])-SUMIFS(Tableau6[MONTANT HT],Tableau6[CLIENT],Tableau2[[#This Row],[NOM CLIENT]],Tableau6[N° BC],Tableau2[[#This Row],[ID BC UNIQUE]])</f>
        <v>0</v>
      </c>
      <c r="K75" s="90">
        <f>Tableau2[[#This Row],[MONTANT HT VALIDE]]-Tableau2[[#This Row],[MONTANT HT FACTURE]]</f>
        <v>800000</v>
      </c>
      <c r="L75" s="34">
        <f>+IFERROR(Tableau2[[#This Row],[MONTANT HT FACTURE]]/Tableau2[[#This Row],[MONTANT HT VALIDE]],0)</f>
        <v>0</v>
      </c>
      <c r="M7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75" t="str">
        <f>+IFERROR(INDEX(Tableau6[[ENTITE]:[N° BC]],MATCH(Tableau2[[#This Row],[ID BC UNIQUE]],Tableau6[N° BC],0),7),"")</f>
        <v>257B0005</v>
      </c>
      <c r="O75" t="str">
        <f>+IFERROR(INDEX(Tableau24[],MATCH(Tableau2[[#This Row],[CODE PROJET]],Tableau24[CODE PROJET],0),2),"")</f>
        <v>COMPLEXE RES. KONG GLE</v>
      </c>
    </row>
    <row r="76" spans="3:15" x14ac:dyDescent="0.2">
      <c r="C76" s="7">
        <v>45646</v>
      </c>
      <c r="D76" s="11" t="s">
        <v>477</v>
      </c>
      <c r="E76" s="32" t="s">
        <v>60</v>
      </c>
      <c r="F76" s="55" t="s">
        <v>138</v>
      </c>
      <c r="G76" s="2">
        <v>30</v>
      </c>
      <c r="H76" s="391">
        <v>3500000</v>
      </c>
      <c r="I76" s="391">
        <v>3500000</v>
      </c>
      <c r="J76" s="90">
        <f>+SUMIFS(Tableau6[MONTANT HT],Tableau6[CLIENT],Tableau2[[#This Row],[NOM CLIENT]],Tableau6[N° BC],Tableau2[[#This Row],[ID BC UNIQUE]])-SUMIFS(Tableau6[MONTANT HT],Tableau6[CLIENT],Tableau2[[#This Row],[NOM CLIENT]],Tableau6[N° BC],Tableau2[[#This Row],[ID BC UNIQUE]])</f>
        <v>0</v>
      </c>
      <c r="K76" s="90">
        <f>Tableau2[[#This Row],[MONTANT HT VALIDE]]-Tableau2[[#This Row],[MONTANT HT FACTURE]]</f>
        <v>3500000</v>
      </c>
      <c r="L76" s="34">
        <f>+IFERROR(Tableau2[[#This Row],[MONTANT HT FACTURE]]/Tableau2[[#This Row],[MONTANT HT VALIDE]],0)</f>
        <v>0</v>
      </c>
      <c r="M7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76" t="str">
        <f>+IFERROR(INDEX(Tableau6[[ENTITE]:[N° BC]],MATCH(Tableau2[[#This Row],[ID BC UNIQUE]],Tableau6[N° BC],0),7),"")</f>
        <v>257B0001</v>
      </c>
      <c r="O76" t="str">
        <f>+IFERROR(INDEX(Tableau24[],MATCH(Tableau2[[#This Row],[CODE PROJET]],Tableau24[CODE PROJET],0),2),"")</f>
        <v>COMPLEXE RES KONG RES KONG GLE FRS</v>
      </c>
    </row>
    <row r="77" spans="3:15" x14ac:dyDescent="0.2">
      <c r="C77" s="7">
        <v>45646</v>
      </c>
      <c r="D77" s="11" t="s">
        <v>524</v>
      </c>
      <c r="E77" s="32" t="s">
        <v>60</v>
      </c>
      <c r="F77" s="55" t="s">
        <v>138</v>
      </c>
      <c r="G77" s="2">
        <v>30</v>
      </c>
      <c r="H77" s="391">
        <v>5000000</v>
      </c>
      <c r="I77" s="391">
        <v>5000000</v>
      </c>
      <c r="J77" s="90">
        <f>+SUMIFS(Tableau6[MONTANT HT],Tableau6[CLIENT],Tableau2[[#This Row],[NOM CLIENT]],Tableau6[N° BC],Tableau2[[#This Row],[ID BC UNIQUE]])-SUMIFS(Tableau6[MONTANT HT],Tableau6[CLIENT],Tableau2[[#This Row],[NOM CLIENT]],Tableau6[N° BC],Tableau2[[#This Row],[ID BC UNIQUE]])</f>
        <v>0</v>
      </c>
      <c r="K77" s="90">
        <f>Tableau2[[#This Row],[MONTANT HT VALIDE]]-Tableau2[[#This Row],[MONTANT HT FACTURE]]</f>
        <v>5000000</v>
      </c>
      <c r="L77" s="34">
        <f>+IFERROR(Tableau2[[#This Row],[MONTANT HT FACTURE]]/Tableau2[[#This Row],[MONTANT HT VALIDE]],0)</f>
        <v>0</v>
      </c>
      <c r="M7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77" t="str">
        <f>+IFERROR(INDEX(Tableau6[[ENTITE]:[N° BC]],MATCH(Tableau2[[#This Row],[ID BC UNIQUE]],Tableau6[N° BC],0),7),"")</f>
        <v>257B0109</v>
      </c>
      <c r="O77" t="str">
        <f>+IFERROR(INDEX(Tableau24[],MATCH(Tableau2[[#This Row],[CODE PROJET]],Tableau24[CODE PROJET],0),2),"")</f>
        <v>COMPLEXE RES. KONG AMENGT EXT P</v>
      </c>
    </row>
    <row r="78" spans="3:15" x14ac:dyDescent="0.2">
      <c r="C78" s="7">
        <v>45646</v>
      </c>
      <c r="D78" s="11" t="s">
        <v>527</v>
      </c>
      <c r="E78" s="32" t="s">
        <v>60</v>
      </c>
      <c r="F78" s="55" t="s">
        <v>138</v>
      </c>
      <c r="G78" s="2">
        <v>30</v>
      </c>
      <c r="H78" s="391">
        <v>4622500</v>
      </c>
      <c r="I78" s="391">
        <v>4622500</v>
      </c>
      <c r="J78" s="90">
        <f>+SUMIFS(Tableau6[MONTANT HT],Tableau6[CLIENT],Tableau2[[#This Row],[NOM CLIENT]],Tableau6[N° BC],Tableau2[[#This Row],[ID BC UNIQUE]])-SUMIFS(Tableau6[MONTANT HT],Tableau6[CLIENT],Tableau2[[#This Row],[NOM CLIENT]],Tableau6[N° BC],Tableau2[[#This Row],[ID BC UNIQUE]])</f>
        <v>0</v>
      </c>
      <c r="K78" s="90">
        <f>Tableau2[[#This Row],[MONTANT HT VALIDE]]-Tableau2[[#This Row],[MONTANT HT FACTURE]]</f>
        <v>4622500</v>
      </c>
      <c r="L78" s="34">
        <f>+IFERROR(Tableau2[[#This Row],[MONTANT HT FACTURE]]/Tableau2[[#This Row],[MONTANT HT VALIDE]],0)</f>
        <v>0</v>
      </c>
      <c r="M7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78" t="str">
        <f>+IFERROR(INDEX(Tableau6[[ENTITE]:[N° BC]],MATCH(Tableau2[[#This Row],[ID BC UNIQUE]],Tableau6[N° BC],0),7),"")</f>
        <v>257B0200</v>
      </c>
      <c r="O78" t="str">
        <f>+IFERROR(INDEX(Tableau24[],MATCH(Tableau2[[#This Row],[CODE PROJET]],Tableau24[CODE PROJET],0),2),"")</f>
        <v>COMPLEXE RESIDENTIEL-KONG GROS ŒUVRE GL</v>
      </c>
    </row>
    <row r="79" spans="3:15" x14ac:dyDescent="0.2">
      <c r="C79" s="7">
        <v>45653</v>
      </c>
      <c r="D79" s="11" t="s">
        <v>486</v>
      </c>
      <c r="E79" s="32" t="s">
        <v>60</v>
      </c>
      <c r="F79" s="55" t="s">
        <v>138</v>
      </c>
      <c r="G79" s="2">
        <v>30</v>
      </c>
      <c r="H79" s="391">
        <v>20234633</v>
      </c>
      <c r="I79" s="391">
        <v>20234633</v>
      </c>
      <c r="J79" s="90">
        <f>+SUMIFS(Tableau6[MONTANT HT],Tableau6[CLIENT],Tableau2[[#This Row],[NOM CLIENT]],Tableau6[N° BC],Tableau2[[#This Row],[ID BC UNIQUE]])-SUMIFS(Tableau6[MONTANT HT],Tableau6[CLIENT],Tableau2[[#This Row],[NOM CLIENT]],Tableau6[N° BC],Tableau2[[#This Row],[ID BC UNIQUE]])</f>
        <v>0</v>
      </c>
      <c r="K79" s="90">
        <f>Tableau2[[#This Row],[MONTANT HT VALIDE]]-Tableau2[[#This Row],[MONTANT HT FACTURE]]</f>
        <v>20234633</v>
      </c>
      <c r="L79" s="34">
        <f>+IFERROR(Tableau2[[#This Row],[MONTANT HT FACTURE]]/Tableau2[[#This Row],[MONTANT HT VALIDE]],0)</f>
        <v>0</v>
      </c>
      <c r="M7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79" t="str">
        <f>+IFERROR(INDEX(Tableau6[[ENTITE]:[N° BC]],MATCH(Tableau2[[#This Row],[ID BC UNIQUE]],Tableau6[N° BC],0),7),"")</f>
        <v>305R8002</v>
      </c>
      <c r="O79" t="str">
        <f>+IFERROR(INDEX(Tableau24[],MATCH(Tableau2[[#This Row],[CODE PROJET]],Tableau24[CODE PROJET],0),2),"")</f>
        <v>ROUTE DABAKALA-KONG TX MAD ENGIN</v>
      </c>
    </row>
    <row r="80" spans="3:15" x14ac:dyDescent="0.2">
      <c r="C80" s="7">
        <v>45672</v>
      </c>
      <c r="D80" s="11" t="s">
        <v>485</v>
      </c>
      <c r="E80" s="32" t="s">
        <v>60</v>
      </c>
      <c r="F80" s="55" t="s">
        <v>138</v>
      </c>
      <c r="G80" s="2">
        <v>30</v>
      </c>
      <c r="H80" s="391">
        <v>3500000</v>
      </c>
      <c r="I80" s="391">
        <v>3500000</v>
      </c>
      <c r="J80" s="90">
        <f>+SUMIFS(Tableau6[MONTANT HT],Tableau6[CLIENT],Tableau2[[#This Row],[NOM CLIENT]],Tableau6[N° BC],Tableau2[[#This Row],[ID BC UNIQUE]])-SUMIFS(Tableau6[MONTANT HT],Tableau6[CLIENT],Tableau2[[#This Row],[NOM CLIENT]],Tableau6[N° BC],Tableau2[[#This Row],[ID BC UNIQUE]])</f>
        <v>0</v>
      </c>
      <c r="K80" s="90">
        <f>Tableau2[[#This Row],[MONTANT HT VALIDE]]-Tableau2[[#This Row],[MONTANT HT FACTURE]]</f>
        <v>3500000</v>
      </c>
      <c r="L80" s="34">
        <f>+IFERROR(Tableau2[[#This Row],[MONTANT HT FACTURE]]/Tableau2[[#This Row],[MONTANT HT VALIDE]],0)</f>
        <v>0</v>
      </c>
      <c r="M8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80" t="str">
        <f>+IFERROR(INDEX(Tableau6[[ENTITE]:[N° BC]],MATCH(Tableau2[[#This Row],[ID BC UNIQUE]],Tableau6[N° BC],0),7),"")</f>
        <v>348R8002</v>
      </c>
      <c r="O80" t="str">
        <f>+IFERROR(INDEX(Tableau24[],MATCH(Tableau2[[#This Row],[CODE PROJET]],Tableau24[CODE PROJET],0),2),"")</f>
        <v>TX BITUMAGE PETIT NASSIAN-KAFOLO-TEHINI-MAD ENGIN</v>
      </c>
    </row>
    <row r="81" spans="3:15" x14ac:dyDescent="0.2">
      <c r="C81" s="7">
        <v>45672</v>
      </c>
      <c r="D81" s="11" t="s">
        <v>484</v>
      </c>
      <c r="E81" s="32" t="s">
        <v>60</v>
      </c>
      <c r="F81" s="55" t="s">
        <v>138</v>
      </c>
      <c r="G81" s="2">
        <v>30</v>
      </c>
      <c r="H81" s="391">
        <v>720000</v>
      </c>
      <c r="I81" s="391">
        <v>720000</v>
      </c>
      <c r="J81" s="90">
        <f>+SUMIFS(Tableau6[MONTANT HT],Tableau6[CLIENT],Tableau2[[#This Row],[NOM CLIENT]],Tableau6[N° BC],Tableau2[[#This Row],[ID BC UNIQUE]])-SUMIFS(Tableau6[MONTANT HT],Tableau6[CLIENT],Tableau2[[#This Row],[NOM CLIENT]],Tableau6[N° BC],Tableau2[[#This Row],[ID BC UNIQUE]])</f>
        <v>0</v>
      </c>
      <c r="K81" s="90">
        <f>Tableau2[[#This Row],[MONTANT HT VALIDE]]-Tableau2[[#This Row],[MONTANT HT FACTURE]]</f>
        <v>720000</v>
      </c>
      <c r="L81" s="34">
        <f>+IFERROR(Tableau2[[#This Row],[MONTANT HT FACTURE]]/Tableau2[[#This Row],[MONTANT HT VALIDE]],0)</f>
        <v>0</v>
      </c>
      <c r="M8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81" t="str">
        <f>+IFERROR(INDEX(Tableau6[[ENTITE]:[N° BC]],MATCH(Tableau2[[#This Row],[ID BC UNIQUE]],Tableau6[N° BC],0),7),"")</f>
        <v>348R8002</v>
      </c>
      <c r="O81" t="str">
        <f>+IFERROR(INDEX(Tableau24[],MATCH(Tableau2[[#This Row],[CODE PROJET]],Tableau24[CODE PROJET],0),2),"")</f>
        <v>TX BITUMAGE PETIT NASSIAN-KAFOLO-TEHINI-MAD ENGIN</v>
      </c>
    </row>
    <row r="82" spans="3:15" x14ac:dyDescent="0.2">
      <c r="C82" s="7">
        <v>45672</v>
      </c>
      <c r="D82" s="11" t="s">
        <v>518</v>
      </c>
      <c r="E82" s="32" t="s">
        <v>60</v>
      </c>
      <c r="F82" s="55" t="s">
        <v>138</v>
      </c>
      <c r="G82" s="2">
        <v>30</v>
      </c>
      <c r="H82" s="391">
        <v>15345000</v>
      </c>
      <c r="I82" s="391">
        <v>15345000</v>
      </c>
      <c r="J82" s="90">
        <f>+SUMIFS(Tableau6[MONTANT HT],Tableau6[CLIENT],Tableau2[[#This Row],[NOM CLIENT]],Tableau6[N° BC],Tableau2[[#This Row],[ID BC UNIQUE]])-SUMIFS(Tableau6[MONTANT HT],Tableau6[CLIENT],Tableau2[[#This Row],[NOM CLIENT]],Tableau6[N° BC],Tableau2[[#This Row],[ID BC UNIQUE]])</f>
        <v>0</v>
      </c>
      <c r="K82" s="90">
        <f>Tableau2[[#This Row],[MONTANT HT VALIDE]]-Tableau2[[#This Row],[MONTANT HT FACTURE]]</f>
        <v>15345000</v>
      </c>
      <c r="L82" s="34">
        <f>+IFERROR(Tableau2[[#This Row],[MONTANT HT FACTURE]]/Tableau2[[#This Row],[MONTANT HT VALIDE]],0)</f>
        <v>0</v>
      </c>
      <c r="M8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82" t="str">
        <f>+IFERROR(INDEX(Tableau6[[ENTITE]:[N° BC]],MATCH(Tableau2[[#This Row],[ID BC UNIQUE]],Tableau6[N° BC],0),7),"")</f>
        <v>348R8002</v>
      </c>
      <c r="O82" t="str">
        <f>+IFERROR(INDEX(Tableau24[],MATCH(Tableau2[[#This Row],[CODE PROJET]],Tableau24[CODE PROJET],0),2),"")</f>
        <v>TX BITUMAGE PETIT NASSIAN-KAFOLO-TEHINI-MAD ENGIN</v>
      </c>
    </row>
    <row r="83" spans="3:15" x14ac:dyDescent="0.2">
      <c r="C83" s="7">
        <v>45672</v>
      </c>
      <c r="D83" s="11" t="s">
        <v>520</v>
      </c>
      <c r="E83" s="32" t="s">
        <v>60</v>
      </c>
      <c r="F83" s="55" t="s">
        <v>138</v>
      </c>
      <c r="G83" s="2">
        <v>30</v>
      </c>
      <c r="H83" s="391">
        <v>5980000</v>
      </c>
      <c r="I83" s="391">
        <v>5980000</v>
      </c>
      <c r="J83" s="90">
        <f>+SUMIFS(Tableau6[MONTANT HT],Tableau6[CLIENT],Tableau2[[#This Row],[NOM CLIENT]],Tableau6[N° BC],Tableau2[[#This Row],[ID BC UNIQUE]])-SUMIFS(Tableau6[MONTANT HT],Tableau6[CLIENT],Tableau2[[#This Row],[NOM CLIENT]],Tableau6[N° BC],Tableau2[[#This Row],[ID BC UNIQUE]])</f>
        <v>0</v>
      </c>
      <c r="K83" s="90">
        <f>Tableau2[[#This Row],[MONTANT HT VALIDE]]-Tableau2[[#This Row],[MONTANT HT FACTURE]]</f>
        <v>5980000</v>
      </c>
      <c r="L83" s="34">
        <f>+IFERROR(Tableau2[[#This Row],[MONTANT HT FACTURE]]/Tableau2[[#This Row],[MONTANT HT VALIDE]],0)</f>
        <v>0</v>
      </c>
      <c r="M8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83" t="str">
        <f>+IFERROR(INDEX(Tableau6[[ENTITE]:[N° BC]],MATCH(Tableau2[[#This Row],[ID BC UNIQUE]],Tableau6[N° BC],0),7),"")</f>
        <v>170R2101</v>
      </c>
      <c r="O83" t="str">
        <f>+IFERROR(INDEX(Tableau24[],MATCH(Tableau2[[#This Row],[CODE PROJET]],Tableau24[CODE PROJET],0),2),"")</f>
        <v>FERMETURE AKOUEDO-TX REMOD V. P. CANNIVEAUX</v>
      </c>
    </row>
    <row r="84" spans="3:15" x14ac:dyDescent="0.2">
      <c r="C84" s="7">
        <v>45678</v>
      </c>
      <c r="D84" s="11" t="s">
        <v>420</v>
      </c>
      <c r="E84" s="32" t="s">
        <v>60</v>
      </c>
      <c r="F84" s="55" t="s">
        <v>138</v>
      </c>
      <c r="G84" s="2">
        <v>30</v>
      </c>
      <c r="H84" s="391">
        <v>4680000</v>
      </c>
      <c r="I84" s="155">
        <v>4680000</v>
      </c>
      <c r="J84" s="90">
        <f>+SUMIFS(Tableau6[MONTANT HT],Tableau6[CLIENT],Tableau2[[#This Row],[NOM CLIENT]],Tableau6[N° BC],Tableau2[[#This Row],[ID BC UNIQUE]])-SUMIFS(Tableau6[MONTANT HT],Tableau6[CLIENT],Tableau2[[#This Row],[NOM CLIENT]],Tableau6[N° BC],Tableau2[[#This Row],[ID BC UNIQUE]])</f>
        <v>0</v>
      </c>
      <c r="K84" s="90">
        <f>Tableau2[[#This Row],[MONTANT HT VALIDE]]-Tableau2[[#This Row],[MONTANT HT FACTURE]]</f>
        <v>4680000</v>
      </c>
      <c r="L84" s="34">
        <f>+IFERROR(Tableau2[[#This Row],[MONTANT HT FACTURE]]/Tableau2[[#This Row],[MONTANT HT VALIDE]],0)</f>
        <v>0</v>
      </c>
      <c r="M8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84" t="str">
        <f>+IFERROR(INDEX(Tableau6[[ENTITE]:[N° BC]],MATCH(Tableau2[[#This Row],[ID BC UNIQUE]],Tableau6[N° BC],0),7),"")</f>
        <v>257B0207</v>
      </c>
      <c r="O84" t="str">
        <f>+IFERROR(INDEX(Tableau24[],MATCH(Tableau2[[#This Row],[CODE PROJET]],Tableau24[CODE PROJET],0),2),"")</f>
        <v>COMPLEXE RESIDENTIEL KONG-GROS ŒUVRE M.O</v>
      </c>
    </row>
    <row r="85" spans="3:15" x14ac:dyDescent="0.2">
      <c r="C85" s="7">
        <v>45678</v>
      </c>
      <c r="D85" s="390" t="s">
        <v>422</v>
      </c>
      <c r="E85" s="32" t="s">
        <v>60</v>
      </c>
      <c r="F85" s="55" t="s">
        <v>138</v>
      </c>
      <c r="G85" s="2">
        <v>30</v>
      </c>
      <c r="H85" s="391">
        <v>5000000</v>
      </c>
      <c r="I85" s="155">
        <v>5000000</v>
      </c>
      <c r="J85" s="90">
        <f>+SUMIFS(Tableau6[MONTANT HT],Tableau6[CLIENT],Tableau2[[#This Row],[NOM CLIENT]],Tableau6[N° BC],Tableau2[[#This Row],[ID BC UNIQUE]])-SUMIFS(Tableau6[MONTANT HT],Tableau6[CLIENT],Tableau2[[#This Row],[NOM CLIENT]],Tableau6[N° BC],Tableau2[[#This Row],[ID BC UNIQUE]])</f>
        <v>0</v>
      </c>
      <c r="K85" s="90">
        <f>Tableau2[[#This Row],[MONTANT HT VALIDE]]-Tableau2[[#This Row],[MONTANT HT FACTURE]]</f>
        <v>5000000</v>
      </c>
      <c r="L85" s="34">
        <f>+IFERROR(Tableau2[[#This Row],[MONTANT HT FACTURE]]/Tableau2[[#This Row],[MONTANT HT VALIDE]],0)</f>
        <v>0</v>
      </c>
      <c r="M8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85" t="str">
        <f>+IFERROR(INDEX(Tableau6[[ENTITE]:[N° BC]],MATCH(Tableau2[[#This Row],[ID BC UNIQUE]],Tableau6[N° BC],0),7),"")</f>
        <v>257B0003</v>
      </c>
      <c r="O85" t="str">
        <f>+IFERROR(INDEX(Tableau24[],MATCH(Tableau2[[#This Row],[CODE PROJET]],Tableau24[CODE PROJET],0),2),"")</f>
        <v>COMPLEXE RES KONG GLE INST CHANT</v>
      </c>
    </row>
    <row r="86" spans="3:15" x14ac:dyDescent="0.2">
      <c r="C86" s="7">
        <v>45678</v>
      </c>
      <c r="D86" s="11" t="s">
        <v>447</v>
      </c>
      <c r="E86" s="32" t="s">
        <v>60</v>
      </c>
      <c r="F86" s="55" t="s">
        <v>138</v>
      </c>
      <c r="G86" s="2">
        <v>30</v>
      </c>
      <c r="H86" s="391">
        <v>4680000</v>
      </c>
      <c r="I86" s="155">
        <v>4680000</v>
      </c>
      <c r="J86" s="90">
        <f>+SUMIFS(Tableau6[MONTANT HT],Tableau6[CLIENT],Tableau2[[#This Row],[NOM CLIENT]],Tableau6[N° BC],Tableau2[[#This Row],[ID BC UNIQUE]])-SUMIFS(Tableau6[MONTANT HT],Tableau6[CLIENT],Tableau2[[#This Row],[NOM CLIENT]],Tableau6[N° BC],Tableau2[[#This Row],[ID BC UNIQUE]])</f>
        <v>0</v>
      </c>
      <c r="K86" s="90">
        <f>Tableau2[[#This Row],[MONTANT HT VALIDE]]-Tableau2[[#This Row],[MONTANT HT FACTURE]]</f>
        <v>4680000</v>
      </c>
      <c r="L86" s="34">
        <f>+IFERROR(Tableau2[[#This Row],[MONTANT HT FACTURE]]/Tableau2[[#This Row],[MONTANT HT VALIDE]],0)</f>
        <v>0</v>
      </c>
      <c r="M8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86" t="str">
        <f>+IFERROR(INDEX(Tableau6[[ENTITE]:[N° BC]],MATCH(Tableau2[[#This Row],[ID BC UNIQUE]],Tableau6[N° BC],0),7),"")</f>
        <v>257B0207</v>
      </c>
      <c r="O86" t="str">
        <f>+IFERROR(INDEX(Tableau24[],MATCH(Tableau2[[#This Row],[CODE PROJET]],Tableau24[CODE PROJET],0),2),"")</f>
        <v>COMPLEXE RESIDENTIEL KONG-GROS ŒUVRE M.O</v>
      </c>
    </row>
    <row r="87" spans="3:15" x14ac:dyDescent="0.2">
      <c r="C87" s="7">
        <v>45678</v>
      </c>
      <c r="D87" s="11" t="s">
        <v>470</v>
      </c>
      <c r="E87" s="32" t="s">
        <v>60</v>
      </c>
      <c r="F87" s="55" t="s">
        <v>138</v>
      </c>
      <c r="G87" s="2">
        <v>30</v>
      </c>
      <c r="H87" s="391">
        <v>1350000</v>
      </c>
      <c r="I87" s="391">
        <v>1350000</v>
      </c>
      <c r="J87" s="90">
        <f>+SUMIFS(Tableau6[MONTANT HT],Tableau6[CLIENT],Tableau2[[#This Row],[NOM CLIENT]],Tableau6[N° BC],Tableau2[[#This Row],[ID BC UNIQUE]])-SUMIFS(Tableau6[MONTANT HT],Tableau6[CLIENT],Tableau2[[#This Row],[NOM CLIENT]],Tableau6[N° BC],Tableau2[[#This Row],[ID BC UNIQUE]])</f>
        <v>0</v>
      </c>
      <c r="K87" s="90">
        <f>Tableau2[[#This Row],[MONTANT HT VALIDE]]-Tableau2[[#This Row],[MONTANT HT FACTURE]]</f>
        <v>1350000</v>
      </c>
      <c r="L87" s="34">
        <f>+IFERROR(Tableau2[[#This Row],[MONTANT HT FACTURE]]/Tableau2[[#This Row],[MONTANT HT VALIDE]],0)</f>
        <v>0</v>
      </c>
      <c r="M8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87" t="str">
        <f>+IFERROR(INDEX(Tableau6[[ENTITE]:[N° BC]],MATCH(Tableau2[[#This Row],[ID BC UNIQUE]],Tableau6[N° BC],0),7),"")</f>
        <v>257B0801</v>
      </c>
      <c r="O87" t="str">
        <f>+IFERROR(INDEX(Tableau24[],MATCH(Tableau2[[#This Row],[CODE PROJET]],Tableau24[CODE PROJET],0),2),"")</f>
        <v>COMPLEXE RES. KONG CLOISON DOUBLAGE</v>
      </c>
    </row>
    <row r="88" spans="3:15" x14ac:dyDescent="0.2">
      <c r="C88" s="3">
        <v>45678</v>
      </c>
      <c r="D88" s="6" t="s">
        <v>471</v>
      </c>
      <c r="E88" s="253" t="s">
        <v>60</v>
      </c>
      <c r="F88" s="58" t="s">
        <v>138</v>
      </c>
      <c r="G88">
        <v>30</v>
      </c>
      <c r="H88" s="392">
        <v>540000</v>
      </c>
      <c r="I88" s="392">
        <v>540000</v>
      </c>
      <c r="J88" s="90">
        <f>+SUMIFS(Tableau6[MONTANT HT],Tableau6[CLIENT],Tableau2[[#This Row],[NOM CLIENT]],Tableau6[N° BC],Tableau2[[#This Row],[ID BC UNIQUE]])-SUMIFS(Tableau6[MONTANT HT],Tableau6[CLIENT],Tableau2[[#This Row],[NOM CLIENT]],Tableau6[N° BC],Tableau2[[#This Row],[ID BC UNIQUE]])</f>
        <v>0</v>
      </c>
      <c r="K88" s="90">
        <f>Tableau2[[#This Row],[MONTANT HT VALIDE]]-Tableau2[[#This Row],[MONTANT HT FACTURE]]</f>
        <v>540000</v>
      </c>
      <c r="L88" s="34">
        <f>+IFERROR(Tableau2[[#This Row],[MONTANT HT FACTURE]]/Tableau2[[#This Row],[MONTANT HT VALIDE]],0)</f>
        <v>0</v>
      </c>
      <c r="M8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88" t="str">
        <f>+IFERROR(INDEX(Tableau6[[ENTITE]:[N° BC]],MATCH(Tableau2[[#This Row],[ID BC UNIQUE]],Tableau6[N° BC],0),7),"")</f>
        <v>257B0109</v>
      </c>
      <c r="O88" t="str">
        <f>+IFERROR(INDEX(Tableau24[],MATCH(Tableau2[[#This Row],[CODE PROJET]],Tableau24[CODE PROJET],0),2),"")</f>
        <v>COMPLEXE RES. KONG AMENGT EXT P</v>
      </c>
    </row>
    <row r="89" spans="3:15" x14ac:dyDescent="0.2">
      <c r="C89" s="3">
        <v>45678</v>
      </c>
      <c r="D89" s="6" t="s">
        <v>473</v>
      </c>
      <c r="E89" s="253" t="s">
        <v>60</v>
      </c>
      <c r="F89" s="58" t="s">
        <v>138</v>
      </c>
      <c r="G89">
        <v>30</v>
      </c>
      <c r="H89" s="392">
        <v>3800000</v>
      </c>
      <c r="I89" s="392">
        <v>3800000</v>
      </c>
      <c r="J89" s="90">
        <f>+SUMIFS(Tableau6[MONTANT HT],Tableau6[CLIENT],Tableau2[[#This Row],[NOM CLIENT]],Tableau6[N° BC],Tableau2[[#This Row],[ID BC UNIQUE]])-SUMIFS(Tableau6[MONTANT HT],Tableau6[CLIENT],Tableau2[[#This Row],[NOM CLIENT]],Tableau6[N° BC],Tableau2[[#This Row],[ID BC UNIQUE]])</f>
        <v>0</v>
      </c>
      <c r="K89" s="90">
        <f>Tableau2[[#This Row],[MONTANT HT VALIDE]]-Tableau2[[#This Row],[MONTANT HT FACTURE]]</f>
        <v>3800000</v>
      </c>
      <c r="L89" s="34">
        <f>+IFERROR(Tableau2[[#This Row],[MONTANT HT FACTURE]]/Tableau2[[#This Row],[MONTANT HT VALIDE]],0)</f>
        <v>0</v>
      </c>
      <c r="M8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89" t="str">
        <f>+IFERROR(INDEX(Tableau6[[ENTITE]:[N° BC]],MATCH(Tableau2[[#This Row],[ID BC UNIQUE]],Tableau6[N° BC],0),7),"")</f>
        <v>257B0209</v>
      </c>
      <c r="O89" t="str">
        <f>+IFERROR(INDEX(Tableau24[],MATCH(Tableau2[[#This Row],[CODE PROJET]],Tableau24[CODE PROJET],0),2),"")</f>
        <v>COMPLEXE RESIDENTIEL-KONG-GROS ŒUVRE DRAINAGE</v>
      </c>
    </row>
    <row r="90" spans="3:15" x14ac:dyDescent="0.2">
      <c r="C90" s="3">
        <v>45678</v>
      </c>
      <c r="D90" s="6" t="s">
        <v>474</v>
      </c>
      <c r="E90" s="253" t="s">
        <v>60</v>
      </c>
      <c r="F90" s="58" t="s">
        <v>138</v>
      </c>
      <c r="G90">
        <v>30</v>
      </c>
      <c r="H90" s="392">
        <v>3500000</v>
      </c>
      <c r="I90" s="392">
        <v>3500000</v>
      </c>
      <c r="J90" s="90">
        <f>+SUMIFS(Tableau6[MONTANT HT],Tableau6[CLIENT],Tableau2[[#This Row],[NOM CLIENT]],Tableau6[N° BC],Tableau2[[#This Row],[ID BC UNIQUE]])-SUMIFS(Tableau6[MONTANT HT],Tableau6[CLIENT],Tableau2[[#This Row],[NOM CLIENT]],Tableau6[N° BC],Tableau2[[#This Row],[ID BC UNIQUE]])</f>
        <v>0</v>
      </c>
      <c r="K90" s="90">
        <f>Tableau2[[#This Row],[MONTANT HT VALIDE]]-Tableau2[[#This Row],[MONTANT HT FACTURE]]</f>
        <v>3500000</v>
      </c>
      <c r="L90" s="34">
        <f>+IFERROR(Tableau2[[#This Row],[MONTANT HT FACTURE]]/Tableau2[[#This Row],[MONTANT HT VALIDE]],0)</f>
        <v>0</v>
      </c>
      <c r="M9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90" t="str">
        <f>+IFERROR(INDEX(Tableau6[[ENTITE]:[N° BC]],MATCH(Tableau2[[#This Row],[ID BC UNIQUE]],Tableau6[N° BC],0),7),"")</f>
        <v>257B0003</v>
      </c>
      <c r="O90" t="str">
        <f>+IFERROR(INDEX(Tableau24[],MATCH(Tableau2[[#This Row],[CODE PROJET]],Tableau24[CODE PROJET],0),2),"")</f>
        <v>COMPLEXE RES KONG GLE INST CHANT</v>
      </c>
    </row>
    <row r="91" spans="3:15" x14ac:dyDescent="0.2">
      <c r="C91" s="3">
        <v>45679</v>
      </c>
      <c r="D91" s="6" t="s">
        <v>419</v>
      </c>
      <c r="E91" s="253" t="s">
        <v>60</v>
      </c>
      <c r="F91" s="58" t="s">
        <v>138</v>
      </c>
      <c r="G91">
        <v>30</v>
      </c>
      <c r="H91" s="392">
        <v>7680000</v>
      </c>
      <c r="I91" s="156">
        <v>7680000</v>
      </c>
      <c r="J91" s="90">
        <f>+SUMIFS(Tableau6[MONTANT HT],Tableau6[CLIENT],Tableau2[[#This Row],[NOM CLIENT]],Tableau6[N° BC],Tableau2[[#This Row],[ID BC UNIQUE]])-SUMIFS(Tableau6[MONTANT HT],Tableau6[CLIENT],Tableau2[[#This Row],[NOM CLIENT]],Tableau6[N° BC],Tableau2[[#This Row],[ID BC UNIQUE]])</f>
        <v>0</v>
      </c>
      <c r="K91" s="90">
        <f>Tableau2[[#This Row],[MONTANT HT VALIDE]]-Tableau2[[#This Row],[MONTANT HT FACTURE]]</f>
        <v>7680000</v>
      </c>
      <c r="L91" s="34">
        <f>+IFERROR(Tableau2[[#This Row],[MONTANT HT FACTURE]]/Tableau2[[#This Row],[MONTANT HT VALIDE]],0)</f>
        <v>0</v>
      </c>
      <c r="M9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91" t="str">
        <f>+IFERROR(INDEX(Tableau6[[ENTITE]:[N° BC]],MATCH(Tableau2[[#This Row],[ID BC UNIQUE]],Tableau6[N° BC],0),7),"")</f>
        <v>257B0109</v>
      </c>
      <c r="O91" t="str">
        <f>+IFERROR(INDEX(Tableau24[],MATCH(Tableau2[[#This Row],[CODE PROJET]],Tableau24[CODE PROJET],0),2),"")</f>
        <v>COMPLEXE RES. KONG AMENGT EXT P</v>
      </c>
    </row>
    <row r="92" spans="3:15" x14ac:dyDescent="0.2">
      <c r="C92" s="3">
        <v>45679</v>
      </c>
      <c r="D92" s="6" t="s">
        <v>424</v>
      </c>
      <c r="E92" s="253" t="s">
        <v>60</v>
      </c>
      <c r="F92" s="58" t="s">
        <v>138</v>
      </c>
      <c r="G92">
        <v>30</v>
      </c>
      <c r="H92" s="392">
        <v>6000000</v>
      </c>
      <c r="I92" s="156">
        <v>6000000</v>
      </c>
      <c r="J92" s="90">
        <f>+SUMIFS(Tableau6[MONTANT HT],Tableau6[CLIENT],Tableau2[[#This Row],[NOM CLIENT]],Tableau6[N° BC],Tableau2[[#This Row],[ID BC UNIQUE]])-SUMIFS(Tableau6[MONTANT HT],Tableau6[CLIENT],Tableau2[[#This Row],[NOM CLIENT]],Tableau6[N° BC],Tableau2[[#This Row],[ID BC UNIQUE]])</f>
        <v>0</v>
      </c>
      <c r="K92" s="90">
        <f>Tableau2[[#This Row],[MONTANT HT VALIDE]]-Tableau2[[#This Row],[MONTANT HT FACTURE]]</f>
        <v>6000000</v>
      </c>
      <c r="L92" s="34">
        <f>+IFERROR(Tableau2[[#This Row],[MONTANT HT FACTURE]]/Tableau2[[#This Row],[MONTANT HT VALIDE]],0)</f>
        <v>0</v>
      </c>
      <c r="M9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92" t="str">
        <f>+IFERROR(INDEX(Tableau6[[ENTITE]:[N° BC]],MATCH(Tableau2[[#This Row],[ID BC UNIQUE]],Tableau6[N° BC],0),7),"")</f>
        <v>257B0403</v>
      </c>
      <c r="O92" t="str">
        <f>+IFERROR(INDEX(Tableau24[],MATCH(Tableau2[[#This Row],[CODE PROJET]],Tableau24[CODE PROJET],0),2),"")</f>
        <v>COMPLEXE RESIDENTIEL KONG-CHARPENTE COUVERTURE BOIS-05 VILLAS FAMILLE</v>
      </c>
    </row>
    <row r="93" spans="3:15" x14ac:dyDescent="0.2">
      <c r="C93" s="3">
        <v>45679</v>
      </c>
      <c r="D93" s="6" t="s">
        <v>759</v>
      </c>
      <c r="E93" s="253" t="s">
        <v>60</v>
      </c>
      <c r="F93" s="58" t="s">
        <v>138</v>
      </c>
      <c r="G93">
        <v>30</v>
      </c>
      <c r="H93" s="392">
        <v>180000</v>
      </c>
      <c r="I93" s="392">
        <v>180000</v>
      </c>
      <c r="J93" s="90">
        <f>+SUMIFS(Tableau6[MONTANT HT],Tableau6[CLIENT],Tableau2[[#This Row],[NOM CLIENT]],Tableau6[N° BC],Tableau2[[#This Row],[ID BC UNIQUE]])-SUMIFS(Tableau6[MONTANT HT],Tableau6[CLIENT],Tableau2[[#This Row],[NOM CLIENT]],Tableau6[N° BC],Tableau2[[#This Row],[ID BC UNIQUE]])</f>
        <v>0</v>
      </c>
      <c r="K93" s="90">
        <f>Tableau2[[#This Row],[MONTANT HT VALIDE]]-Tableau2[[#This Row],[MONTANT HT FACTURE]]</f>
        <v>180000</v>
      </c>
      <c r="L93" s="34">
        <f>+IFERROR(Tableau2[[#This Row],[MONTANT HT FACTURE]]/Tableau2[[#This Row],[MONTANT HT VALIDE]],0)</f>
        <v>0</v>
      </c>
      <c r="M9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93" t="str">
        <f>+IFERROR(INDEX(Tableau6[[ENTITE]:[N° BC]],MATCH(Tableau2[[#This Row],[ID BC UNIQUE]],Tableau6[N° BC],0),7),"")</f>
        <v>257B0109</v>
      </c>
      <c r="O93" t="str">
        <f>+IFERROR(INDEX(Tableau24[],MATCH(Tableau2[[#This Row],[CODE PROJET]],Tableau24[CODE PROJET],0),2),"")</f>
        <v>COMPLEXE RES. KONG AMENGT EXT P</v>
      </c>
    </row>
    <row r="94" spans="3:15" x14ac:dyDescent="0.2">
      <c r="C94" s="3">
        <v>45679</v>
      </c>
      <c r="D94" s="6" t="s">
        <v>469</v>
      </c>
      <c r="E94" s="253" t="s">
        <v>60</v>
      </c>
      <c r="F94" s="58" t="s">
        <v>138</v>
      </c>
      <c r="G94">
        <v>30</v>
      </c>
      <c r="H94" s="392">
        <v>3960000</v>
      </c>
      <c r="I94" s="392">
        <v>3960000</v>
      </c>
      <c r="J94" s="90">
        <f>+SUMIFS(Tableau6[MONTANT HT],Tableau6[CLIENT],Tableau2[[#This Row],[NOM CLIENT]],Tableau6[N° BC],Tableau2[[#This Row],[ID BC UNIQUE]])-SUMIFS(Tableau6[MONTANT HT],Tableau6[CLIENT],Tableau2[[#This Row],[NOM CLIENT]],Tableau6[N° BC],Tableau2[[#This Row],[ID BC UNIQUE]])</f>
        <v>0</v>
      </c>
      <c r="K94" s="90">
        <f>Tableau2[[#This Row],[MONTANT HT VALIDE]]-Tableau2[[#This Row],[MONTANT HT FACTURE]]</f>
        <v>3960000</v>
      </c>
      <c r="L94" s="34">
        <f>+IFERROR(Tableau2[[#This Row],[MONTANT HT FACTURE]]/Tableau2[[#This Row],[MONTANT HT VALIDE]],0)</f>
        <v>0</v>
      </c>
      <c r="M9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94" t="str">
        <f>+IFERROR(INDEX(Tableau6[[ENTITE]:[N° BC]],MATCH(Tableau2[[#This Row],[ID BC UNIQUE]],Tableau6[N° BC],0),7),"")</f>
        <v>257B0003</v>
      </c>
      <c r="O94" t="str">
        <f>+IFERROR(INDEX(Tableau24[],MATCH(Tableau2[[#This Row],[CODE PROJET]],Tableau24[CODE PROJET],0),2),"")</f>
        <v>COMPLEXE RES KONG GLE INST CHANT</v>
      </c>
    </row>
    <row r="95" spans="3:15" x14ac:dyDescent="0.2">
      <c r="C95" s="3">
        <v>45679</v>
      </c>
      <c r="D95" s="6" t="s">
        <v>475</v>
      </c>
      <c r="E95" s="253" t="s">
        <v>60</v>
      </c>
      <c r="F95" s="58" t="s">
        <v>138</v>
      </c>
      <c r="G95">
        <v>30</v>
      </c>
      <c r="H95" s="392">
        <v>3780000</v>
      </c>
      <c r="I95" s="392">
        <v>3780000</v>
      </c>
      <c r="J95" s="90">
        <f>+SUMIFS(Tableau6[MONTANT HT],Tableau6[CLIENT],Tableau2[[#This Row],[NOM CLIENT]],Tableau6[N° BC],Tableau2[[#This Row],[ID BC UNIQUE]])-SUMIFS(Tableau6[MONTANT HT],Tableau6[CLIENT],Tableau2[[#This Row],[NOM CLIENT]],Tableau6[N° BC],Tableau2[[#This Row],[ID BC UNIQUE]])</f>
        <v>0</v>
      </c>
      <c r="K95" s="90">
        <f>Tableau2[[#This Row],[MONTANT HT VALIDE]]-Tableau2[[#This Row],[MONTANT HT FACTURE]]</f>
        <v>3780000</v>
      </c>
      <c r="L95" s="34">
        <f>+IFERROR(Tableau2[[#This Row],[MONTANT HT FACTURE]]/Tableau2[[#This Row],[MONTANT HT VALIDE]],0)</f>
        <v>0</v>
      </c>
      <c r="M9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95" t="str">
        <f>+IFERROR(INDEX(Tableau6[[ENTITE]:[N° BC]],MATCH(Tableau2[[#This Row],[ID BC UNIQUE]],Tableau6[N° BC],0),7),"")</f>
        <v>257B0003</v>
      </c>
      <c r="O95" t="str">
        <f>+IFERROR(INDEX(Tableau24[],MATCH(Tableau2[[#This Row],[CODE PROJET]],Tableau24[CODE PROJET],0),2),"")</f>
        <v>COMPLEXE RES KONG GLE INST CHANT</v>
      </c>
    </row>
    <row r="96" spans="3:15" x14ac:dyDescent="0.2">
      <c r="C96" s="3">
        <v>45680</v>
      </c>
      <c r="D96" s="6" t="s">
        <v>519</v>
      </c>
      <c r="E96" s="253" t="s">
        <v>60</v>
      </c>
      <c r="F96" s="58" t="s">
        <v>138</v>
      </c>
      <c r="G96">
        <v>30</v>
      </c>
      <c r="H96" s="392">
        <v>1080000</v>
      </c>
      <c r="I96" s="392">
        <v>1080000</v>
      </c>
      <c r="J96" s="90">
        <f>+SUMIFS(Tableau6[MONTANT HT],Tableau6[CLIENT],Tableau2[[#This Row],[NOM CLIENT]],Tableau6[N° BC],Tableau2[[#This Row],[ID BC UNIQUE]])-SUMIFS(Tableau6[MONTANT HT],Tableau6[CLIENT],Tableau2[[#This Row],[NOM CLIENT]],Tableau6[N° BC],Tableau2[[#This Row],[ID BC UNIQUE]])</f>
        <v>0</v>
      </c>
      <c r="K96" s="90">
        <f>Tableau2[[#This Row],[MONTANT HT VALIDE]]-Tableau2[[#This Row],[MONTANT HT FACTURE]]</f>
        <v>1080000</v>
      </c>
      <c r="L96" s="34">
        <f>+IFERROR(Tableau2[[#This Row],[MONTANT HT FACTURE]]/Tableau2[[#This Row],[MONTANT HT VALIDE]],0)</f>
        <v>0</v>
      </c>
      <c r="M9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96" t="str">
        <f>+IFERROR(INDEX(Tableau6[[ENTITE]:[N° BC]],MATCH(Tableau2[[#This Row],[ID BC UNIQUE]],Tableau6[N° BC],0),7),"")</f>
        <v>255R8002</v>
      </c>
      <c r="O96" t="str">
        <f>+IFERROR(INDEX(Tableau24[],MATCH(Tableau2[[#This Row],[CODE PROJET]],Tableau24[CODE PROJET],0),2),"")</f>
        <v>TX PROLONGEMENT BD MITTERAND-TX MAD ENGIN</v>
      </c>
    </row>
    <row r="97" spans="3:15" x14ac:dyDescent="0.2">
      <c r="C97" s="3">
        <v>45680</v>
      </c>
      <c r="D97" s="6" t="s">
        <v>468</v>
      </c>
      <c r="E97" s="253" t="s">
        <v>60</v>
      </c>
      <c r="F97" s="58" t="s">
        <v>138</v>
      </c>
      <c r="G97">
        <v>30</v>
      </c>
      <c r="H97" s="392">
        <v>180000</v>
      </c>
      <c r="I97" s="392">
        <v>180000</v>
      </c>
      <c r="J97" s="90">
        <f>+SUMIFS(Tableau6[MONTANT HT],Tableau6[CLIENT],Tableau2[[#This Row],[NOM CLIENT]],Tableau6[N° BC],Tableau2[[#This Row],[ID BC UNIQUE]])-SUMIFS(Tableau6[MONTANT HT],Tableau6[CLIENT],Tableau2[[#This Row],[NOM CLIENT]],Tableau6[N° BC],Tableau2[[#This Row],[ID BC UNIQUE]])</f>
        <v>0</v>
      </c>
      <c r="K97" s="90">
        <f>Tableau2[[#This Row],[MONTANT HT VALIDE]]-Tableau2[[#This Row],[MONTANT HT FACTURE]]</f>
        <v>180000</v>
      </c>
      <c r="L97" s="34">
        <f>+IFERROR(Tableau2[[#This Row],[MONTANT HT FACTURE]]/Tableau2[[#This Row],[MONTANT HT VALIDE]],0)</f>
        <v>0</v>
      </c>
      <c r="M9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97" t="str">
        <f>+IFERROR(INDEX(Tableau6[[ENTITE]:[N° BC]],MATCH(Tableau2[[#This Row],[ID BC UNIQUE]],Tableau6[N° BC],0),7),"")</f>
        <v>257B0109</v>
      </c>
      <c r="O97" t="str">
        <f>+IFERROR(INDEX(Tableau24[],MATCH(Tableau2[[#This Row],[CODE PROJET]],Tableau24[CODE PROJET],0),2),"")</f>
        <v>COMPLEXE RES. KONG AMENGT EXT P</v>
      </c>
    </row>
    <row r="98" spans="3:15" x14ac:dyDescent="0.2">
      <c r="C98" s="3">
        <v>45681</v>
      </c>
      <c r="D98" s="6" t="s">
        <v>450</v>
      </c>
      <c r="E98" s="253" t="s">
        <v>60</v>
      </c>
      <c r="F98" s="58" t="s">
        <v>138</v>
      </c>
      <c r="G98">
        <v>30</v>
      </c>
      <c r="H98" s="392">
        <v>3622500</v>
      </c>
      <c r="I98" s="392">
        <v>3622500</v>
      </c>
      <c r="J98" s="90">
        <f>+SUMIFS(Tableau6[MONTANT HT],Tableau6[CLIENT],Tableau2[[#This Row],[NOM CLIENT]],Tableau6[N° BC],Tableau2[[#This Row],[ID BC UNIQUE]])-SUMIFS(Tableau6[MONTANT HT],Tableau6[CLIENT],Tableau2[[#This Row],[NOM CLIENT]],Tableau6[N° BC],Tableau2[[#This Row],[ID BC UNIQUE]])</f>
        <v>0</v>
      </c>
      <c r="K98" s="90">
        <f>Tableau2[[#This Row],[MONTANT HT VALIDE]]-Tableau2[[#This Row],[MONTANT HT FACTURE]]</f>
        <v>3622500</v>
      </c>
      <c r="L98" s="34">
        <f>+IFERROR(Tableau2[[#This Row],[MONTANT HT FACTURE]]/Tableau2[[#This Row],[MONTANT HT VALIDE]],0)</f>
        <v>0</v>
      </c>
      <c r="M9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98" t="str">
        <f>+IFERROR(INDEX(Tableau6[[ENTITE]:[N° BC]],MATCH(Tableau2[[#This Row],[ID BC UNIQUE]],Tableau6[N° BC],0),7),"")</f>
        <v>257B0209</v>
      </c>
      <c r="O98" t="str">
        <f>+IFERROR(INDEX(Tableau24[],MATCH(Tableau2[[#This Row],[CODE PROJET]],Tableau24[CODE PROJET],0),2),"")</f>
        <v>COMPLEXE RESIDENTIEL-KONG-GROS ŒUVRE DRAINAGE</v>
      </c>
    </row>
    <row r="99" spans="3:15" x14ac:dyDescent="0.2">
      <c r="C99" s="3">
        <v>45684</v>
      </c>
      <c r="D99" s="6" t="s">
        <v>521</v>
      </c>
      <c r="E99" s="253" t="s">
        <v>60</v>
      </c>
      <c r="F99" s="58" t="s">
        <v>138</v>
      </c>
      <c r="G99">
        <v>30</v>
      </c>
      <c r="H99" s="392">
        <v>3450000</v>
      </c>
      <c r="I99" s="392">
        <v>3450000</v>
      </c>
      <c r="J99" s="90">
        <f>+SUMIFS(Tableau6[MONTANT HT],Tableau6[CLIENT],Tableau2[[#This Row],[NOM CLIENT]],Tableau6[N° BC],Tableau2[[#This Row],[ID BC UNIQUE]])-SUMIFS(Tableau6[MONTANT HT],Tableau6[CLIENT],Tableau2[[#This Row],[NOM CLIENT]],Tableau6[N° BC],Tableau2[[#This Row],[ID BC UNIQUE]])</f>
        <v>0</v>
      </c>
      <c r="K99" s="90">
        <f>Tableau2[[#This Row],[MONTANT HT VALIDE]]-Tableau2[[#This Row],[MONTANT HT FACTURE]]</f>
        <v>3450000</v>
      </c>
      <c r="L99" s="34">
        <f>+IFERROR(Tableau2[[#This Row],[MONTANT HT FACTURE]]/Tableau2[[#This Row],[MONTANT HT VALIDE]],0)</f>
        <v>0</v>
      </c>
      <c r="M9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99" t="str">
        <f>+IFERROR(INDEX(Tableau6[[ENTITE]:[N° BC]],MATCH(Tableau2[[#This Row],[ID BC UNIQUE]],Tableau6[N° BC],0),7),"")</f>
        <v>170R2101</v>
      </c>
      <c r="O99" t="str">
        <f>+IFERROR(INDEX(Tableau24[],MATCH(Tableau2[[#This Row],[CODE PROJET]],Tableau24[CODE PROJET],0),2),"")</f>
        <v>FERMETURE AKOUEDO-TX REMOD V. P. CANNIVEAUX</v>
      </c>
    </row>
    <row r="100" spans="3:15" x14ac:dyDescent="0.2">
      <c r="C100" s="3">
        <v>45684</v>
      </c>
      <c r="D100" s="6" t="s">
        <v>673</v>
      </c>
      <c r="E100" s="253" t="s">
        <v>60</v>
      </c>
      <c r="F100" s="58" t="s">
        <v>138</v>
      </c>
      <c r="G100">
        <v>30</v>
      </c>
      <c r="H100" s="392">
        <v>1610000</v>
      </c>
      <c r="I100" s="392">
        <v>1610000</v>
      </c>
      <c r="J100" s="90">
        <f>+SUMIFS(Tableau6[MONTANT HT],Tableau6[CLIENT],Tableau2[[#This Row],[NOM CLIENT]],Tableau6[N° BC],Tableau2[[#This Row],[ID BC UNIQUE]])-SUMIFS(Tableau6[MONTANT HT],Tableau6[CLIENT],Tableau2[[#This Row],[NOM CLIENT]],Tableau6[N° BC],Tableau2[[#This Row],[ID BC UNIQUE]])</f>
        <v>0</v>
      </c>
      <c r="K100" s="90">
        <f>Tableau2[[#This Row],[MONTANT HT VALIDE]]-Tableau2[[#This Row],[MONTANT HT FACTURE]]</f>
        <v>1610000</v>
      </c>
      <c r="L100" s="34">
        <f>+IFERROR(Tableau2[[#This Row],[MONTANT HT FACTURE]]/Tableau2[[#This Row],[MONTANT HT VALIDE]],0)</f>
        <v>0</v>
      </c>
      <c r="M10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00" t="str">
        <f>+IFERROR(INDEX(Tableau6[[ENTITE]:[N° BC]],MATCH(Tableau2[[#This Row],[ID BC UNIQUE]],Tableau6[N° BC],0),7),"")</f>
        <v>654R7007</v>
      </c>
      <c r="O100" t="str">
        <f>+IFERROR(INDEX(Tableau24[],MATCH(Tableau2[[#This Row],[CODE PROJET]],Tableau24[CODE PROJET],0),2),"")</f>
        <v>VRD UNIVERSITE ODIENNE FRS CH BUS</v>
      </c>
    </row>
    <row r="101" spans="3:15" x14ac:dyDescent="0.2">
      <c r="C101" s="3">
        <v>45685</v>
      </c>
      <c r="D101" s="6" t="s">
        <v>453</v>
      </c>
      <c r="E101" s="253" t="s">
        <v>60</v>
      </c>
      <c r="F101" s="58" t="s">
        <v>138</v>
      </c>
      <c r="G101">
        <v>30</v>
      </c>
      <c r="H101" s="392">
        <v>2100000</v>
      </c>
      <c r="I101" s="392">
        <v>2100000</v>
      </c>
      <c r="J101" s="90">
        <f>+SUMIFS(Tableau6[MONTANT HT],Tableau6[CLIENT],Tableau2[[#This Row],[NOM CLIENT]],Tableau6[N° BC],Tableau2[[#This Row],[ID BC UNIQUE]])-SUMIFS(Tableau6[MONTANT HT],Tableau6[CLIENT],Tableau2[[#This Row],[NOM CLIENT]],Tableau6[N° BC],Tableau2[[#This Row],[ID BC UNIQUE]])</f>
        <v>0</v>
      </c>
      <c r="K101" s="90">
        <f>Tableau2[[#This Row],[MONTANT HT VALIDE]]-Tableau2[[#This Row],[MONTANT HT FACTURE]]</f>
        <v>2100000</v>
      </c>
      <c r="L101" s="34">
        <f>+IFERROR(Tableau2[[#This Row],[MONTANT HT FACTURE]]/Tableau2[[#This Row],[MONTANT HT VALIDE]],0)</f>
        <v>0</v>
      </c>
      <c r="M10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01" t="str">
        <f>+IFERROR(INDEX(Tableau6[[ENTITE]:[N° BC]],MATCH(Tableau2[[#This Row],[ID BC UNIQUE]],Tableau6[N° BC],0),7),"")</f>
        <v>342R8002</v>
      </c>
      <c r="O101" t="str">
        <f>+IFERROR(INDEX(Tableau24[],MATCH(Tableau2[[#This Row],[CODE PROJET]],Tableau24[CODE PROJET],0),2),"")</f>
        <v>COMPLEXE RESIDENTIEL-KONG TX</v>
      </c>
    </row>
    <row r="102" spans="3:15" x14ac:dyDescent="0.2">
      <c r="C102" s="3">
        <v>45685</v>
      </c>
      <c r="D102" s="6" t="s">
        <v>761</v>
      </c>
      <c r="E102" s="253" t="s">
        <v>60</v>
      </c>
      <c r="F102" s="58" t="s">
        <v>138</v>
      </c>
      <c r="G102">
        <v>30</v>
      </c>
      <c r="H102" s="392">
        <v>1080000</v>
      </c>
      <c r="I102" s="392">
        <v>1080000</v>
      </c>
      <c r="J102" s="90">
        <f>+SUMIFS(Tableau6[MONTANT HT],Tableau6[CLIENT],Tableau2[[#This Row],[NOM CLIENT]],Tableau6[N° BC],Tableau2[[#This Row],[ID BC UNIQUE]])-SUMIFS(Tableau6[MONTANT HT],Tableau6[CLIENT],Tableau2[[#This Row],[NOM CLIENT]],Tableau6[N° BC],Tableau2[[#This Row],[ID BC UNIQUE]])</f>
        <v>0</v>
      </c>
      <c r="K102" s="90">
        <f>Tableau2[[#This Row],[MONTANT HT VALIDE]]-Tableau2[[#This Row],[MONTANT HT FACTURE]]</f>
        <v>1080000</v>
      </c>
      <c r="L102" s="34">
        <f>+IFERROR(Tableau2[[#This Row],[MONTANT HT FACTURE]]/Tableau2[[#This Row],[MONTANT HT VALIDE]],0)</f>
        <v>0</v>
      </c>
      <c r="M10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02" s="6" t="str">
        <f>+IFERROR(INDEX(Tableau6[[ENTITE]:[N° BC]],MATCH(Tableau2[[#This Row],[ID BC UNIQUE]],Tableau6[N° BC],0),7),"")</f>
        <v>654R8002</v>
      </c>
      <c r="O102" t="str">
        <f>+IFERROR(INDEX(Tableau24[],MATCH(Tableau2[[#This Row],[CODE PROJET]],Tableau24[CODE PROJET],0),2),"")</f>
        <v>VRD UNIVERSITE ODIENNE TX</v>
      </c>
    </row>
    <row r="103" spans="3:15" x14ac:dyDescent="0.2">
      <c r="C103" s="3">
        <v>45687</v>
      </c>
      <c r="D103" s="6" t="s">
        <v>762</v>
      </c>
      <c r="E103" s="253" t="s">
        <v>60</v>
      </c>
      <c r="F103" s="58" t="s">
        <v>138</v>
      </c>
      <c r="G103">
        <v>30</v>
      </c>
      <c r="H103" s="392">
        <v>980000</v>
      </c>
      <c r="I103" s="392">
        <v>980000</v>
      </c>
      <c r="J103" s="90">
        <f>+SUMIFS(Tableau6[MONTANT HT],Tableau6[CLIENT],Tableau2[[#This Row],[NOM CLIENT]],Tableau6[N° BC],Tableau2[[#This Row],[ID BC UNIQUE]])-SUMIFS(Tableau6[MONTANT HT],Tableau6[CLIENT],Tableau2[[#This Row],[NOM CLIENT]],Tableau6[N° BC],Tableau2[[#This Row],[ID BC UNIQUE]])</f>
        <v>0</v>
      </c>
      <c r="K103" s="90">
        <f>Tableau2[[#This Row],[MONTANT HT VALIDE]]-Tableau2[[#This Row],[MONTANT HT FACTURE]]</f>
        <v>980000</v>
      </c>
      <c r="L103" s="34">
        <f>+IFERROR(Tableau2[[#This Row],[MONTANT HT FACTURE]]/Tableau2[[#This Row],[MONTANT HT VALIDE]],0)</f>
        <v>0</v>
      </c>
      <c r="M10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03" t="str">
        <f>+IFERROR(INDEX(Tableau6[[ENTITE]:[N° BC]],MATCH(Tableau2[[#This Row],[ID BC UNIQUE]],Tableau6[N° BC],0),7),"")</f>
        <v>654R7007</v>
      </c>
      <c r="O103" t="str">
        <f>+IFERROR(INDEX(Tableau24[],MATCH(Tableau2[[#This Row],[CODE PROJET]],Tableau24[CODE PROJET],0),2),"")</f>
        <v>VRD UNIVERSITE ODIENNE FRS CH BUS</v>
      </c>
    </row>
    <row r="104" spans="3:15" x14ac:dyDescent="0.2">
      <c r="C104" s="3">
        <v>45688</v>
      </c>
      <c r="D104" s="6" t="s">
        <v>457</v>
      </c>
      <c r="E104" s="253" t="s">
        <v>60</v>
      </c>
      <c r="F104" s="58" t="s">
        <v>138</v>
      </c>
      <c r="G104">
        <v>30</v>
      </c>
      <c r="H104" s="392">
        <v>2430000</v>
      </c>
      <c r="I104" s="392">
        <v>2430000</v>
      </c>
      <c r="J104" s="90">
        <f>+SUMIFS(Tableau6[MONTANT HT],Tableau6[CLIENT],Tableau2[[#This Row],[NOM CLIENT]],Tableau6[N° BC],Tableau2[[#This Row],[ID BC UNIQUE]])-SUMIFS(Tableau6[MONTANT HT],Tableau6[CLIENT],Tableau2[[#This Row],[NOM CLIENT]],Tableau6[N° BC],Tableau2[[#This Row],[ID BC UNIQUE]])</f>
        <v>0</v>
      </c>
      <c r="K104" s="90">
        <f>Tableau2[[#This Row],[MONTANT HT VALIDE]]-Tableau2[[#This Row],[MONTANT HT FACTURE]]</f>
        <v>2430000</v>
      </c>
      <c r="L104" s="34">
        <f>+IFERROR(Tableau2[[#This Row],[MONTANT HT FACTURE]]/Tableau2[[#This Row],[MONTANT HT VALIDE]],0)</f>
        <v>0</v>
      </c>
      <c r="M10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04" t="str">
        <f>+IFERROR(INDEX(Tableau6[[ENTITE]:[N° BC]],MATCH(Tableau2[[#This Row],[ID BC UNIQUE]],Tableau6[N° BC],0),7),"")</f>
        <v>332R8002</v>
      </c>
      <c r="O104" t="str">
        <f>+IFERROR(INDEX(Tableau24[],MATCH(Tableau2[[#This Row],[CODE PROJET]],Tableau24[CODE PROJET],0),2),"")</f>
        <v>PEAGE ROUTIER DIVO TX ENGIN LOCAT°</v>
      </c>
    </row>
    <row r="105" spans="3:15" x14ac:dyDescent="0.2">
      <c r="C105" s="3">
        <v>45688</v>
      </c>
      <c r="D105" s="6" t="s">
        <v>459</v>
      </c>
      <c r="E105" s="253" t="s">
        <v>60</v>
      </c>
      <c r="F105" s="58" t="s">
        <v>138</v>
      </c>
      <c r="G105">
        <v>30</v>
      </c>
      <c r="H105" s="392">
        <v>27468694</v>
      </c>
      <c r="I105" s="392">
        <v>27468694</v>
      </c>
      <c r="J105" s="90">
        <f>+SUMIFS(Tableau6[MONTANT HT],Tableau6[CLIENT],Tableau2[[#This Row],[NOM CLIENT]],Tableau6[N° BC],Tableau2[[#This Row],[ID BC UNIQUE]])-SUMIFS(Tableau6[MONTANT HT],Tableau6[CLIENT],Tableau2[[#This Row],[NOM CLIENT]],Tableau6[N° BC],Tableau2[[#This Row],[ID BC UNIQUE]])</f>
        <v>0</v>
      </c>
      <c r="K105" s="90">
        <f>Tableau2[[#This Row],[MONTANT HT VALIDE]]-Tableau2[[#This Row],[MONTANT HT FACTURE]]</f>
        <v>27468694</v>
      </c>
      <c r="L105" s="34">
        <f>+IFERROR(Tableau2[[#This Row],[MONTANT HT FACTURE]]/Tableau2[[#This Row],[MONTANT HT VALIDE]],0)</f>
        <v>0</v>
      </c>
      <c r="M10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05" t="str">
        <f>+IFERROR(INDEX(Tableau6[[ENTITE]:[N° BC]],MATCH(Tableau2[[#This Row],[ID BC UNIQUE]],Tableau6[N° BC],0),7),"")</f>
        <v>305R8002</v>
      </c>
      <c r="O105" t="str">
        <f>+IFERROR(INDEX(Tableau24[],MATCH(Tableau2[[#This Row],[CODE PROJET]],Tableau24[CODE PROJET],0),2),"")</f>
        <v>ROUTE DABAKALA-KONG TX MAD ENGIN</v>
      </c>
    </row>
    <row r="106" spans="3:15" x14ac:dyDescent="0.2">
      <c r="C106" s="3">
        <v>45691</v>
      </c>
      <c r="D106" s="6" t="s">
        <v>412</v>
      </c>
      <c r="E106" s="253" t="s">
        <v>60</v>
      </c>
      <c r="F106" s="58" t="s">
        <v>138</v>
      </c>
      <c r="G106">
        <v>30</v>
      </c>
      <c r="H106" s="392">
        <v>660000</v>
      </c>
      <c r="I106" s="156">
        <v>660000</v>
      </c>
      <c r="J106" s="90">
        <f>+SUMIFS(Tableau6[MONTANT HT],Tableau6[CLIENT],Tableau2[[#This Row],[NOM CLIENT]],Tableau6[N° BC],Tableau2[[#This Row],[ID BC UNIQUE]])-SUMIFS(Tableau6[MONTANT HT],Tableau6[CLIENT],Tableau2[[#This Row],[NOM CLIENT]],Tableau6[N° BC],Tableau2[[#This Row],[ID BC UNIQUE]])</f>
        <v>0</v>
      </c>
      <c r="K106" s="90">
        <f>Tableau2[[#This Row],[MONTANT HT VALIDE]]-Tableau2[[#This Row],[MONTANT HT FACTURE]]</f>
        <v>660000</v>
      </c>
      <c r="L106" s="34">
        <f>+IFERROR(Tableau2[[#This Row],[MONTANT HT FACTURE]]/Tableau2[[#This Row],[MONTANT HT VALIDE]],0)</f>
        <v>0</v>
      </c>
      <c r="M10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06" t="str">
        <f>+IFERROR(INDEX(Tableau6[[ENTITE]:[N° BC]],MATCH(Tableau2[[#This Row],[ID BC UNIQUE]],Tableau6[N° BC],0),7),"")</f>
        <v>257B0109</v>
      </c>
      <c r="O106" t="str">
        <f>+IFERROR(INDEX(Tableau24[],MATCH(Tableau2[[#This Row],[CODE PROJET]],Tableau24[CODE PROJET],0),2),"")</f>
        <v>COMPLEXE RES. KONG AMENGT EXT P</v>
      </c>
    </row>
    <row r="107" spans="3:15" x14ac:dyDescent="0.2">
      <c r="C107" s="3">
        <v>45691</v>
      </c>
      <c r="D107" s="6" t="s">
        <v>456</v>
      </c>
      <c r="E107" s="253" t="s">
        <v>60</v>
      </c>
      <c r="F107" s="58" t="s">
        <v>138</v>
      </c>
      <c r="G107">
        <v>30</v>
      </c>
      <c r="H107" s="392">
        <v>312500</v>
      </c>
      <c r="I107" s="392">
        <v>312500</v>
      </c>
      <c r="J107" s="90">
        <f>+SUMIFS(Tableau6[MONTANT HT],Tableau6[CLIENT],Tableau2[[#This Row],[NOM CLIENT]],Tableau6[N° BC],Tableau2[[#This Row],[ID BC UNIQUE]])-SUMIFS(Tableau6[MONTANT HT],Tableau6[CLIENT],Tableau2[[#This Row],[NOM CLIENT]],Tableau6[N° BC],Tableau2[[#This Row],[ID BC UNIQUE]])</f>
        <v>0</v>
      </c>
      <c r="K107" s="90">
        <f>Tableau2[[#This Row],[MONTANT HT VALIDE]]-Tableau2[[#This Row],[MONTANT HT FACTURE]]</f>
        <v>312500</v>
      </c>
      <c r="L107" s="34">
        <f>+IFERROR(Tableau2[[#This Row],[MONTANT HT FACTURE]]/Tableau2[[#This Row],[MONTANT HT VALIDE]],0)</f>
        <v>0</v>
      </c>
      <c r="M10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07" t="str">
        <f>+IFERROR(INDEX(Tableau6[[ENTITE]:[N° BC]],MATCH(Tableau2[[#This Row],[ID BC UNIQUE]],Tableau6[N° BC],0),7),"")</f>
        <v>356R1005</v>
      </c>
      <c r="O107" t="str">
        <f>+IFERROR(INDEX(Tableau24[],MATCH(Tableau2[[#This Row],[CODE PROJET]],Tableau24[CODE PROJET],0),2),"")</f>
        <v>RENF RTE KORHOGO-BO INST CENT ENR</v>
      </c>
    </row>
    <row r="108" spans="3:15" x14ac:dyDescent="0.2">
      <c r="C108" s="3">
        <v>45691</v>
      </c>
      <c r="D108" s="6" t="s">
        <v>528</v>
      </c>
      <c r="E108" s="253" t="s">
        <v>60</v>
      </c>
      <c r="F108" s="58" t="s">
        <v>138</v>
      </c>
      <c r="G108">
        <v>30</v>
      </c>
      <c r="H108" s="392">
        <v>6800000</v>
      </c>
      <c r="I108" s="392">
        <v>6800000</v>
      </c>
      <c r="J108" s="90">
        <f>+SUMIFS(Tableau6[MONTANT HT],Tableau6[CLIENT],Tableau2[[#This Row],[NOM CLIENT]],Tableau6[N° BC],Tableau2[[#This Row],[ID BC UNIQUE]])-SUMIFS(Tableau6[MONTANT HT],Tableau6[CLIENT],Tableau2[[#This Row],[NOM CLIENT]],Tableau6[N° BC],Tableau2[[#This Row],[ID BC UNIQUE]])</f>
        <v>0</v>
      </c>
      <c r="K108" s="90">
        <f>Tableau2[[#This Row],[MONTANT HT VALIDE]]-Tableau2[[#This Row],[MONTANT HT FACTURE]]</f>
        <v>6800000</v>
      </c>
      <c r="L108" s="34">
        <f>+IFERROR(Tableau2[[#This Row],[MONTANT HT FACTURE]]/Tableau2[[#This Row],[MONTANT HT VALIDE]],0)</f>
        <v>0</v>
      </c>
      <c r="M10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08" t="str">
        <f>+IFERROR(INDEX(Tableau6[[ENTITE]:[N° BC]],MATCH(Tableau2[[#This Row],[ID BC UNIQUE]],Tableau6[N° BC],0),7),"")</f>
        <v>257B0109</v>
      </c>
      <c r="O108" t="str">
        <f>+IFERROR(INDEX(Tableau24[],MATCH(Tableau2[[#This Row],[CODE PROJET]],Tableau24[CODE PROJET],0),2),"")</f>
        <v>COMPLEXE RES. KONG AMENGT EXT P</v>
      </c>
    </row>
    <row r="109" spans="3:15" x14ac:dyDescent="0.2">
      <c r="C109" s="3">
        <v>45692</v>
      </c>
      <c r="D109" s="6" t="s">
        <v>454</v>
      </c>
      <c r="E109" s="253" t="s">
        <v>60</v>
      </c>
      <c r="F109" s="58" t="s">
        <v>138</v>
      </c>
      <c r="G109">
        <v>30</v>
      </c>
      <c r="H109" s="392">
        <v>5670000</v>
      </c>
      <c r="I109" s="392">
        <v>5670000</v>
      </c>
      <c r="J109" s="90">
        <f>+SUMIFS(Tableau6[MONTANT HT],Tableau6[CLIENT],Tableau2[[#This Row],[NOM CLIENT]],Tableau6[N° BC],Tableau2[[#This Row],[ID BC UNIQUE]])-SUMIFS(Tableau6[MONTANT HT],Tableau6[CLIENT],Tableau2[[#This Row],[NOM CLIENT]],Tableau6[N° BC],Tableau2[[#This Row],[ID BC UNIQUE]])</f>
        <v>0</v>
      </c>
      <c r="K109" s="90">
        <f>Tableau2[[#This Row],[MONTANT HT VALIDE]]-Tableau2[[#This Row],[MONTANT HT FACTURE]]</f>
        <v>5670000</v>
      </c>
      <c r="L109" s="34">
        <f>+IFERROR(Tableau2[[#This Row],[MONTANT HT FACTURE]]/Tableau2[[#This Row],[MONTANT HT VALIDE]],0)</f>
        <v>0</v>
      </c>
      <c r="M10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09" t="str">
        <f>+IFERROR(INDEX(Tableau6[[ENTITE]:[N° BC]],MATCH(Tableau2[[#This Row],[ID BC UNIQUE]],Tableau6[N° BC],0),7),"")</f>
        <v>348R8002</v>
      </c>
      <c r="O109" t="str">
        <f>+IFERROR(INDEX(Tableau24[],MATCH(Tableau2[[#This Row],[CODE PROJET]],Tableau24[CODE PROJET],0),2),"")</f>
        <v>TX BITUMAGE PETIT NASSIAN-KAFOLO-TEHINI-MAD ENGIN</v>
      </c>
    </row>
    <row r="110" spans="3:15" x14ac:dyDescent="0.2">
      <c r="C110" s="3">
        <v>45692</v>
      </c>
      <c r="D110" s="6" t="s">
        <v>452</v>
      </c>
      <c r="E110" s="253" t="s">
        <v>60</v>
      </c>
      <c r="F110" s="58" t="s">
        <v>138</v>
      </c>
      <c r="G110">
        <v>30</v>
      </c>
      <c r="H110" s="392">
        <v>2870000</v>
      </c>
      <c r="I110" s="392">
        <v>2870000</v>
      </c>
      <c r="J110" s="90">
        <f>+SUMIFS(Tableau6[MONTANT HT],Tableau6[CLIENT],Tableau2[[#This Row],[NOM CLIENT]],Tableau6[N° BC],Tableau2[[#This Row],[ID BC UNIQUE]])-SUMIFS(Tableau6[MONTANT HT],Tableau6[CLIENT],Tableau2[[#This Row],[NOM CLIENT]],Tableau6[N° BC],Tableau2[[#This Row],[ID BC UNIQUE]])</f>
        <v>0</v>
      </c>
      <c r="K110" s="90">
        <f>Tableau2[[#This Row],[MONTANT HT VALIDE]]-Tableau2[[#This Row],[MONTANT HT FACTURE]]</f>
        <v>2870000</v>
      </c>
      <c r="L110" s="34">
        <f>+IFERROR(Tableau2[[#This Row],[MONTANT HT FACTURE]]/Tableau2[[#This Row],[MONTANT HT VALIDE]],0)</f>
        <v>0</v>
      </c>
      <c r="M11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10" t="str">
        <f>+IFERROR(INDEX(Tableau6[[ENTITE]:[N° BC]],MATCH(Tableau2[[#This Row],[ID BC UNIQUE]],Tableau6[N° BC],0),7),"")</f>
        <v>348R8002</v>
      </c>
      <c r="O110" t="str">
        <f>+IFERROR(INDEX(Tableau24[],MATCH(Tableau2[[#This Row],[CODE PROJET]],Tableau24[CODE PROJET],0),2),"")</f>
        <v>TX BITUMAGE PETIT NASSIAN-KAFOLO-TEHINI-MAD ENGIN</v>
      </c>
    </row>
    <row r="111" spans="3:15" x14ac:dyDescent="0.2">
      <c r="C111" s="3">
        <v>45692</v>
      </c>
      <c r="D111" s="6" t="s">
        <v>455</v>
      </c>
      <c r="E111" s="253" t="s">
        <v>60</v>
      </c>
      <c r="F111" s="58" t="s">
        <v>138</v>
      </c>
      <c r="G111">
        <v>30</v>
      </c>
      <c r="H111" s="392">
        <v>8500000</v>
      </c>
      <c r="I111" s="392">
        <v>8500000</v>
      </c>
      <c r="J111" s="90">
        <f>+SUMIFS(Tableau6[MONTANT HT],Tableau6[CLIENT],Tableau2[[#This Row],[NOM CLIENT]],Tableau6[N° BC],Tableau2[[#This Row],[ID BC UNIQUE]])-SUMIFS(Tableau6[MONTANT HT],Tableau6[CLIENT],Tableau2[[#This Row],[NOM CLIENT]],Tableau6[N° BC],Tableau2[[#This Row],[ID BC UNIQUE]])</f>
        <v>0</v>
      </c>
      <c r="K111" s="90">
        <f>Tableau2[[#This Row],[MONTANT HT VALIDE]]-Tableau2[[#This Row],[MONTANT HT FACTURE]]</f>
        <v>8500000</v>
      </c>
      <c r="L111" s="34">
        <f>+IFERROR(Tableau2[[#This Row],[MONTANT HT FACTURE]]/Tableau2[[#This Row],[MONTANT HT VALIDE]],0)</f>
        <v>0</v>
      </c>
      <c r="M11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11" t="str">
        <f>+IFERROR(INDEX(Tableau6[[ENTITE]:[N° BC]],MATCH(Tableau2[[#This Row],[ID BC UNIQUE]],Tableau6[N° BC],0),7),"")</f>
        <v>348R8002</v>
      </c>
      <c r="O111" t="str">
        <f>+IFERROR(INDEX(Tableau24[],MATCH(Tableau2[[#This Row],[CODE PROJET]],Tableau24[CODE PROJET],0),2),"")</f>
        <v>TX BITUMAGE PETIT NASSIAN-KAFOLO-TEHINI-MAD ENGIN</v>
      </c>
    </row>
    <row r="112" spans="3:15" x14ac:dyDescent="0.2">
      <c r="C112" s="3">
        <v>45693</v>
      </c>
      <c r="D112" s="6" t="s">
        <v>476</v>
      </c>
      <c r="E112" s="253" t="s">
        <v>60</v>
      </c>
      <c r="F112" s="58" t="s">
        <v>138</v>
      </c>
      <c r="G112">
        <v>30</v>
      </c>
      <c r="H112" s="392">
        <v>340000</v>
      </c>
      <c r="I112" s="392">
        <v>340000</v>
      </c>
      <c r="J112" s="90">
        <f>+SUMIFS(Tableau6[MONTANT HT],Tableau6[CLIENT],Tableau2[[#This Row],[NOM CLIENT]],Tableau6[N° BC],Tableau2[[#This Row],[ID BC UNIQUE]])-SUMIFS(Tableau6[MONTANT HT],Tableau6[CLIENT],Tableau2[[#This Row],[NOM CLIENT]],Tableau6[N° BC],Tableau2[[#This Row],[ID BC UNIQUE]])</f>
        <v>0</v>
      </c>
      <c r="K112" s="90">
        <f>Tableau2[[#This Row],[MONTANT HT VALIDE]]-Tableau2[[#This Row],[MONTANT HT FACTURE]]</f>
        <v>340000</v>
      </c>
      <c r="L112" s="34">
        <f>+IFERROR(Tableau2[[#This Row],[MONTANT HT FACTURE]]/Tableau2[[#This Row],[MONTANT HT VALIDE]],0)</f>
        <v>0</v>
      </c>
      <c r="M11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12" t="str">
        <f>+IFERROR(INDEX(Tableau6[[ENTITE]:[N° BC]],MATCH(Tableau2[[#This Row],[ID BC UNIQUE]],Tableau6[N° BC],0),7),"")</f>
        <v>305R9012</v>
      </c>
      <c r="O112" t="str">
        <f>+IFERROR(INDEX(Tableau24[],MATCH(Tableau2[[#This Row],[CODE PROJET]],Tableau24[CODE PROJET],0),2),"")</f>
        <v>ROUTE DABAKALA-KONG TX S-T</v>
      </c>
    </row>
    <row r="113" spans="3:15" x14ac:dyDescent="0.2">
      <c r="C113" s="3">
        <v>45694</v>
      </c>
      <c r="D113" s="6" t="s">
        <v>416</v>
      </c>
      <c r="E113" s="253" t="s">
        <v>60</v>
      </c>
      <c r="F113" s="58" t="s">
        <v>138</v>
      </c>
      <c r="G113">
        <v>30</v>
      </c>
      <c r="H113" s="392">
        <v>6000000</v>
      </c>
      <c r="I113" s="156">
        <v>6000000</v>
      </c>
      <c r="J113" s="90">
        <f>+SUMIFS(Tableau6[MONTANT HT],Tableau6[CLIENT],Tableau2[[#This Row],[NOM CLIENT]],Tableau6[N° BC],Tableau2[[#This Row],[ID BC UNIQUE]])-SUMIFS(Tableau6[MONTANT HT],Tableau6[CLIENT],Tableau2[[#This Row],[NOM CLIENT]],Tableau6[N° BC],Tableau2[[#This Row],[ID BC UNIQUE]])</f>
        <v>0</v>
      </c>
      <c r="K113" s="90">
        <f>Tableau2[[#This Row],[MONTANT HT VALIDE]]-Tableau2[[#This Row],[MONTANT HT FACTURE]]</f>
        <v>6000000</v>
      </c>
      <c r="L113" s="34">
        <f>+IFERROR(Tableau2[[#This Row],[MONTANT HT FACTURE]]/Tableau2[[#This Row],[MONTANT HT VALIDE]],0)</f>
        <v>0</v>
      </c>
      <c r="M11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13" t="str">
        <f>+IFERROR(INDEX(Tableau6[[ENTITE]:[N° BC]],MATCH(Tableau2[[#This Row],[ID BC UNIQUE]],Tableau6[N° BC],0),7),"")</f>
        <v>257B0403</v>
      </c>
      <c r="O113" t="str">
        <f>+IFERROR(INDEX(Tableau24[],MATCH(Tableau2[[#This Row],[CODE PROJET]],Tableau24[CODE PROJET],0),2),"")</f>
        <v>COMPLEXE RESIDENTIEL KONG-CHARPENTE COUVERTURE BOIS-05 VILLAS FAMILLE</v>
      </c>
    </row>
    <row r="114" spans="3:15" x14ac:dyDescent="0.2">
      <c r="C114" s="3">
        <v>45694</v>
      </c>
      <c r="D114" s="6" t="s">
        <v>441</v>
      </c>
      <c r="E114" s="253" t="s">
        <v>60</v>
      </c>
      <c r="F114" s="58" t="s">
        <v>138</v>
      </c>
      <c r="G114">
        <v>30</v>
      </c>
      <c r="H114" s="392">
        <v>4290000</v>
      </c>
      <c r="I114" s="156">
        <v>4290000</v>
      </c>
      <c r="J114" s="90">
        <f>+SUMIFS(Tableau6[MONTANT HT],Tableau6[CLIENT],Tableau2[[#This Row],[NOM CLIENT]],Tableau6[N° BC],Tableau2[[#This Row],[ID BC UNIQUE]])-SUMIFS(Tableau6[MONTANT HT],Tableau6[CLIENT],Tableau2[[#This Row],[NOM CLIENT]],Tableau6[N° BC],Tableau2[[#This Row],[ID BC UNIQUE]])</f>
        <v>0</v>
      </c>
      <c r="K114" s="90">
        <f>Tableau2[[#This Row],[MONTANT HT VALIDE]]-Tableau2[[#This Row],[MONTANT HT FACTURE]]</f>
        <v>4290000</v>
      </c>
      <c r="L114" s="34">
        <f>+IFERROR(Tableau2[[#This Row],[MONTANT HT FACTURE]]/Tableau2[[#This Row],[MONTANT HT VALIDE]],0)</f>
        <v>0</v>
      </c>
      <c r="M11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14" t="str">
        <f>+IFERROR(INDEX(Tableau6[[ENTITE]:[N° BC]],MATCH(Tableau2[[#This Row],[ID BC UNIQUE]],Tableau6[N° BC],0),7),"")</f>
        <v>257B0109</v>
      </c>
      <c r="O114" t="str">
        <f>+IFERROR(INDEX(Tableau24[],MATCH(Tableau2[[#This Row],[CODE PROJET]],Tableau24[CODE PROJET],0),2),"")</f>
        <v>COMPLEXE RES. KONG AMENGT EXT P</v>
      </c>
    </row>
    <row r="115" spans="3:15" x14ac:dyDescent="0.2">
      <c r="C115" s="3">
        <v>45694</v>
      </c>
      <c r="D115" s="6" t="s">
        <v>458</v>
      </c>
      <c r="E115" s="253" t="s">
        <v>60</v>
      </c>
      <c r="F115" s="58" t="s">
        <v>138</v>
      </c>
      <c r="G115">
        <v>30</v>
      </c>
      <c r="H115" s="392">
        <v>3960000</v>
      </c>
      <c r="I115" s="392">
        <v>3960000</v>
      </c>
      <c r="J115" s="90">
        <f>+SUMIFS(Tableau6[MONTANT HT],Tableau6[CLIENT],Tableau2[[#This Row],[NOM CLIENT]],Tableau6[N° BC],Tableau2[[#This Row],[ID BC UNIQUE]])-SUMIFS(Tableau6[MONTANT HT],Tableau6[CLIENT],Tableau2[[#This Row],[NOM CLIENT]],Tableau6[N° BC],Tableau2[[#This Row],[ID BC UNIQUE]])</f>
        <v>0</v>
      </c>
      <c r="K115" s="90">
        <f>Tableau2[[#This Row],[MONTANT HT VALIDE]]-Tableau2[[#This Row],[MONTANT HT FACTURE]]</f>
        <v>3960000</v>
      </c>
      <c r="L115" s="34">
        <f>+IFERROR(Tableau2[[#This Row],[MONTANT HT FACTURE]]/Tableau2[[#This Row],[MONTANT HT VALIDE]],0)</f>
        <v>0</v>
      </c>
      <c r="M11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15" t="str">
        <f>+IFERROR(INDEX(Tableau6[[ENTITE]:[N° BC]],MATCH(Tableau2[[#This Row],[ID BC UNIQUE]],Tableau6[N° BC],0),7),"")</f>
        <v>255R8002</v>
      </c>
      <c r="O115" t="str">
        <f>+IFERROR(INDEX(Tableau24[],MATCH(Tableau2[[#This Row],[CODE PROJET]],Tableau24[CODE PROJET],0),2),"")</f>
        <v>TX PROLONGEMENT BD MITTERAND-TX MAD ENGIN</v>
      </c>
    </row>
    <row r="116" spans="3:15" x14ac:dyDescent="0.2">
      <c r="C116" s="3">
        <v>45694</v>
      </c>
      <c r="D116" s="6" t="s">
        <v>460</v>
      </c>
      <c r="E116" s="253" t="s">
        <v>60</v>
      </c>
      <c r="F116" s="58" t="s">
        <v>138</v>
      </c>
      <c r="G116">
        <v>30</v>
      </c>
      <c r="H116" s="392">
        <v>4200000</v>
      </c>
      <c r="I116" s="392">
        <v>4200000</v>
      </c>
      <c r="J116" s="90">
        <f>+SUMIFS(Tableau6[MONTANT HT],Tableau6[CLIENT],Tableau2[[#This Row],[NOM CLIENT]],Tableau6[N° BC],Tableau2[[#This Row],[ID BC UNIQUE]])-SUMIFS(Tableau6[MONTANT HT],Tableau6[CLIENT],Tableau2[[#This Row],[NOM CLIENT]],Tableau6[N° BC],Tableau2[[#This Row],[ID BC UNIQUE]])</f>
        <v>0</v>
      </c>
      <c r="K116" s="90">
        <f>Tableau2[[#This Row],[MONTANT HT VALIDE]]-Tableau2[[#This Row],[MONTANT HT FACTURE]]</f>
        <v>4200000</v>
      </c>
      <c r="L116" s="34">
        <f>+IFERROR(Tableau2[[#This Row],[MONTANT HT FACTURE]]/Tableau2[[#This Row],[MONTANT HT VALIDE]],0)</f>
        <v>0</v>
      </c>
      <c r="M11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16" t="str">
        <f>+IFERROR(INDEX(Tableau6[[ENTITE]:[N° BC]],MATCH(Tableau2[[#This Row],[ID BC UNIQUE]],Tableau6[N° BC],0),7),"")</f>
        <v>257B0003</v>
      </c>
      <c r="O116" t="str">
        <f>+IFERROR(INDEX(Tableau24[],MATCH(Tableau2[[#This Row],[CODE PROJET]],Tableau24[CODE PROJET],0),2),"")</f>
        <v>COMPLEXE RES KONG GLE INST CHANT</v>
      </c>
    </row>
    <row r="117" spans="3:15" x14ac:dyDescent="0.2">
      <c r="C117" s="3">
        <v>45694</v>
      </c>
      <c r="D117" s="6" t="s">
        <v>461</v>
      </c>
      <c r="E117" s="253" t="s">
        <v>60</v>
      </c>
      <c r="F117" s="58" t="s">
        <v>138</v>
      </c>
      <c r="G117">
        <v>30</v>
      </c>
      <c r="H117" s="392">
        <v>3500000</v>
      </c>
      <c r="I117" s="392">
        <v>3500000</v>
      </c>
      <c r="J117" s="90">
        <f>+SUMIFS(Tableau6[MONTANT HT],Tableau6[CLIENT],Tableau2[[#This Row],[NOM CLIENT]],Tableau6[N° BC],Tableau2[[#This Row],[ID BC UNIQUE]])-SUMIFS(Tableau6[MONTANT HT],Tableau6[CLIENT],Tableau2[[#This Row],[NOM CLIENT]],Tableau6[N° BC],Tableau2[[#This Row],[ID BC UNIQUE]])</f>
        <v>0</v>
      </c>
      <c r="K117" s="90">
        <f>Tableau2[[#This Row],[MONTANT HT VALIDE]]-Tableau2[[#This Row],[MONTANT HT FACTURE]]</f>
        <v>3500000</v>
      </c>
      <c r="L117" s="34">
        <f>+IFERROR(Tableau2[[#This Row],[MONTANT HT FACTURE]]/Tableau2[[#This Row],[MONTANT HT VALIDE]],0)</f>
        <v>0</v>
      </c>
      <c r="M11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17" t="str">
        <f>+IFERROR(INDEX(Tableau6[[ENTITE]:[N° BC]],MATCH(Tableau2[[#This Row],[ID BC UNIQUE]],Tableau6[N° BC],0),7),"")</f>
        <v>257B0003</v>
      </c>
      <c r="O117" t="str">
        <f>+IFERROR(INDEX(Tableau24[],MATCH(Tableau2[[#This Row],[CODE PROJET]],Tableau24[CODE PROJET],0),2),"")</f>
        <v>COMPLEXE RES KONG GLE INST CHANT</v>
      </c>
    </row>
    <row r="118" spans="3:15" x14ac:dyDescent="0.2">
      <c r="C118" s="3">
        <v>45694</v>
      </c>
      <c r="D118" s="6" t="s">
        <v>462</v>
      </c>
      <c r="E118" s="253" t="s">
        <v>60</v>
      </c>
      <c r="F118" s="58" t="s">
        <v>138</v>
      </c>
      <c r="G118">
        <v>30</v>
      </c>
      <c r="H118" s="392">
        <v>2160000</v>
      </c>
      <c r="I118" s="392">
        <v>2160000</v>
      </c>
      <c r="J118" s="90">
        <f>+SUMIFS(Tableau6[MONTANT HT],Tableau6[CLIENT],Tableau2[[#This Row],[NOM CLIENT]],Tableau6[N° BC],Tableau2[[#This Row],[ID BC UNIQUE]])-SUMIFS(Tableau6[MONTANT HT],Tableau6[CLIENT],Tableau2[[#This Row],[NOM CLIENT]],Tableau6[N° BC],Tableau2[[#This Row],[ID BC UNIQUE]])</f>
        <v>0</v>
      </c>
      <c r="K118" s="90">
        <f>Tableau2[[#This Row],[MONTANT HT VALIDE]]-Tableau2[[#This Row],[MONTANT HT FACTURE]]</f>
        <v>2160000</v>
      </c>
      <c r="L118" s="34">
        <f>+IFERROR(Tableau2[[#This Row],[MONTANT HT FACTURE]]/Tableau2[[#This Row],[MONTANT HT VALIDE]],0)</f>
        <v>0</v>
      </c>
      <c r="M11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18" t="str">
        <f>+IFERROR(INDEX(Tableau6[[ENTITE]:[N° BC]],MATCH(Tableau2[[#This Row],[ID BC UNIQUE]],Tableau6[N° BC],0),7),"")</f>
        <v>257B0003</v>
      </c>
      <c r="O118" t="str">
        <f>+IFERROR(INDEX(Tableau24[],MATCH(Tableau2[[#This Row],[CODE PROJET]],Tableau24[CODE PROJET],0),2),"")</f>
        <v>COMPLEXE RES KONG GLE INST CHANT</v>
      </c>
    </row>
    <row r="119" spans="3:15" x14ac:dyDescent="0.2">
      <c r="C119" s="3">
        <v>45694</v>
      </c>
      <c r="D119" s="6" t="s">
        <v>463</v>
      </c>
      <c r="E119" s="253" t="s">
        <v>60</v>
      </c>
      <c r="F119" s="58" t="s">
        <v>138</v>
      </c>
      <c r="G119">
        <v>30</v>
      </c>
      <c r="H119" s="392">
        <v>2520000</v>
      </c>
      <c r="I119" s="392">
        <v>2520000</v>
      </c>
      <c r="J119" s="90">
        <f>+SUMIFS(Tableau6[MONTANT HT],Tableau6[CLIENT],Tableau2[[#This Row],[NOM CLIENT]],Tableau6[N° BC],Tableau2[[#This Row],[ID BC UNIQUE]])-SUMIFS(Tableau6[MONTANT HT],Tableau6[CLIENT],Tableau2[[#This Row],[NOM CLIENT]],Tableau6[N° BC],Tableau2[[#This Row],[ID BC UNIQUE]])</f>
        <v>0</v>
      </c>
      <c r="K119" s="90">
        <f>Tableau2[[#This Row],[MONTANT HT VALIDE]]-Tableau2[[#This Row],[MONTANT HT FACTURE]]</f>
        <v>2520000</v>
      </c>
      <c r="L119" s="34">
        <f>+IFERROR(Tableau2[[#This Row],[MONTANT HT FACTURE]]/Tableau2[[#This Row],[MONTANT HT VALIDE]],0)</f>
        <v>0</v>
      </c>
      <c r="M11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19" t="str">
        <f>+IFERROR(INDEX(Tableau6[[ENTITE]:[N° BC]],MATCH(Tableau2[[#This Row],[ID BC UNIQUE]],Tableau6[N° BC],0),7),"")</f>
        <v>257B0003</v>
      </c>
      <c r="O119" t="str">
        <f>+IFERROR(INDEX(Tableau24[],MATCH(Tableau2[[#This Row],[CODE PROJET]],Tableau24[CODE PROJET],0),2),"")</f>
        <v>COMPLEXE RES KONG GLE INST CHANT</v>
      </c>
    </row>
    <row r="120" spans="3:15" x14ac:dyDescent="0.2">
      <c r="C120" s="3">
        <v>45694</v>
      </c>
      <c r="D120" s="6" t="s">
        <v>464</v>
      </c>
      <c r="E120" s="253" t="s">
        <v>60</v>
      </c>
      <c r="F120" s="58" t="s">
        <v>138</v>
      </c>
      <c r="G120">
        <v>30</v>
      </c>
      <c r="H120" s="392">
        <v>540000</v>
      </c>
      <c r="I120" s="392">
        <v>540000</v>
      </c>
      <c r="J120" s="90">
        <f>+SUMIFS(Tableau6[MONTANT HT],Tableau6[CLIENT],Tableau2[[#This Row],[NOM CLIENT]],Tableau6[N° BC],Tableau2[[#This Row],[ID BC UNIQUE]])-SUMIFS(Tableau6[MONTANT HT],Tableau6[CLIENT],Tableau2[[#This Row],[NOM CLIENT]],Tableau6[N° BC],Tableau2[[#This Row],[ID BC UNIQUE]])</f>
        <v>0</v>
      </c>
      <c r="K120" s="90">
        <f>Tableau2[[#This Row],[MONTANT HT VALIDE]]-Tableau2[[#This Row],[MONTANT HT FACTURE]]</f>
        <v>540000</v>
      </c>
      <c r="L120" s="34">
        <f>+IFERROR(Tableau2[[#This Row],[MONTANT HT FACTURE]]/Tableau2[[#This Row],[MONTANT HT VALIDE]],0)</f>
        <v>0</v>
      </c>
      <c r="M12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20" t="str">
        <f>+IFERROR(INDEX(Tableau6[[ENTITE]:[N° BC]],MATCH(Tableau2[[#This Row],[ID BC UNIQUE]],Tableau6[N° BC],0),7),"")</f>
        <v>257B0003</v>
      </c>
      <c r="O120" t="str">
        <f>+IFERROR(INDEX(Tableau24[],MATCH(Tableau2[[#This Row],[CODE PROJET]],Tableau24[CODE PROJET],0),2),"")</f>
        <v>COMPLEXE RES KONG GLE INST CHANT</v>
      </c>
    </row>
    <row r="121" spans="3:15" x14ac:dyDescent="0.2">
      <c r="C121" s="3">
        <v>45694</v>
      </c>
      <c r="D121" s="6" t="s">
        <v>465</v>
      </c>
      <c r="E121" s="253" t="s">
        <v>60</v>
      </c>
      <c r="F121" s="58" t="s">
        <v>138</v>
      </c>
      <c r="G121">
        <v>30</v>
      </c>
      <c r="H121" s="392">
        <v>3600000</v>
      </c>
      <c r="I121" s="392">
        <v>3600000</v>
      </c>
      <c r="J121" s="90">
        <f>+SUMIFS(Tableau6[MONTANT HT],Tableau6[CLIENT],Tableau2[[#This Row],[NOM CLIENT]],Tableau6[N° BC],Tableau2[[#This Row],[ID BC UNIQUE]])-SUMIFS(Tableau6[MONTANT HT],Tableau6[CLIENT],Tableau2[[#This Row],[NOM CLIENT]],Tableau6[N° BC],Tableau2[[#This Row],[ID BC UNIQUE]])</f>
        <v>0</v>
      </c>
      <c r="K121" s="90">
        <f>Tableau2[[#This Row],[MONTANT HT VALIDE]]-Tableau2[[#This Row],[MONTANT HT FACTURE]]</f>
        <v>3600000</v>
      </c>
      <c r="L121" s="34">
        <f>+IFERROR(Tableau2[[#This Row],[MONTANT HT FACTURE]]/Tableau2[[#This Row],[MONTANT HT VALIDE]],0)</f>
        <v>0</v>
      </c>
      <c r="M12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21" t="str">
        <f>+IFERROR(INDEX(Tableau6[[ENTITE]:[N° BC]],MATCH(Tableau2[[#This Row],[ID BC UNIQUE]],Tableau6[N° BC],0),7),"")</f>
        <v>257B0109</v>
      </c>
      <c r="O121" t="str">
        <f>+IFERROR(INDEX(Tableau24[],MATCH(Tableau2[[#This Row],[CODE PROJET]],Tableau24[CODE PROJET],0),2),"")</f>
        <v>COMPLEXE RES. KONG AMENGT EXT P</v>
      </c>
    </row>
    <row r="122" spans="3:15" x14ac:dyDescent="0.2">
      <c r="C122" s="3">
        <v>45694</v>
      </c>
      <c r="D122" s="6" t="s">
        <v>763</v>
      </c>
      <c r="E122" s="253" t="s">
        <v>60</v>
      </c>
      <c r="F122" s="58" t="s">
        <v>138</v>
      </c>
      <c r="G122">
        <v>30</v>
      </c>
      <c r="H122" s="392">
        <v>1400000</v>
      </c>
      <c r="I122" s="392">
        <v>1400000</v>
      </c>
      <c r="J122" s="90">
        <f>+SUMIFS(Tableau6[MONTANT HT],Tableau6[CLIENT],Tableau2[[#This Row],[NOM CLIENT]],Tableau6[N° BC],Tableau2[[#This Row],[ID BC UNIQUE]])-SUMIFS(Tableau6[MONTANT HT],Tableau6[CLIENT],Tableau2[[#This Row],[NOM CLIENT]],Tableau6[N° BC],Tableau2[[#This Row],[ID BC UNIQUE]])</f>
        <v>0</v>
      </c>
      <c r="K122" s="90">
        <f>Tableau2[[#This Row],[MONTANT HT VALIDE]]-Tableau2[[#This Row],[MONTANT HT FACTURE]]</f>
        <v>1400000</v>
      </c>
      <c r="L122" s="34">
        <f>+IFERROR(Tableau2[[#This Row],[MONTANT HT FACTURE]]/Tableau2[[#This Row],[MONTANT HT VALIDE]],0)</f>
        <v>0</v>
      </c>
      <c r="M12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22" t="str">
        <f>+IFERROR(INDEX(Tableau6[[ENTITE]:[N° BC]],MATCH(Tableau2[[#This Row],[ID BC UNIQUE]],Tableau6[N° BC],0),7),"")</f>
        <v>257B0200</v>
      </c>
      <c r="O122" t="str">
        <f>+IFERROR(INDEX(Tableau24[],MATCH(Tableau2[[#This Row],[CODE PROJET]],Tableau24[CODE PROJET],0),2),"")</f>
        <v>COMPLEXE RESIDENTIEL-KONG GROS ŒUVRE GL</v>
      </c>
    </row>
    <row r="123" spans="3:15" x14ac:dyDescent="0.2">
      <c r="C123" s="3">
        <v>45694</v>
      </c>
      <c r="D123" s="6" t="s">
        <v>466</v>
      </c>
      <c r="E123" s="253" t="s">
        <v>60</v>
      </c>
      <c r="F123" s="58" t="s">
        <v>138</v>
      </c>
      <c r="G123">
        <v>30</v>
      </c>
      <c r="H123" s="392">
        <v>600000</v>
      </c>
      <c r="I123" s="392">
        <v>600000</v>
      </c>
      <c r="J123" s="90">
        <f>+SUMIFS(Tableau6[MONTANT HT],Tableau6[CLIENT],Tableau2[[#This Row],[NOM CLIENT]],Tableau6[N° BC],Tableau2[[#This Row],[ID BC UNIQUE]])-SUMIFS(Tableau6[MONTANT HT],Tableau6[CLIENT],Tableau2[[#This Row],[NOM CLIENT]],Tableau6[N° BC],Tableau2[[#This Row],[ID BC UNIQUE]])</f>
        <v>0</v>
      </c>
      <c r="K123" s="90">
        <f>Tableau2[[#This Row],[MONTANT HT VALIDE]]-Tableau2[[#This Row],[MONTANT HT FACTURE]]</f>
        <v>600000</v>
      </c>
      <c r="L123" s="34">
        <f>+IFERROR(Tableau2[[#This Row],[MONTANT HT FACTURE]]/Tableau2[[#This Row],[MONTANT HT VALIDE]],0)</f>
        <v>0</v>
      </c>
      <c r="M12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23" t="str">
        <f>+IFERROR(INDEX(Tableau6[[ENTITE]:[N° BC]],MATCH(Tableau2[[#This Row],[ID BC UNIQUE]],Tableau6[N° BC],0),7),"")</f>
        <v>257B0200</v>
      </c>
      <c r="O123" t="str">
        <f>+IFERROR(INDEX(Tableau24[],MATCH(Tableau2[[#This Row],[CODE PROJET]],Tableau24[CODE PROJET],0),2),"")</f>
        <v>COMPLEXE RESIDENTIEL-KONG GROS ŒUVRE GL</v>
      </c>
    </row>
    <row r="124" spans="3:15" x14ac:dyDescent="0.2">
      <c r="C124" s="3">
        <v>45694</v>
      </c>
      <c r="D124" s="6" t="s">
        <v>467</v>
      </c>
      <c r="E124" s="253" t="s">
        <v>60</v>
      </c>
      <c r="F124" s="58" t="s">
        <v>138</v>
      </c>
      <c r="G124">
        <v>30</v>
      </c>
      <c r="H124" s="392">
        <v>600000</v>
      </c>
      <c r="I124" s="392">
        <v>600000</v>
      </c>
      <c r="J124" s="90">
        <f>+SUMIFS(Tableau6[MONTANT HT],Tableau6[CLIENT],Tableau2[[#This Row],[NOM CLIENT]],Tableau6[N° BC],Tableau2[[#This Row],[ID BC UNIQUE]])-SUMIFS(Tableau6[MONTANT HT],Tableau6[CLIENT],Tableau2[[#This Row],[NOM CLIENT]],Tableau6[N° BC],Tableau2[[#This Row],[ID BC UNIQUE]])</f>
        <v>0</v>
      </c>
      <c r="K124" s="90">
        <f>Tableau2[[#This Row],[MONTANT HT VALIDE]]-Tableau2[[#This Row],[MONTANT HT FACTURE]]</f>
        <v>600000</v>
      </c>
      <c r="L124" s="34">
        <f>+IFERROR(Tableau2[[#This Row],[MONTANT HT FACTURE]]/Tableau2[[#This Row],[MONTANT HT VALIDE]],0)</f>
        <v>0</v>
      </c>
      <c r="M12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24" t="str">
        <f>+IFERROR(INDEX(Tableau6[[ENTITE]:[N° BC]],MATCH(Tableau2[[#This Row],[ID BC UNIQUE]],Tableau6[N° BC],0),7),"")</f>
        <v>257B0200</v>
      </c>
      <c r="O124" t="str">
        <f>+IFERROR(INDEX(Tableau24[],MATCH(Tableau2[[#This Row],[CODE PROJET]],Tableau24[CODE PROJET],0),2),"")</f>
        <v>COMPLEXE RESIDENTIEL-KONG GROS ŒUVRE GL</v>
      </c>
    </row>
    <row r="125" spans="3:15" x14ac:dyDescent="0.2">
      <c r="C125" s="3">
        <v>45694</v>
      </c>
      <c r="D125" s="6" t="s">
        <v>699</v>
      </c>
      <c r="E125" s="253" t="s">
        <v>60</v>
      </c>
      <c r="F125" s="58" t="s">
        <v>138</v>
      </c>
      <c r="G125">
        <v>30</v>
      </c>
      <c r="H125" s="392">
        <v>1400000</v>
      </c>
      <c r="I125" s="392">
        <v>1400000</v>
      </c>
      <c r="J125" s="90">
        <f>+SUMIFS(Tableau6[MONTANT HT],Tableau6[CLIENT],Tableau2[[#This Row],[NOM CLIENT]],Tableau6[N° BC],Tableau2[[#This Row],[ID BC UNIQUE]])-SUMIFS(Tableau6[MONTANT HT],Tableau6[CLIENT],Tableau2[[#This Row],[NOM CLIENT]],Tableau6[N° BC],Tableau2[[#This Row],[ID BC UNIQUE]])</f>
        <v>0</v>
      </c>
      <c r="K125" s="90">
        <f>Tableau2[[#This Row],[MONTANT HT VALIDE]]-Tableau2[[#This Row],[MONTANT HT FACTURE]]</f>
        <v>1400000</v>
      </c>
      <c r="L125" s="34">
        <f>+IFERROR(Tableau2[[#This Row],[MONTANT HT FACTURE]]/Tableau2[[#This Row],[MONTANT HT VALIDE]],0)</f>
        <v>0</v>
      </c>
      <c r="M12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25" t="str">
        <f>+IFERROR(INDEX(Tableau6[[ENTITE]:[N° BC]],MATCH(Tableau2[[#This Row],[ID BC UNIQUE]],Tableau6[N° BC],0),7),"")</f>
        <v>257B0200</v>
      </c>
      <c r="O125" t="str">
        <f>+IFERROR(INDEX(Tableau24[],MATCH(Tableau2[[#This Row],[CODE PROJET]],Tableau24[CODE PROJET],0),2),"")</f>
        <v>COMPLEXE RESIDENTIEL-KONG GROS ŒUVRE GL</v>
      </c>
    </row>
    <row r="126" spans="3:15" x14ac:dyDescent="0.2">
      <c r="C126" s="3">
        <v>45713</v>
      </c>
      <c r="D126" s="6" t="s">
        <v>413</v>
      </c>
      <c r="E126" s="253" t="s">
        <v>60</v>
      </c>
      <c r="F126" s="58" t="s">
        <v>138</v>
      </c>
      <c r="G126">
        <v>30</v>
      </c>
      <c r="H126" s="392">
        <v>2160000</v>
      </c>
      <c r="I126" s="156">
        <v>2160000</v>
      </c>
      <c r="J126" s="90">
        <f>+SUMIFS(Tableau6[MONTANT HT],Tableau6[CLIENT],Tableau2[[#This Row],[NOM CLIENT]],Tableau6[N° BC],Tableau2[[#This Row],[ID BC UNIQUE]])-SUMIFS(Tableau6[MONTANT HT],Tableau6[CLIENT],Tableau2[[#This Row],[NOM CLIENT]],Tableau6[N° BC],Tableau2[[#This Row],[ID BC UNIQUE]])</f>
        <v>0</v>
      </c>
      <c r="K126" s="90">
        <f>Tableau2[[#This Row],[MONTANT HT VALIDE]]-Tableau2[[#This Row],[MONTANT HT FACTURE]]</f>
        <v>2160000</v>
      </c>
      <c r="L126" s="34">
        <f>+IFERROR(Tableau2[[#This Row],[MONTANT HT FACTURE]]/Tableau2[[#This Row],[MONTANT HT VALIDE]],0)</f>
        <v>0</v>
      </c>
      <c r="M12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26" t="str">
        <f>+IFERROR(INDEX(Tableau6[[ENTITE]:[N° BC]],MATCH(Tableau2[[#This Row],[ID BC UNIQUE]],Tableau6[N° BC],0),7),"")</f>
        <v>257B0003</v>
      </c>
      <c r="O126" t="str">
        <f>+IFERROR(INDEX(Tableau24[],MATCH(Tableau2[[#This Row],[CODE PROJET]],Tableau24[CODE PROJET],0),2),"")</f>
        <v>COMPLEXE RES KONG GLE INST CHANT</v>
      </c>
    </row>
    <row r="127" spans="3:15" x14ac:dyDescent="0.2">
      <c r="C127" s="3">
        <v>45719</v>
      </c>
      <c r="D127" s="6" t="s">
        <v>532</v>
      </c>
      <c r="E127" s="253" t="s">
        <v>60</v>
      </c>
      <c r="F127" s="58" t="s">
        <v>138</v>
      </c>
      <c r="G127">
        <v>30</v>
      </c>
      <c r="H127" s="392">
        <v>4320000</v>
      </c>
      <c r="I127" s="392">
        <v>4320000</v>
      </c>
      <c r="J127" s="90">
        <f>+SUMIFS(Tableau6[MONTANT HT],Tableau6[CLIENT],Tableau2[[#This Row],[NOM CLIENT]],Tableau6[N° BC],Tableau2[[#This Row],[ID BC UNIQUE]])-SUMIFS(Tableau6[MONTANT HT],Tableau6[CLIENT],Tableau2[[#This Row],[NOM CLIENT]],Tableau6[N° BC],Tableau2[[#This Row],[ID BC UNIQUE]])</f>
        <v>0</v>
      </c>
      <c r="K127" s="90">
        <f>Tableau2[[#This Row],[MONTANT HT VALIDE]]-Tableau2[[#This Row],[MONTANT HT FACTURE]]</f>
        <v>4320000</v>
      </c>
      <c r="L127" s="34">
        <f>+IFERROR(Tableau2[[#This Row],[MONTANT HT FACTURE]]/Tableau2[[#This Row],[MONTANT HT VALIDE]],0)</f>
        <v>0</v>
      </c>
      <c r="M12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27" t="str">
        <f>+IFERROR(INDEX(Tableau6[[ENTITE]:[N° BC]],MATCH(Tableau2[[#This Row],[ID BC UNIQUE]],Tableau6[N° BC],0),7),"")</f>
        <v>257B0200</v>
      </c>
      <c r="O127" t="str">
        <f>+IFERROR(INDEX(Tableau24[],MATCH(Tableau2[[#This Row],[CODE PROJET]],Tableau24[CODE PROJET],0),2),"")</f>
        <v>COMPLEXE RESIDENTIEL-KONG GROS ŒUVRE GL</v>
      </c>
    </row>
    <row r="128" spans="3:15" x14ac:dyDescent="0.2">
      <c r="C128" s="3">
        <v>45726</v>
      </c>
      <c r="D128" s="6" t="s">
        <v>414</v>
      </c>
      <c r="E128" s="253" t="s">
        <v>60</v>
      </c>
      <c r="F128" s="58" t="s">
        <v>138</v>
      </c>
      <c r="G128">
        <v>30</v>
      </c>
      <c r="H128" s="392">
        <v>250000</v>
      </c>
      <c r="I128" s="156">
        <v>250000</v>
      </c>
      <c r="J128" s="90">
        <f>+SUMIFS(Tableau6[MONTANT HT],Tableau6[CLIENT],Tableau2[[#This Row],[NOM CLIENT]],Tableau6[N° BC],Tableau2[[#This Row],[ID BC UNIQUE]])-SUMIFS(Tableau6[MONTANT HT],Tableau6[CLIENT],Tableau2[[#This Row],[NOM CLIENT]],Tableau6[N° BC],Tableau2[[#This Row],[ID BC UNIQUE]])</f>
        <v>0</v>
      </c>
      <c r="K128" s="90">
        <f>Tableau2[[#This Row],[MONTANT HT VALIDE]]-Tableau2[[#This Row],[MONTANT HT FACTURE]]</f>
        <v>250000</v>
      </c>
      <c r="L128" s="34">
        <f>+IFERROR(Tableau2[[#This Row],[MONTANT HT FACTURE]]/Tableau2[[#This Row],[MONTANT HT VALIDE]],0)</f>
        <v>0</v>
      </c>
      <c r="M12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28" t="str">
        <f>+IFERROR(INDEX(Tableau6[[ENTITE]:[N° BC]],MATCH(Tableau2[[#This Row],[ID BC UNIQUE]],Tableau6[N° BC],0),7),"")</f>
        <v>261B0200</v>
      </c>
      <c r="O128" t="str">
        <f>+IFERROR(INDEX(Tableau24[],MATCH(Tableau2[[#This Row],[CODE PROJET]],Tableau24[CODE PROJET],0),2),"")</f>
        <v>MUSEE DE COCODY GROS ŒUVRE GL</v>
      </c>
    </row>
    <row r="129" spans="3:15" x14ac:dyDescent="0.2">
      <c r="C129" s="3">
        <v>45727</v>
      </c>
      <c r="D129" s="6" t="s">
        <v>408</v>
      </c>
      <c r="E129" s="253" t="s">
        <v>60</v>
      </c>
      <c r="F129" s="58" t="s">
        <v>138</v>
      </c>
      <c r="G129">
        <v>30</v>
      </c>
      <c r="H129" s="392">
        <v>990000</v>
      </c>
      <c r="I129" s="156">
        <v>990000</v>
      </c>
      <c r="J129" s="90">
        <f>+SUMIFS(Tableau6[MONTANT HT],Tableau6[CLIENT],Tableau2[[#This Row],[NOM CLIENT]],Tableau6[N° BC],Tableau2[[#This Row],[ID BC UNIQUE]])-SUMIFS(Tableau6[MONTANT HT],Tableau6[CLIENT],Tableau2[[#This Row],[NOM CLIENT]],Tableau6[N° BC],Tableau2[[#This Row],[ID BC UNIQUE]])</f>
        <v>0</v>
      </c>
      <c r="K129" s="90">
        <f>Tableau2[[#This Row],[MONTANT HT VALIDE]]-Tableau2[[#This Row],[MONTANT HT FACTURE]]</f>
        <v>990000</v>
      </c>
      <c r="L129" s="34">
        <f>+IFERROR(Tableau2[[#This Row],[MONTANT HT FACTURE]]/Tableau2[[#This Row],[MONTANT HT VALIDE]],0)</f>
        <v>0</v>
      </c>
      <c r="M12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29" t="str">
        <f>+IFERROR(INDEX(Tableau6[[ENTITE]:[N° BC]],MATCH(Tableau2[[#This Row],[ID BC UNIQUE]],Tableau6[N° BC],0),7),"")</f>
        <v>305R8002</v>
      </c>
      <c r="O129" t="str">
        <f>+IFERROR(INDEX(Tableau24[],MATCH(Tableau2[[#This Row],[CODE PROJET]],Tableau24[CODE PROJET],0),2),"")</f>
        <v>ROUTE DABAKALA-KONG TX MAD ENGIN</v>
      </c>
    </row>
    <row r="130" spans="3:15" x14ac:dyDescent="0.2">
      <c r="C130" s="3">
        <v>45729</v>
      </c>
      <c r="D130" s="6" t="s">
        <v>425</v>
      </c>
      <c r="E130" s="253" t="s">
        <v>60</v>
      </c>
      <c r="F130" s="58" t="s">
        <v>102</v>
      </c>
      <c r="G130">
        <v>30</v>
      </c>
      <c r="H130" s="392">
        <v>8188088</v>
      </c>
      <c r="I130" s="156">
        <v>8188088</v>
      </c>
      <c r="J130" s="90">
        <f>+SUMIFS(Tableau6[MONTANT HT],Tableau6[CLIENT],Tableau2[[#This Row],[NOM CLIENT]],Tableau6[N° BC],Tableau2[[#This Row],[ID BC UNIQUE]])-SUMIFS(Tableau6[MONTANT HT],Tableau6[CLIENT],Tableau2[[#This Row],[NOM CLIENT]],Tableau6[N° BC],Tableau2[[#This Row],[ID BC UNIQUE]])</f>
        <v>0</v>
      </c>
      <c r="K130" s="90">
        <f>Tableau2[[#This Row],[MONTANT HT VALIDE]]-Tableau2[[#This Row],[MONTANT HT FACTURE]]</f>
        <v>8188088</v>
      </c>
      <c r="L130" s="34">
        <f>+IFERROR(Tableau2[[#This Row],[MONTANT HT FACTURE]]/Tableau2[[#This Row],[MONTANT HT VALIDE]],0)</f>
        <v>0</v>
      </c>
      <c r="M13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30" t="str">
        <f>+IFERROR(INDEX(Tableau6[[ENTITE]:[N° BC]],MATCH(Tableau2[[#This Row],[ID BC UNIQUE]],Tableau6[N° BC],0),7),"")</f>
        <v>211R3002</v>
      </c>
      <c r="O130" t="str">
        <f>+IFERROR(INDEX(Tableau24[],MATCH(Tableau2[[#This Row],[CODE PROJET]],Tableau24[CODE PROJET],0),2),"")</f>
        <v>KOUTO-NIELLE-NBEMGUE_LOCATION EXTERNE</v>
      </c>
    </row>
    <row r="131" spans="3:15" x14ac:dyDescent="0.2">
      <c r="C131" s="3">
        <v>45730</v>
      </c>
      <c r="D131" s="6" t="s">
        <v>407</v>
      </c>
      <c r="E131" s="253" t="s">
        <v>60</v>
      </c>
      <c r="F131" s="58" t="s">
        <v>102</v>
      </c>
      <c r="G131">
        <v>30</v>
      </c>
      <c r="H131" s="392">
        <v>21000000</v>
      </c>
      <c r="I131" s="156">
        <v>21000000</v>
      </c>
      <c r="J131" s="90">
        <f>+SUMIFS(Tableau6[MONTANT HT],Tableau6[CLIENT],Tableau2[[#This Row],[NOM CLIENT]],Tableau6[N° BC],Tableau2[[#This Row],[ID BC UNIQUE]])-SUMIFS(Tableau6[MONTANT HT],Tableau6[CLIENT],Tableau2[[#This Row],[NOM CLIENT]],Tableau6[N° BC],Tableau2[[#This Row],[ID BC UNIQUE]])</f>
        <v>0</v>
      </c>
      <c r="K131" s="90">
        <f>Tableau2[[#This Row],[MONTANT HT VALIDE]]-Tableau2[[#This Row],[MONTANT HT FACTURE]]</f>
        <v>21000000</v>
      </c>
      <c r="L131" s="34">
        <f>+IFERROR(Tableau2[[#This Row],[MONTANT HT FACTURE]]/Tableau2[[#This Row],[MONTANT HT VALIDE]],0)</f>
        <v>0</v>
      </c>
      <c r="M13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31" t="str">
        <f>+IFERROR(INDEX(Tableau6[[ENTITE]:[N° BC]],MATCH(Tableau2[[#This Row],[ID BC UNIQUE]],Tableau6[N° BC],0),7),"")</f>
        <v/>
      </c>
      <c r="O131" t="str">
        <f>+IFERROR(INDEX(Tableau24[],MATCH(Tableau2[[#This Row],[CODE PROJET]],Tableau24[CODE PROJET],0),2),"")</f>
        <v/>
      </c>
    </row>
    <row r="132" spans="3:15" x14ac:dyDescent="0.2">
      <c r="C132" s="3">
        <v>45734</v>
      </c>
      <c r="D132" s="6" t="s">
        <v>523</v>
      </c>
      <c r="E132" s="253" t="s">
        <v>60</v>
      </c>
      <c r="F132" s="58" t="s">
        <v>138</v>
      </c>
      <c r="G132">
        <v>30</v>
      </c>
      <c r="H132" s="392">
        <v>375000</v>
      </c>
      <c r="I132" s="392">
        <v>375000</v>
      </c>
      <c r="J132" s="90">
        <f>+SUMIFS(Tableau6[MONTANT HT],Tableau6[CLIENT],Tableau2[[#This Row],[NOM CLIENT]],Tableau6[N° BC],Tableau2[[#This Row],[ID BC UNIQUE]])-SUMIFS(Tableau6[MONTANT HT],Tableau6[CLIENT],Tableau2[[#This Row],[NOM CLIENT]],Tableau6[N° BC],Tableau2[[#This Row],[ID BC UNIQUE]])</f>
        <v>0</v>
      </c>
      <c r="K132" s="90">
        <f>Tableau2[[#This Row],[MONTANT HT VALIDE]]-Tableau2[[#This Row],[MONTANT HT FACTURE]]</f>
        <v>375000</v>
      </c>
      <c r="L132" s="34">
        <f>+IFERROR(Tableau2[[#This Row],[MONTANT HT FACTURE]]/Tableau2[[#This Row],[MONTANT HT VALIDE]],0)</f>
        <v>0</v>
      </c>
      <c r="M13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32" t="str">
        <f>+IFERROR(INDEX(Tableau6[[ENTITE]:[N° BC]],MATCH(Tableau2[[#This Row],[ID BC UNIQUE]],Tableau6[N° BC],0),7),"")</f>
        <v>444B0003</v>
      </c>
      <c r="O132" t="str">
        <f>+IFERROR(INDEX(Tableau24[],MATCH(Tableau2[[#This Row],[CODE PROJET]],Tableau24[CODE PROJET],0),2),"")</f>
        <v>UNIVERSITE D ODIENNE GL INSTALL° CH</v>
      </c>
    </row>
    <row r="133" spans="3:15" x14ac:dyDescent="0.2">
      <c r="C133" s="3">
        <v>45736</v>
      </c>
      <c r="D133" s="6" t="s">
        <v>409</v>
      </c>
      <c r="E133" s="253" t="s">
        <v>60</v>
      </c>
      <c r="F133" s="58" t="s">
        <v>138</v>
      </c>
      <c r="G133">
        <v>30</v>
      </c>
      <c r="H133" s="392">
        <v>1050000</v>
      </c>
      <c r="I133" s="156">
        <v>1050000</v>
      </c>
      <c r="J133" s="90">
        <f>+SUMIFS(Tableau6[MONTANT HT],Tableau6[CLIENT],Tableau2[[#This Row],[NOM CLIENT]],Tableau6[N° BC],Tableau2[[#This Row],[ID BC UNIQUE]])-SUMIFS(Tableau6[MONTANT HT],Tableau6[CLIENT],Tableau2[[#This Row],[NOM CLIENT]],Tableau6[N° BC],Tableau2[[#This Row],[ID BC UNIQUE]])</f>
        <v>0</v>
      </c>
      <c r="K133" s="90">
        <f>Tableau2[[#This Row],[MONTANT HT VALIDE]]-Tableau2[[#This Row],[MONTANT HT FACTURE]]</f>
        <v>1050000</v>
      </c>
      <c r="L133" s="34">
        <f>+IFERROR(Tableau2[[#This Row],[MONTANT HT FACTURE]]/Tableau2[[#This Row],[MONTANT HT VALIDE]],0)</f>
        <v>0</v>
      </c>
      <c r="M13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33" t="str">
        <f>+IFERROR(INDEX(Tableau6[[ENTITE]:[N° BC]],MATCH(Tableau2[[#This Row],[ID BC UNIQUE]],Tableau6[N° BC],0),7),"")</f>
        <v>257B0104</v>
      </c>
      <c r="O133" t="str">
        <f>+IFERROR(INDEX(Tableau24[],MATCH(Tableau2[[#This Row],[CODE PROJET]],Tableau24[CODE PROJET],0),2),"")</f>
        <v>COMPLEXE RESIDENTIEL KONG-VRD VOIRIE CHE</v>
      </c>
    </row>
    <row r="134" spans="3:15" x14ac:dyDescent="0.2">
      <c r="C134" s="3">
        <v>45751</v>
      </c>
      <c r="D134" s="6" t="s">
        <v>536</v>
      </c>
      <c r="E134" s="253" t="s">
        <v>60</v>
      </c>
      <c r="F134" s="58" t="s">
        <v>102</v>
      </c>
      <c r="G134">
        <v>30</v>
      </c>
      <c r="H134" s="392">
        <v>16770000</v>
      </c>
      <c r="I134" s="392">
        <v>16770000</v>
      </c>
      <c r="J134" s="90">
        <f>+SUMIFS(Tableau6[MONTANT HT],Tableau6[CLIENT],Tableau2[[#This Row],[NOM CLIENT]],Tableau6[N° BC],Tableau2[[#This Row],[ID BC UNIQUE]])-SUMIFS(Tableau6[MONTANT HT],Tableau6[CLIENT],Tableau2[[#This Row],[NOM CLIENT]],Tableau6[N° BC],Tableau2[[#This Row],[ID BC UNIQUE]])</f>
        <v>0</v>
      </c>
      <c r="K134" s="90">
        <f>Tableau2[[#This Row],[MONTANT HT VALIDE]]-Tableau2[[#This Row],[MONTANT HT FACTURE]]</f>
        <v>16770000</v>
      </c>
      <c r="L134" s="34">
        <f>+IFERROR(Tableau2[[#This Row],[MONTANT HT FACTURE]]/Tableau2[[#This Row],[MONTANT HT VALIDE]],0)</f>
        <v>0</v>
      </c>
      <c r="M13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34" t="str">
        <f>+IFERROR(INDEX(Tableau6[[ENTITE]:[N° BC]],MATCH(Tableau2[[#This Row],[ID BC UNIQUE]],Tableau6[N° BC],0),7),"")</f>
        <v>211R3002</v>
      </c>
      <c r="O134" t="str">
        <f>+IFERROR(INDEX(Tableau24[],MATCH(Tableau2[[#This Row],[CODE PROJET]],Tableau24[CODE PROJET],0),2),"")</f>
        <v>KOUTO-NIELLE-NBEMGUE_LOCATION EXTERNE</v>
      </c>
    </row>
    <row r="135" spans="3:15" x14ac:dyDescent="0.2">
      <c r="C135" s="3">
        <v>45751</v>
      </c>
      <c r="D135" s="6" t="s">
        <v>530</v>
      </c>
      <c r="E135" s="253" t="s">
        <v>60</v>
      </c>
      <c r="F135" s="58" t="s">
        <v>138</v>
      </c>
      <c r="G135">
        <v>30</v>
      </c>
      <c r="H135" s="392">
        <v>1350000</v>
      </c>
      <c r="I135" s="392">
        <v>1350000</v>
      </c>
      <c r="J135" s="90">
        <f>+SUMIFS(Tableau6[MONTANT HT],Tableau6[CLIENT],Tableau2[[#This Row],[NOM CLIENT]],Tableau6[N° BC],Tableau2[[#This Row],[ID BC UNIQUE]])-SUMIFS(Tableau6[MONTANT HT],Tableau6[CLIENT],Tableau2[[#This Row],[NOM CLIENT]],Tableau6[N° BC],Tableau2[[#This Row],[ID BC UNIQUE]])</f>
        <v>0</v>
      </c>
      <c r="K135" s="90">
        <f>Tableau2[[#This Row],[MONTANT HT VALIDE]]-Tableau2[[#This Row],[MONTANT HT FACTURE]]</f>
        <v>1350000</v>
      </c>
      <c r="L135" s="34">
        <f>+IFERROR(Tableau2[[#This Row],[MONTANT HT FACTURE]]/Tableau2[[#This Row],[MONTANT HT VALIDE]],0)</f>
        <v>0</v>
      </c>
      <c r="M13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35" t="str">
        <f>+IFERROR(INDEX(Tableau6[[ENTITE]:[N° BC]],MATCH(Tableau2[[#This Row],[ID BC UNIQUE]],Tableau6[N° BC],0),7),"")</f>
        <v>257B0209</v>
      </c>
      <c r="O135" t="str">
        <f>+IFERROR(INDEX(Tableau24[],MATCH(Tableau2[[#This Row],[CODE PROJET]],Tableau24[CODE PROJET],0),2),"")</f>
        <v>COMPLEXE RESIDENTIEL-KONG-GROS ŒUVRE DRAINAGE</v>
      </c>
    </row>
    <row r="136" spans="3:15" x14ac:dyDescent="0.2">
      <c r="C136" s="3">
        <v>45751</v>
      </c>
      <c r="D136" s="6" t="s">
        <v>537</v>
      </c>
      <c r="E136" s="253" t="s">
        <v>60</v>
      </c>
      <c r="F136" s="58" t="s">
        <v>138</v>
      </c>
      <c r="G136">
        <v>30</v>
      </c>
      <c r="H136" s="392">
        <v>2970000</v>
      </c>
      <c r="I136" s="392">
        <v>2970000</v>
      </c>
      <c r="J136" s="90">
        <f>+SUMIFS(Tableau6[MONTANT HT],Tableau6[CLIENT],Tableau2[[#This Row],[NOM CLIENT]],Tableau6[N° BC],Tableau2[[#This Row],[ID BC UNIQUE]])-SUMIFS(Tableau6[MONTANT HT],Tableau6[CLIENT],Tableau2[[#This Row],[NOM CLIENT]],Tableau6[N° BC],Tableau2[[#This Row],[ID BC UNIQUE]])</f>
        <v>0</v>
      </c>
      <c r="K136" s="90">
        <f>Tableau2[[#This Row],[MONTANT HT VALIDE]]-Tableau2[[#This Row],[MONTANT HT FACTURE]]</f>
        <v>2970000</v>
      </c>
      <c r="L136" s="34">
        <f>+IFERROR(Tableau2[[#This Row],[MONTANT HT FACTURE]]/Tableau2[[#This Row],[MONTANT HT VALIDE]],0)</f>
        <v>0</v>
      </c>
      <c r="M13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36" t="str">
        <f>+IFERROR(INDEX(Tableau6[[ENTITE]:[N° BC]],MATCH(Tableau2[[#This Row],[ID BC UNIQUE]],Tableau6[N° BC],0),7),"")</f>
        <v>257B0109</v>
      </c>
      <c r="O136" t="str">
        <f>+IFERROR(INDEX(Tableau24[],MATCH(Tableau2[[#This Row],[CODE PROJET]],Tableau24[CODE PROJET],0),2),"")</f>
        <v>COMPLEXE RES. KONG AMENGT EXT P</v>
      </c>
    </row>
    <row r="137" spans="3:15" x14ac:dyDescent="0.2">
      <c r="C137" s="3">
        <v>45751</v>
      </c>
      <c r="D137" s="6" t="s">
        <v>538</v>
      </c>
      <c r="E137" s="253" t="s">
        <v>60</v>
      </c>
      <c r="F137" s="58" t="s">
        <v>138</v>
      </c>
      <c r="G137">
        <v>30</v>
      </c>
      <c r="H137" s="392">
        <v>1350000</v>
      </c>
      <c r="I137" s="392">
        <v>1350000</v>
      </c>
      <c r="J137" s="90">
        <f>+SUMIFS(Tableau6[MONTANT HT],Tableau6[CLIENT],Tableau2[[#This Row],[NOM CLIENT]],Tableau6[N° BC],Tableau2[[#This Row],[ID BC UNIQUE]])-SUMIFS(Tableau6[MONTANT HT],Tableau6[CLIENT],Tableau2[[#This Row],[NOM CLIENT]],Tableau6[N° BC],Tableau2[[#This Row],[ID BC UNIQUE]])</f>
        <v>0</v>
      </c>
      <c r="K137" s="90">
        <f>Tableau2[[#This Row],[MONTANT HT VALIDE]]-Tableau2[[#This Row],[MONTANT HT FACTURE]]</f>
        <v>1350000</v>
      </c>
      <c r="L137" s="34">
        <f>+IFERROR(Tableau2[[#This Row],[MONTANT HT FACTURE]]/Tableau2[[#This Row],[MONTANT HT VALIDE]],0)</f>
        <v>0</v>
      </c>
      <c r="M13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37" t="str">
        <f>+IFERROR(INDEX(Tableau6[[ENTITE]:[N° BC]],MATCH(Tableau2[[#This Row],[ID BC UNIQUE]],Tableau6[N° BC],0),7),"")</f>
        <v>257B0109</v>
      </c>
      <c r="O137" t="str">
        <f>+IFERROR(INDEX(Tableau24[],MATCH(Tableau2[[#This Row],[CODE PROJET]],Tableau24[CODE PROJET],0),2),"")</f>
        <v>COMPLEXE RES. KONG AMENGT EXT P</v>
      </c>
    </row>
    <row r="138" spans="3:15" x14ac:dyDescent="0.2">
      <c r="C138" s="3">
        <v>45751</v>
      </c>
      <c r="D138" s="6" t="s">
        <v>550</v>
      </c>
      <c r="E138" s="253" t="s">
        <v>60</v>
      </c>
      <c r="F138" s="58" t="s">
        <v>138</v>
      </c>
      <c r="G138">
        <v>30</v>
      </c>
      <c r="H138" s="392">
        <v>5200000</v>
      </c>
      <c r="I138" s="392">
        <v>5200000</v>
      </c>
      <c r="J138" s="90">
        <f>+SUMIFS(Tableau6[MONTANT HT],Tableau6[CLIENT],Tableau2[[#This Row],[NOM CLIENT]],Tableau6[N° BC],Tableau2[[#This Row],[ID BC UNIQUE]])-SUMIFS(Tableau6[MONTANT HT],Tableau6[CLIENT],Tableau2[[#This Row],[NOM CLIENT]],Tableau6[N° BC],Tableau2[[#This Row],[ID BC UNIQUE]])</f>
        <v>0</v>
      </c>
      <c r="K138" s="90">
        <f>Tableau2[[#This Row],[MONTANT HT VALIDE]]-Tableau2[[#This Row],[MONTANT HT FACTURE]]</f>
        <v>5200000</v>
      </c>
      <c r="L138" s="34">
        <f>+IFERROR(Tableau2[[#This Row],[MONTANT HT FACTURE]]/Tableau2[[#This Row],[MONTANT HT VALIDE]],0)</f>
        <v>0</v>
      </c>
      <c r="M13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38" t="str">
        <f>+IFERROR(INDEX(Tableau6[[ENTITE]:[N° BC]],MATCH(Tableau2[[#This Row],[ID BC UNIQUE]],Tableau6[N° BC],0),7),"")</f>
        <v>257B0109</v>
      </c>
      <c r="O138" t="str">
        <f>+IFERROR(INDEX(Tableau24[],MATCH(Tableau2[[#This Row],[CODE PROJET]],Tableau24[CODE PROJET],0),2),"")</f>
        <v>COMPLEXE RES. KONG AMENGT EXT P</v>
      </c>
    </row>
    <row r="139" spans="3:15" x14ac:dyDescent="0.2">
      <c r="C139" s="3">
        <v>45751</v>
      </c>
      <c r="D139" s="6" t="s">
        <v>549</v>
      </c>
      <c r="E139" s="253" t="s">
        <v>60</v>
      </c>
      <c r="F139" s="58" t="s">
        <v>138</v>
      </c>
      <c r="G139">
        <v>30</v>
      </c>
      <c r="H139" s="392">
        <v>1248000</v>
      </c>
      <c r="I139" s="392">
        <v>1248000</v>
      </c>
      <c r="J139" s="90">
        <f>+SUMIFS(Tableau6[MONTANT HT],Tableau6[CLIENT],Tableau2[[#This Row],[NOM CLIENT]],Tableau6[N° BC],Tableau2[[#This Row],[ID BC UNIQUE]])-SUMIFS(Tableau6[MONTANT HT],Tableau6[CLIENT],Tableau2[[#This Row],[NOM CLIENT]],Tableau6[N° BC],Tableau2[[#This Row],[ID BC UNIQUE]])</f>
        <v>0</v>
      </c>
      <c r="K139" s="90">
        <f>Tableau2[[#This Row],[MONTANT HT VALIDE]]-Tableau2[[#This Row],[MONTANT HT FACTURE]]</f>
        <v>1248000</v>
      </c>
      <c r="L139" s="34">
        <f>+IFERROR(Tableau2[[#This Row],[MONTANT HT FACTURE]]/Tableau2[[#This Row],[MONTANT HT VALIDE]],0)</f>
        <v>0</v>
      </c>
      <c r="M13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39" t="str">
        <f>+IFERROR(INDEX(Tableau6[[ENTITE]:[N° BC]],MATCH(Tableau2[[#This Row],[ID BC UNIQUE]],Tableau6[N° BC],0),7),"")</f>
        <v>261B0200</v>
      </c>
      <c r="O139" t="str">
        <f>+IFERROR(INDEX(Tableau24[],MATCH(Tableau2[[#This Row],[CODE PROJET]],Tableau24[CODE PROJET],0),2),"")</f>
        <v>MUSEE DE COCODY GROS ŒUVRE GL</v>
      </c>
    </row>
    <row r="140" spans="3:15" x14ac:dyDescent="0.2">
      <c r="C140" s="3">
        <v>45762</v>
      </c>
      <c r="D140" s="6" t="s">
        <v>580</v>
      </c>
      <c r="E140" s="253" t="s">
        <v>60</v>
      </c>
      <c r="F140" s="58" t="s">
        <v>138</v>
      </c>
      <c r="G140">
        <v>30</v>
      </c>
      <c r="H140" s="392">
        <v>1275000</v>
      </c>
      <c r="I140" s="392">
        <v>1275000</v>
      </c>
      <c r="J140" s="90">
        <f>+SUMIFS(Tableau6[MONTANT HT],Tableau6[CLIENT],Tableau2[[#This Row],[NOM CLIENT]],Tableau6[N° BC],Tableau2[[#This Row],[ID BC UNIQUE]])-SUMIFS(Tableau6[MONTANT HT],Tableau6[CLIENT],Tableau2[[#This Row],[NOM CLIENT]],Tableau6[N° BC],Tableau2[[#This Row],[ID BC UNIQUE]])</f>
        <v>0</v>
      </c>
      <c r="K140" s="90">
        <f>Tableau2[[#This Row],[MONTANT HT VALIDE]]-Tableau2[[#This Row],[MONTANT HT FACTURE]]</f>
        <v>1275000</v>
      </c>
      <c r="L140" s="34">
        <f>+IFERROR(Tableau2[[#This Row],[MONTANT HT FACTURE]]/Tableau2[[#This Row],[MONTANT HT VALIDE]],0)</f>
        <v>0</v>
      </c>
      <c r="M14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40" t="str">
        <f>+IFERROR(INDEX(Tableau6[[ENTITE]:[N° BC]],MATCH(Tableau2[[#This Row],[ID BC UNIQUE]],Tableau6[N° BC],0),7),"")</f>
        <v>950B0003</v>
      </c>
      <c r="O140" t="str">
        <f>+IFERROR(INDEX(Tableau24[],MATCH(Tableau2[[#This Row],[CODE PROJET]],Tableau24[CODE PROJET],0),2),"")</f>
        <v>ATM MENUISERIE EXTERIEURE-ASSINIE</v>
      </c>
    </row>
    <row r="141" spans="3:15" x14ac:dyDescent="0.2">
      <c r="C141" s="3">
        <v>45770</v>
      </c>
      <c r="D141" s="6" t="s">
        <v>544</v>
      </c>
      <c r="E141" s="253" t="s">
        <v>60</v>
      </c>
      <c r="F141" s="58" t="s">
        <v>138</v>
      </c>
      <c r="G141">
        <v>30</v>
      </c>
      <c r="H141" s="392">
        <v>1360000</v>
      </c>
      <c r="I141" s="392">
        <v>1360000</v>
      </c>
      <c r="J141" s="90">
        <f>+SUMIFS(Tableau6[MONTANT HT],Tableau6[CLIENT],Tableau2[[#This Row],[NOM CLIENT]],Tableau6[N° BC],Tableau2[[#This Row],[ID BC UNIQUE]])-SUMIFS(Tableau6[MONTANT HT],Tableau6[CLIENT],Tableau2[[#This Row],[NOM CLIENT]],Tableau6[N° BC],Tableau2[[#This Row],[ID BC UNIQUE]])</f>
        <v>0</v>
      </c>
      <c r="K141" s="90">
        <f>Tableau2[[#This Row],[MONTANT HT VALIDE]]-Tableau2[[#This Row],[MONTANT HT FACTURE]]</f>
        <v>1360000</v>
      </c>
      <c r="L141" s="34">
        <f>+IFERROR(Tableau2[[#This Row],[MONTANT HT FACTURE]]/Tableau2[[#This Row],[MONTANT HT VALIDE]],0)</f>
        <v>0</v>
      </c>
      <c r="M14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41" t="str">
        <f>+IFERROR(INDEX(Tableau6[[ENTITE]:[N° BC]],MATCH(Tableau2[[#This Row],[ID BC UNIQUE]],Tableau6[N° BC],0),7),"")</f>
        <v>016G4101</v>
      </c>
      <c r="O141" t="str">
        <f>+IFERROR(INDEX(Tableau24[],MATCH(Tableau2[[#This Row],[CODE PROJET]],Tableau24[CODE PROJET],0),2),"")</f>
        <v>ATELIER BINGERVILLE SM LOCATION EXTERNES</v>
      </c>
    </row>
    <row r="142" spans="3:15" x14ac:dyDescent="0.2">
      <c r="C142" s="3">
        <v>45770</v>
      </c>
      <c r="D142" s="6" t="s">
        <v>547</v>
      </c>
      <c r="E142" s="253" t="s">
        <v>60</v>
      </c>
      <c r="F142" s="58" t="s">
        <v>138</v>
      </c>
      <c r="G142">
        <v>30</v>
      </c>
      <c r="H142" s="392">
        <v>690000</v>
      </c>
      <c r="I142" s="392">
        <v>690000</v>
      </c>
      <c r="J142" s="90">
        <f>+SUMIFS(Tableau6[MONTANT HT],Tableau6[CLIENT],Tableau2[[#This Row],[NOM CLIENT]],Tableau6[N° BC],Tableau2[[#This Row],[ID BC UNIQUE]])-SUMIFS(Tableau6[MONTANT HT],Tableau6[CLIENT],Tableau2[[#This Row],[NOM CLIENT]],Tableau6[N° BC],Tableau2[[#This Row],[ID BC UNIQUE]])</f>
        <v>0</v>
      </c>
      <c r="K142" s="90">
        <f>Tableau2[[#This Row],[MONTANT HT VALIDE]]-Tableau2[[#This Row],[MONTANT HT FACTURE]]</f>
        <v>690000</v>
      </c>
      <c r="L142" s="34">
        <f>+IFERROR(Tableau2[[#This Row],[MONTANT HT FACTURE]]/Tableau2[[#This Row],[MONTANT HT VALIDE]],0)</f>
        <v>0</v>
      </c>
      <c r="M14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42" t="str">
        <f>+IFERROR(INDEX(Tableau6[[ENTITE]:[N° BC]],MATCH(Tableau2[[#This Row],[ID BC UNIQUE]],Tableau6[N° BC],0),7),"")</f>
        <v>016G4101</v>
      </c>
      <c r="O142" t="str">
        <f>+IFERROR(INDEX(Tableau24[],MATCH(Tableau2[[#This Row],[CODE PROJET]],Tableau24[CODE PROJET],0),2),"")</f>
        <v>ATELIER BINGERVILLE SM LOCATION EXTERNES</v>
      </c>
    </row>
    <row r="143" spans="3:15" x14ac:dyDescent="0.2">
      <c r="C143" s="3">
        <v>45771</v>
      </c>
      <c r="D143" s="6" t="s">
        <v>542</v>
      </c>
      <c r="E143" s="253" t="s">
        <v>60</v>
      </c>
      <c r="F143" s="58" t="s">
        <v>138</v>
      </c>
      <c r="G143">
        <v>30</v>
      </c>
      <c r="H143" s="392">
        <v>33983830</v>
      </c>
      <c r="I143" s="392">
        <v>33983830</v>
      </c>
      <c r="J143" s="90">
        <f>+SUMIFS(Tableau6[MONTANT HT],Tableau6[CLIENT],Tableau2[[#This Row],[NOM CLIENT]],Tableau6[N° BC],Tableau2[[#This Row],[ID BC UNIQUE]])-SUMIFS(Tableau6[MONTANT HT],Tableau6[CLIENT],Tableau2[[#This Row],[NOM CLIENT]],Tableau6[N° BC],Tableau2[[#This Row],[ID BC UNIQUE]])</f>
        <v>0</v>
      </c>
      <c r="K143" s="90">
        <f>Tableau2[[#This Row],[MONTANT HT VALIDE]]-Tableau2[[#This Row],[MONTANT HT FACTURE]]</f>
        <v>33983830</v>
      </c>
      <c r="L143" s="34">
        <f>+IFERROR(Tableau2[[#This Row],[MONTANT HT FACTURE]]/Tableau2[[#This Row],[MONTANT HT VALIDE]],0)</f>
        <v>0</v>
      </c>
      <c r="M14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43" t="str">
        <f>+IFERROR(INDEX(Tableau6[[ENTITE]:[N° BC]],MATCH(Tableau2[[#This Row],[ID BC UNIQUE]],Tableau6[N° BC],0),7),"")</f>
        <v>017G4101</v>
      </c>
      <c r="O143" t="str">
        <f>+IFERROR(INDEX(Tableau24[],MATCH(Tableau2[[#This Row],[CODE PROJET]],Tableau24[CODE PROJET],0),2),"")</f>
        <v>ATELIER PETIT NASS. KT SM LOCAT°</v>
      </c>
    </row>
    <row r="144" spans="3:15" x14ac:dyDescent="0.2">
      <c r="C144" s="3">
        <v>45771</v>
      </c>
      <c r="D144" s="6" t="s">
        <v>548</v>
      </c>
      <c r="E144" s="253" t="s">
        <v>60</v>
      </c>
      <c r="F144" s="58" t="s">
        <v>138</v>
      </c>
      <c r="G144">
        <v>30</v>
      </c>
      <c r="H144" s="392">
        <v>7145000</v>
      </c>
      <c r="I144" s="392">
        <v>7145000</v>
      </c>
      <c r="J144" s="90">
        <f>+SUMIFS(Tableau6[MONTANT HT],Tableau6[CLIENT],Tableau2[[#This Row],[NOM CLIENT]],Tableau6[N° BC],Tableau2[[#This Row],[ID BC UNIQUE]])-SUMIFS(Tableau6[MONTANT HT],Tableau6[CLIENT],Tableau2[[#This Row],[NOM CLIENT]],Tableau6[N° BC],Tableau2[[#This Row],[ID BC UNIQUE]])</f>
        <v>0</v>
      </c>
      <c r="K144" s="90">
        <f>Tableau2[[#This Row],[MONTANT HT VALIDE]]-Tableau2[[#This Row],[MONTANT HT FACTURE]]</f>
        <v>7145000</v>
      </c>
      <c r="L144" s="34">
        <f>+IFERROR(Tableau2[[#This Row],[MONTANT HT FACTURE]]/Tableau2[[#This Row],[MONTANT HT VALIDE]],0)</f>
        <v>0</v>
      </c>
      <c r="M14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44" t="str">
        <f>+IFERROR(INDEX(Tableau6[[ENTITE]:[N° BC]],MATCH(Tableau2[[#This Row],[ID BC UNIQUE]],Tableau6[N° BC],0),7),"")</f>
        <v>016G4101</v>
      </c>
      <c r="O144" t="str">
        <f>+IFERROR(INDEX(Tableau24[],MATCH(Tableau2[[#This Row],[CODE PROJET]],Tableau24[CODE PROJET],0),2),"")</f>
        <v>ATELIER BINGERVILLE SM LOCATION EXTERNES</v>
      </c>
    </row>
    <row r="145" spans="3:15" x14ac:dyDescent="0.2">
      <c r="C145" s="3">
        <v>45771</v>
      </c>
      <c r="D145" s="6" t="s">
        <v>555</v>
      </c>
      <c r="E145" s="253" t="s">
        <v>60</v>
      </c>
      <c r="F145" s="58" t="s">
        <v>138</v>
      </c>
      <c r="G145">
        <v>30</v>
      </c>
      <c r="H145" s="392">
        <v>2640000</v>
      </c>
      <c r="I145" s="392">
        <v>2640000</v>
      </c>
      <c r="J145" s="90">
        <f>+SUMIFS(Tableau6[MONTANT HT],Tableau6[CLIENT],Tableau2[[#This Row],[NOM CLIENT]],Tableau6[N° BC],Tableau2[[#This Row],[ID BC UNIQUE]])-SUMIFS(Tableau6[MONTANT HT],Tableau6[CLIENT],Tableau2[[#This Row],[NOM CLIENT]],Tableau6[N° BC],Tableau2[[#This Row],[ID BC UNIQUE]])</f>
        <v>0</v>
      </c>
      <c r="K145" s="90">
        <f>Tableau2[[#This Row],[MONTANT HT VALIDE]]-Tableau2[[#This Row],[MONTANT HT FACTURE]]</f>
        <v>2640000</v>
      </c>
      <c r="L145" s="34">
        <f>+IFERROR(Tableau2[[#This Row],[MONTANT HT FACTURE]]/Tableau2[[#This Row],[MONTANT HT VALIDE]],0)</f>
        <v>0</v>
      </c>
      <c r="M14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45" t="str">
        <f>+IFERROR(INDEX(Tableau6[[ENTITE]:[N° BC]],MATCH(Tableau2[[#This Row],[ID BC UNIQUE]],Tableau6[N° BC],0),7),"")</f>
        <v>006G4101</v>
      </c>
      <c r="O145" t="str">
        <f>+IFERROR(INDEX(Tableau24[],MATCH(Tableau2[[#This Row],[CODE PROJET]],Tableau24[CODE PROJET],0),2),"")</f>
        <v>ATELIER SONGON CHARGES ACT LOCAT°</v>
      </c>
    </row>
    <row r="146" spans="3:15" x14ac:dyDescent="0.2">
      <c r="C146" s="3">
        <v>45772</v>
      </c>
      <c r="D146" s="6" t="s">
        <v>540</v>
      </c>
      <c r="E146" s="253" t="s">
        <v>60</v>
      </c>
      <c r="F146" s="58" t="s">
        <v>138</v>
      </c>
      <c r="G146">
        <v>30</v>
      </c>
      <c r="H146" s="392">
        <v>800000</v>
      </c>
      <c r="I146" s="392">
        <v>800000</v>
      </c>
      <c r="J146" s="90">
        <f>+SUMIFS(Tableau6[MONTANT HT],Tableau6[CLIENT],Tableau2[[#This Row],[NOM CLIENT]],Tableau6[N° BC],Tableau2[[#This Row],[ID BC UNIQUE]])-SUMIFS(Tableau6[MONTANT HT],Tableau6[CLIENT],Tableau2[[#This Row],[NOM CLIENT]],Tableau6[N° BC],Tableau2[[#This Row],[ID BC UNIQUE]])</f>
        <v>0</v>
      </c>
      <c r="K146" s="90">
        <f>Tableau2[[#This Row],[MONTANT HT VALIDE]]-Tableau2[[#This Row],[MONTANT HT FACTURE]]</f>
        <v>800000</v>
      </c>
      <c r="L146" s="34">
        <f>+IFERROR(Tableau2[[#This Row],[MONTANT HT FACTURE]]/Tableau2[[#This Row],[MONTANT HT VALIDE]],0)</f>
        <v>0</v>
      </c>
      <c r="M14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46" t="str">
        <f>+IFERROR(INDEX(Tableau6[[ENTITE]:[N° BC]],MATCH(Tableau2[[#This Row],[ID BC UNIQUE]],Tableau6[N° BC],0),7),"")</f>
        <v>019G4101</v>
      </c>
      <c r="O146" t="str">
        <f>+IFERROR(INDEX(Tableau24[],MATCH(Tableau2[[#This Row],[CODE PROJET]],Tableau24[CODE PROJET],0),2),"")</f>
        <v>ATELIER ODIENNE CHARGE ACT LOC EXT</v>
      </c>
    </row>
    <row r="147" spans="3:15" x14ac:dyDescent="0.2">
      <c r="C147" s="3">
        <v>45772</v>
      </c>
      <c r="D147" s="6" t="s">
        <v>541</v>
      </c>
      <c r="E147" s="253" t="s">
        <v>60</v>
      </c>
      <c r="F147" s="58" t="s">
        <v>138</v>
      </c>
      <c r="G147">
        <v>30</v>
      </c>
      <c r="H147" s="392">
        <v>4417500</v>
      </c>
      <c r="I147" s="392">
        <v>4417500</v>
      </c>
      <c r="J147" s="90">
        <f>+SUMIFS(Tableau6[MONTANT HT],Tableau6[CLIENT],Tableau2[[#This Row],[NOM CLIENT]],Tableau6[N° BC],Tableau2[[#This Row],[ID BC UNIQUE]])-SUMIFS(Tableau6[MONTANT HT],Tableau6[CLIENT],Tableau2[[#This Row],[NOM CLIENT]],Tableau6[N° BC],Tableau2[[#This Row],[ID BC UNIQUE]])</f>
        <v>0</v>
      </c>
      <c r="K147" s="90">
        <f>Tableau2[[#This Row],[MONTANT HT VALIDE]]-Tableau2[[#This Row],[MONTANT HT FACTURE]]</f>
        <v>4417500</v>
      </c>
      <c r="L147" s="34">
        <f>+IFERROR(Tableau2[[#This Row],[MONTANT HT FACTURE]]/Tableau2[[#This Row],[MONTANT HT VALIDE]],0)</f>
        <v>0</v>
      </c>
      <c r="M14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47" t="str">
        <f>+IFERROR(INDEX(Tableau6[[ENTITE]:[N° BC]],MATCH(Tableau2[[#This Row],[ID BC UNIQUE]],Tableau6[N° BC],0),7),"")</f>
        <v>018G4101</v>
      </c>
      <c r="O147" t="str">
        <f>+IFERROR(INDEX(Tableau24[],MATCH(Tableau2[[#This Row],[CODE PROJET]],Tableau24[CODE PROJET],0),2),"")</f>
        <v>ATELIER KORHOGO SM LOCATION EXTERNES</v>
      </c>
    </row>
    <row r="148" spans="3:15" x14ac:dyDescent="0.2">
      <c r="C148" s="3">
        <v>45772</v>
      </c>
      <c r="D148" s="6" t="s">
        <v>543</v>
      </c>
      <c r="E148" s="253" t="s">
        <v>60</v>
      </c>
      <c r="F148" s="58" t="s">
        <v>138</v>
      </c>
      <c r="G148">
        <v>30</v>
      </c>
      <c r="H148" s="392">
        <v>34346508</v>
      </c>
      <c r="I148" s="392">
        <v>34346508</v>
      </c>
      <c r="J148" s="90">
        <f>+SUMIFS(Tableau6[MONTANT HT],Tableau6[CLIENT],Tableau2[[#This Row],[NOM CLIENT]],Tableau6[N° BC],Tableau2[[#This Row],[ID BC UNIQUE]])-SUMIFS(Tableau6[MONTANT HT],Tableau6[CLIENT],Tableau2[[#This Row],[NOM CLIENT]],Tableau6[N° BC],Tableau2[[#This Row],[ID BC UNIQUE]])</f>
        <v>0</v>
      </c>
      <c r="K148" s="90">
        <f>Tableau2[[#This Row],[MONTANT HT VALIDE]]-Tableau2[[#This Row],[MONTANT HT FACTURE]]</f>
        <v>34346508</v>
      </c>
      <c r="L148" s="34">
        <f>+IFERROR(Tableau2[[#This Row],[MONTANT HT FACTURE]]/Tableau2[[#This Row],[MONTANT HT VALIDE]],0)</f>
        <v>0</v>
      </c>
      <c r="M14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48" t="str">
        <f>+IFERROR(INDEX(Tableau6[[ENTITE]:[N° BC]],MATCH(Tableau2[[#This Row],[ID BC UNIQUE]],Tableau6[N° BC],0),7),"")</f>
        <v>011G4101</v>
      </c>
      <c r="O148" t="str">
        <f>+IFERROR(INDEX(Tableau24[],MATCH(Tableau2[[#This Row],[CODE PROJET]],Tableau24[CODE PROJET],0),2),"")</f>
        <v>ATELIER DABAKALA CHARGRES ACT LOC E</v>
      </c>
    </row>
    <row r="149" spans="3:15" x14ac:dyDescent="0.2">
      <c r="C149" s="3">
        <v>45772</v>
      </c>
      <c r="D149" s="6" t="s">
        <v>545</v>
      </c>
      <c r="E149" s="253" t="s">
        <v>60</v>
      </c>
      <c r="F149" s="58" t="s">
        <v>138</v>
      </c>
      <c r="G149">
        <v>30</v>
      </c>
      <c r="H149" s="392">
        <v>28450015</v>
      </c>
      <c r="I149" s="392">
        <v>28450015</v>
      </c>
      <c r="J149" s="90">
        <f>+SUMIFS(Tableau6[MONTANT HT],Tableau6[CLIENT],Tableau2[[#This Row],[NOM CLIENT]],Tableau6[N° BC],Tableau2[[#This Row],[ID BC UNIQUE]])-SUMIFS(Tableau6[MONTANT HT],Tableau6[CLIENT],Tableau2[[#This Row],[NOM CLIENT]],Tableau6[N° BC],Tableau2[[#This Row],[ID BC UNIQUE]])</f>
        <v>0</v>
      </c>
      <c r="K149" s="90">
        <f>Tableau2[[#This Row],[MONTANT HT VALIDE]]-Tableau2[[#This Row],[MONTANT HT FACTURE]]</f>
        <v>28450015</v>
      </c>
      <c r="L149" s="34">
        <f>+IFERROR(Tableau2[[#This Row],[MONTANT HT FACTURE]]/Tableau2[[#This Row],[MONTANT HT VALIDE]],0)</f>
        <v>0</v>
      </c>
      <c r="M14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49" t="str">
        <f>+IFERROR(INDEX(Tableau6[[ENTITE]:[N° BC]],MATCH(Tableau2[[#This Row],[ID BC UNIQUE]],Tableau6[N° BC],0),7),"")</f>
        <v>015G4101</v>
      </c>
      <c r="O149" t="str">
        <f>+IFERROR(INDEX(Tableau24[],MATCH(Tableau2[[#This Row],[CODE PROJET]],Tableau24[CODE PROJET],0),2),"")</f>
        <v>ATELIER KONG CHARGE ACT LOCAT° EXT</v>
      </c>
    </row>
    <row r="150" spans="3:15" x14ac:dyDescent="0.2">
      <c r="C150" s="3">
        <v>45772</v>
      </c>
      <c r="D150" s="6" t="s">
        <v>546</v>
      </c>
      <c r="E150" s="253" t="s">
        <v>60</v>
      </c>
      <c r="F150" s="58" t="s">
        <v>138</v>
      </c>
      <c r="G150">
        <v>30</v>
      </c>
      <c r="H150" s="392">
        <v>7470000</v>
      </c>
      <c r="I150" s="392">
        <v>7470000</v>
      </c>
      <c r="J150" s="90">
        <f>+SUMIFS(Tableau6[MONTANT HT],Tableau6[CLIENT],Tableau2[[#This Row],[NOM CLIENT]],Tableau6[N° BC],Tableau2[[#This Row],[ID BC UNIQUE]])-SUMIFS(Tableau6[MONTANT HT],Tableau6[CLIENT],Tableau2[[#This Row],[NOM CLIENT]],Tableau6[N° BC],Tableau2[[#This Row],[ID BC UNIQUE]])</f>
        <v>0</v>
      </c>
      <c r="K150" s="90">
        <f>Tableau2[[#This Row],[MONTANT HT VALIDE]]-Tableau2[[#This Row],[MONTANT HT FACTURE]]</f>
        <v>7470000</v>
      </c>
      <c r="L150" s="34">
        <f>+IFERROR(Tableau2[[#This Row],[MONTANT HT FACTURE]]/Tableau2[[#This Row],[MONTANT HT VALIDE]],0)</f>
        <v>0</v>
      </c>
      <c r="M15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50" t="str">
        <f>+IFERROR(INDEX(Tableau6[[ENTITE]:[N° BC]],MATCH(Tableau2[[#This Row],[ID BC UNIQUE]],Tableau6[N° BC],0),7),"")</f>
        <v>019G4101</v>
      </c>
      <c r="O150" t="str">
        <f>+IFERROR(INDEX(Tableau24[],MATCH(Tableau2[[#This Row],[CODE PROJET]],Tableau24[CODE PROJET],0),2),"")</f>
        <v>ATELIER ODIENNE CHARGE ACT LOC EXT</v>
      </c>
    </row>
    <row r="151" spans="3:15" x14ac:dyDescent="0.2">
      <c r="C151" s="3">
        <v>45772</v>
      </c>
      <c r="D151" s="6" t="s">
        <v>553</v>
      </c>
      <c r="E151" s="253" t="s">
        <v>60</v>
      </c>
      <c r="F151" s="58" t="s">
        <v>102</v>
      </c>
      <c r="G151">
        <v>30</v>
      </c>
      <c r="H151" s="392">
        <v>16350000</v>
      </c>
      <c r="I151" s="392">
        <v>16350000</v>
      </c>
      <c r="J151" s="90">
        <f>+SUMIFS(Tableau6[MONTANT HT],Tableau6[CLIENT],Tableau2[[#This Row],[NOM CLIENT]],Tableau6[N° BC],Tableau2[[#This Row],[ID BC UNIQUE]])-SUMIFS(Tableau6[MONTANT HT],Tableau6[CLIENT],Tableau2[[#This Row],[NOM CLIENT]],Tableau6[N° BC],Tableau2[[#This Row],[ID BC UNIQUE]])</f>
        <v>0</v>
      </c>
      <c r="K151" s="90">
        <f>Tableau2[[#This Row],[MONTANT HT VALIDE]]-Tableau2[[#This Row],[MONTANT HT FACTURE]]</f>
        <v>16350000</v>
      </c>
      <c r="L151" s="34">
        <f>+IFERROR(Tableau2[[#This Row],[MONTANT HT FACTURE]]/Tableau2[[#This Row],[MONTANT HT VALIDE]],0)</f>
        <v>0</v>
      </c>
      <c r="M15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51" t="str">
        <f>+IFERROR(INDEX(Tableau6[[ENTITE]:[N° BC]],MATCH(Tableau2[[#This Row],[ID BC UNIQUE]],Tableau6[N° BC],0),7),"")</f>
        <v>211R2009</v>
      </c>
      <c r="O151" t="str">
        <f>+IFERROR(INDEX(Tableau24[],MATCH(Tableau2[[#This Row],[CODE PROJET]],Tableau24[CODE PROJET],0),2),"")</f>
        <v>KOUTO-NIELLE_TRAVAUX COFFRAGE</v>
      </c>
    </row>
    <row r="152" spans="3:15" x14ac:dyDescent="0.2">
      <c r="C152" s="3">
        <v>45790</v>
      </c>
      <c r="D152" s="6" t="s">
        <v>554</v>
      </c>
      <c r="E152" s="253" t="s">
        <v>60</v>
      </c>
      <c r="F152" s="58" t="s">
        <v>102</v>
      </c>
      <c r="G152">
        <v>30</v>
      </c>
      <c r="H152" s="392">
        <v>15705000</v>
      </c>
      <c r="I152" s="392">
        <v>15705000</v>
      </c>
      <c r="J152" s="90">
        <f>+SUMIFS(Tableau6[MONTANT HT],Tableau6[CLIENT],Tableau2[[#This Row],[NOM CLIENT]],Tableau6[N° BC],Tableau2[[#This Row],[ID BC UNIQUE]])-SUMIFS(Tableau6[MONTANT HT],Tableau6[CLIENT],Tableau2[[#This Row],[NOM CLIENT]],Tableau6[N° BC],Tableau2[[#This Row],[ID BC UNIQUE]])</f>
        <v>0</v>
      </c>
      <c r="K152" s="90">
        <f>Tableau2[[#This Row],[MONTANT HT VALIDE]]-Tableau2[[#This Row],[MONTANT HT FACTURE]]</f>
        <v>15705000</v>
      </c>
      <c r="L152" s="34">
        <f>+IFERROR(Tableau2[[#This Row],[MONTANT HT FACTURE]]/Tableau2[[#This Row],[MONTANT HT VALIDE]],0)</f>
        <v>0</v>
      </c>
      <c r="M15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52" t="str">
        <f>+IFERROR(INDEX(Tableau6[[ENTITE]:[N° BC]],MATCH(Tableau2[[#This Row],[ID BC UNIQUE]],Tableau6[N° BC],0),7),"")</f>
        <v>211R3002</v>
      </c>
      <c r="O152" t="str">
        <f>+IFERROR(INDEX(Tableau24[],MATCH(Tableau2[[#This Row],[CODE PROJET]],Tableau24[CODE PROJET],0),2),"")</f>
        <v>KOUTO-NIELLE-NBEMGUE_LOCATION EXTERNE</v>
      </c>
    </row>
    <row r="153" spans="3:15" x14ac:dyDescent="0.2">
      <c r="C153" s="3">
        <v>45790</v>
      </c>
      <c r="D153" s="6" t="s">
        <v>564</v>
      </c>
      <c r="E153" s="253" t="s">
        <v>60</v>
      </c>
      <c r="F153" s="58" t="s">
        <v>105</v>
      </c>
      <c r="H153" s="392">
        <v>1450710</v>
      </c>
      <c r="I153" s="392">
        <v>1450710</v>
      </c>
      <c r="J153" s="90">
        <f>+SUMIFS(Tableau6[MONTANT HT],Tableau6[CLIENT],Tableau2[[#This Row],[NOM CLIENT]],Tableau6[N° BC],Tableau2[[#This Row],[ID BC UNIQUE]])-SUMIFS(Tableau6[MONTANT HT],Tableau6[CLIENT],Tableau2[[#This Row],[NOM CLIENT]],Tableau6[N° BC],Tableau2[[#This Row],[ID BC UNIQUE]])</f>
        <v>0</v>
      </c>
      <c r="K153" s="90">
        <f>Tableau2[[#This Row],[MONTANT HT VALIDE]]-Tableau2[[#This Row],[MONTANT HT FACTURE]]</f>
        <v>1450710</v>
      </c>
      <c r="L153" s="34">
        <f>+IFERROR(Tableau2[[#This Row],[MONTANT HT FACTURE]]/Tableau2[[#This Row],[MONTANT HT VALIDE]],0)</f>
        <v>0</v>
      </c>
      <c r="M15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53" t="str">
        <f>+IFERROR(INDEX(Tableau6[[ENTITE]:[N° BC]],MATCH(Tableau2[[#This Row],[ID BC UNIQUE]],Tableau6[N° BC],0),7),"")</f>
        <v>LAGUNA GOLF</v>
      </c>
      <c r="O153" t="str">
        <f>+IFERROR(INDEX(Tableau24[],MATCH(Tableau2[[#This Row],[CODE PROJET]],Tableau24[CODE PROJET],0),2),"")</f>
        <v>LAGUNA GOLF</v>
      </c>
    </row>
    <row r="154" spans="3:15" x14ac:dyDescent="0.2">
      <c r="C154" s="3">
        <v>45796</v>
      </c>
      <c r="D154" s="6" t="s">
        <v>565</v>
      </c>
      <c r="E154" s="253" t="s">
        <v>60</v>
      </c>
      <c r="F154" s="58" t="s">
        <v>138</v>
      </c>
      <c r="G154">
        <v>30</v>
      </c>
      <c r="H154" s="392">
        <v>600000</v>
      </c>
      <c r="I154" s="392">
        <v>600000</v>
      </c>
      <c r="J154" s="90">
        <f>+SUMIFS(Tableau6[MONTANT HT],Tableau6[CLIENT],Tableau2[[#This Row],[NOM CLIENT]],Tableau6[N° BC],Tableau2[[#This Row],[ID BC UNIQUE]])-SUMIFS(Tableau6[MONTANT HT],Tableau6[CLIENT],Tableau2[[#This Row],[NOM CLIENT]],Tableau6[N° BC],Tableau2[[#This Row],[ID BC UNIQUE]])</f>
        <v>0</v>
      </c>
      <c r="K154" s="90">
        <f>Tableau2[[#This Row],[MONTANT HT VALIDE]]-Tableau2[[#This Row],[MONTANT HT FACTURE]]</f>
        <v>600000</v>
      </c>
      <c r="L154" s="34">
        <f>+IFERROR(Tableau2[[#This Row],[MONTANT HT FACTURE]]/Tableau2[[#This Row],[MONTANT HT VALIDE]],0)</f>
        <v>0</v>
      </c>
      <c r="M15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54" t="str">
        <f>+IFERROR(INDEX(Tableau6[[ENTITE]:[N° BC]],MATCH(Tableau2[[#This Row],[ID BC UNIQUE]],Tableau6[N° BC],0),7),"")</f>
        <v>006G4101</v>
      </c>
      <c r="O154" t="str">
        <f>+IFERROR(INDEX(Tableau24[],MATCH(Tableau2[[#This Row],[CODE PROJET]],Tableau24[CODE PROJET],0),2),"")</f>
        <v>ATELIER SONGON CHARGES ACT LOCAT°</v>
      </c>
    </row>
    <row r="155" spans="3:15" x14ac:dyDescent="0.2">
      <c r="C155" s="3">
        <v>45796</v>
      </c>
      <c r="D155" s="6" t="s">
        <v>566</v>
      </c>
      <c r="E155" s="253" t="s">
        <v>60</v>
      </c>
      <c r="F155" s="58" t="s">
        <v>138</v>
      </c>
      <c r="G155">
        <v>30</v>
      </c>
      <c r="H155" s="392">
        <v>3145000</v>
      </c>
      <c r="I155" s="392">
        <v>3145000</v>
      </c>
      <c r="J155" s="90">
        <f>+SUMIFS(Tableau6[MONTANT HT],Tableau6[CLIENT],Tableau2[[#This Row],[NOM CLIENT]],Tableau6[N° BC],Tableau2[[#This Row],[ID BC UNIQUE]])-SUMIFS(Tableau6[MONTANT HT],Tableau6[CLIENT],Tableau2[[#This Row],[NOM CLIENT]],Tableau6[N° BC],Tableau2[[#This Row],[ID BC UNIQUE]])</f>
        <v>0</v>
      </c>
      <c r="K155" s="90">
        <f>Tableau2[[#This Row],[MONTANT HT VALIDE]]-Tableau2[[#This Row],[MONTANT HT FACTURE]]</f>
        <v>3145000</v>
      </c>
      <c r="L155" s="34">
        <f>+IFERROR(Tableau2[[#This Row],[MONTANT HT FACTURE]]/Tableau2[[#This Row],[MONTANT HT VALIDE]],0)</f>
        <v>0</v>
      </c>
      <c r="M15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55" t="str">
        <f>+IFERROR(INDEX(Tableau6[[ENTITE]:[N° BC]],MATCH(Tableau2[[#This Row],[ID BC UNIQUE]],Tableau6[N° BC],0),7),"")</f>
        <v>016G4101</v>
      </c>
      <c r="O155" t="str">
        <f>+IFERROR(INDEX(Tableau24[],MATCH(Tableau2[[#This Row],[CODE PROJET]],Tableau24[CODE PROJET],0),2),"")</f>
        <v>ATELIER BINGERVILLE SM LOCATION EXTERNES</v>
      </c>
    </row>
    <row r="156" spans="3:15" x14ac:dyDescent="0.2">
      <c r="C156" s="3">
        <v>45796</v>
      </c>
      <c r="D156" s="6" t="s">
        <v>567</v>
      </c>
      <c r="E156" s="253" t="s">
        <v>60</v>
      </c>
      <c r="F156" s="58" t="s">
        <v>138</v>
      </c>
      <c r="G156">
        <v>30</v>
      </c>
      <c r="H156" s="392">
        <v>1250000</v>
      </c>
      <c r="I156" s="392">
        <v>1250000</v>
      </c>
      <c r="J156" s="90">
        <f>+SUMIFS(Tableau6[MONTANT HT],Tableau6[CLIENT],Tableau2[[#This Row],[NOM CLIENT]],Tableau6[N° BC],Tableau2[[#This Row],[ID BC UNIQUE]])-SUMIFS(Tableau6[MONTANT HT],Tableau6[CLIENT],Tableau2[[#This Row],[NOM CLIENT]],Tableau6[N° BC],Tableau2[[#This Row],[ID BC UNIQUE]])</f>
        <v>0</v>
      </c>
      <c r="K156" s="90">
        <f>Tableau2[[#This Row],[MONTANT HT VALIDE]]-Tableau2[[#This Row],[MONTANT HT FACTURE]]</f>
        <v>1250000</v>
      </c>
      <c r="L156" s="34">
        <f>+IFERROR(Tableau2[[#This Row],[MONTANT HT FACTURE]]/Tableau2[[#This Row],[MONTANT HT VALIDE]],0)</f>
        <v>0</v>
      </c>
      <c r="M15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56" t="str">
        <f>+IFERROR(INDEX(Tableau6[[ENTITE]:[N° BC]],MATCH(Tableau2[[#This Row],[ID BC UNIQUE]],Tableau6[N° BC],0),7),"")</f>
        <v>016G4101</v>
      </c>
      <c r="O156" t="str">
        <f>+IFERROR(INDEX(Tableau24[],MATCH(Tableau2[[#This Row],[CODE PROJET]],Tableau24[CODE PROJET],0),2),"")</f>
        <v>ATELIER BINGERVILLE SM LOCATION EXTERNES</v>
      </c>
    </row>
    <row r="157" spans="3:15" x14ac:dyDescent="0.2">
      <c r="C157" s="3">
        <v>45796</v>
      </c>
      <c r="D157" s="6" t="s">
        <v>568</v>
      </c>
      <c r="E157" s="253" t="s">
        <v>60</v>
      </c>
      <c r="F157" s="58" t="s">
        <v>138</v>
      </c>
      <c r="G157">
        <v>30</v>
      </c>
      <c r="H157" s="392">
        <v>578000</v>
      </c>
      <c r="I157" s="392">
        <v>578000</v>
      </c>
      <c r="J157" s="90">
        <f>+SUMIFS(Tableau6[MONTANT HT],Tableau6[CLIENT],Tableau2[[#This Row],[NOM CLIENT]],Tableau6[N° BC],Tableau2[[#This Row],[ID BC UNIQUE]])-SUMIFS(Tableau6[MONTANT HT],Tableau6[CLIENT],Tableau2[[#This Row],[NOM CLIENT]],Tableau6[N° BC],Tableau2[[#This Row],[ID BC UNIQUE]])</f>
        <v>0</v>
      </c>
      <c r="K157" s="90">
        <f>Tableau2[[#This Row],[MONTANT HT VALIDE]]-Tableau2[[#This Row],[MONTANT HT FACTURE]]</f>
        <v>578000</v>
      </c>
      <c r="L157" s="34">
        <f>+IFERROR(Tableau2[[#This Row],[MONTANT HT FACTURE]]/Tableau2[[#This Row],[MONTANT HT VALIDE]],0)</f>
        <v>0</v>
      </c>
      <c r="M15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57" t="str">
        <f>+IFERROR(INDEX(Tableau6[[ENTITE]:[N° BC]],MATCH(Tableau2[[#This Row],[ID BC UNIQUE]],Tableau6[N° BC],0),7),"")</f>
        <v>016G4101</v>
      </c>
      <c r="O157" t="str">
        <f>+IFERROR(INDEX(Tableau24[],MATCH(Tableau2[[#This Row],[CODE PROJET]],Tableau24[CODE PROJET],0),2),"")</f>
        <v>ATELIER BINGERVILLE SM LOCATION EXTERNES</v>
      </c>
    </row>
    <row r="158" spans="3:15" x14ac:dyDescent="0.2">
      <c r="C158" s="3">
        <v>45796</v>
      </c>
      <c r="D158" s="6" t="s">
        <v>569</v>
      </c>
      <c r="E158" s="253" t="s">
        <v>60</v>
      </c>
      <c r="F158" s="58" t="s">
        <v>138</v>
      </c>
      <c r="G158">
        <v>30</v>
      </c>
      <c r="H158" s="392">
        <v>200000</v>
      </c>
      <c r="I158" s="392">
        <v>200000</v>
      </c>
      <c r="J158" s="90">
        <f>+SUMIFS(Tableau6[MONTANT HT],Tableau6[CLIENT],Tableau2[[#This Row],[NOM CLIENT]],Tableau6[N° BC],Tableau2[[#This Row],[ID BC UNIQUE]])-SUMIFS(Tableau6[MONTANT HT],Tableau6[CLIENT],Tableau2[[#This Row],[NOM CLIENT]],Tableau6[N° BC],Tableau2[[#This Row],[ID BC UNIQUE]])</f>
        <v>0</v>
      </c>
      <c r="K158" s="90">
        <f>Tableau2[[#This Row],[MONTANT HT VALIDE]]-Tableau2[[#This Row],[MONTANT HT FACTURE]]</f>
        <v>200000</v>
      </c>
      <c r="L158" s="34">
        <f>+IFERROR(Tableau2[[#This Row],[MONTANT HT FACTURE]]/Tableau2[[#This Row],[MONTANT HT VALIDE]],0)</f>
        <v>0</v>
      </c>
      <c r="M15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58" t="str">
        <f>+IFERROR(INDEX(Tableau6[[ENTITE]:[N° BC]],MATCH(Tableau2[[#This Row],[ID BC UNIQUE]],Tableau6[N° BC],0),7),"")</f>
        <v>006G4101</v>
      </c>
      <c r="O158" t="str">
        <f>+IFERROR(INDEX(Tableau24[],MATCH(Tableau2[[#This Row],[CODE PROJET]],Tableau24[CODE PROJET],0),2),"")</f>
        <v>ATELIER SONGON CHARGES ACT LOCAT°</v>
      </c>
    </row>
    <row r="159" spans="3:15" x14ac:dyDescent="0.2">
      <c r="C159" s="3">
        <v>45798</v>
      </c>
      <c r="D159" s="6" t="s">
        <v>446</v>
      </c>
      <c r="E159" s="253" t="s">
        <v>60</v>
      </c>
      <c r="F159" s="58" t="s">
        <v>138</v>
      </c>
      <c r="G159">
        <v>30</v>
      </c>
      <c r="H159" s="392">
        <v>4800000</v>
      </c>
      <c r="I159" s="156">
        <v>4800000</v>
      </c>
      <c r="J159" s="90">
        <f>+SUMIFS(Tableau6[MONTANT HT],Tableau6[CLIENT],Tableau2[[#This Row],[NOM CLIENT]],Tableau6[N° BC],Tableau2[[#This Row],[ID BC UNIQUE]])-SUMIFS(Tableau6[MONTANT HT],Tableau6[CLIENT],Tableau2[[#This Row],[NOM CLIENT]],Tableau6[N° BC],Tableau2[[#This Row],[ID BC UNIQUE]])</f>
        <v>0</v>
      </c>
      <c r="K159" s="90">
        <f>Tableau2[[#This Row],[MONTANT HT VALIDE]]-Tableau2[[#This Row],[MONTANT HT FACTURE]]</f>
        <v>4800000</v>
      </c>
      <c r="L159" s="34">
        <f>+IFERROR(Tableau2[[#This Row],[MONTANT HT FACTURE]]/Tableau2[[#This Row],[MONTANT HT VALIDE]],0)</f>
        <v>0</v>
      </c>
      <c r="M15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59" t="str">
        <f>+IFERROR(INDEX(Tableau6[[ENTITE]:[N° BC]],MATCH(Tableau2[[#This Row],[ID BC UNIQUE]],Tableau6[N° BC],0),7),"")</f>
        <v>257B0003</v>
      </c>
      <c r="O159" t="str">
        <f>+IFERROR(INDEX(Tableau24[],MATCH(Tableau2[[#This Row],[CODE PROJET]],Tableau24[CODE PROJET],0),2),"")</f>
        <v>COMPLEXE RES KONG GLE INST CHANT</v>
      </c>
    </row>
    <row r="160" spans="3:15" x14ac:dyDescent="0.2">
      <c r="C160" s="3">
        <v>45798</v>
      </c>
      <c r="D160" s="6" t="s">
        <v>570</v>
      </c>
      <c r="E160" s="253" t="s">
        <v>60</v>
      </c>
      <c r="F160" s="58" t="s">
        <v>138</v>
      </c>
      <c r="G160">
        <v>30</v>
      </c>
      <c r="H160" s="392">
        <v>16875009</v>
      </c>
      <c r="I160" s="392">
        <v>16875009</v>
      </c>
      <c r="J160" s="90">
        <f>+SUMIFS(Tableau6[MONTANT HT],Tableau6[CLIENT],Tableau2[[#This Row],[NOM CLIENT]],Tableau6[N° BC],Tableau2[[#This Row],[ID BC UNIQUE]])-SUMIFS(Tableau6[MONTANT HT],Tableau6[CLIENT],Tableau2[[#This Row],[NOM CLIENT]],Tableau6[N° BC],Tableau2[[#This Row],[ID BC UNIQUE]])</f>
        <v>0</v>
      </c>
      <c r="K160" s="90">
        <f>Tableau2[[#This Row],[MONTANT HT VALIDE]]-Tableau2[[#This Row],[MONTANT HT FACTURE]]</f>
        <v>16875009</v>
      </c>
      <c r="L160" s="34">
        <f>+IFERROR(Tableau2[[#This Row],[MONTANT HT FACTURE]]/Tableau2[[#This Row],[MONTANT HT VALIDE]],0)</f>
        <v>0</v>
      </c>
      <c r="M16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60" t="str">
        <f>+IFERROR(INDEX(Tableau6[[ENTITE]:[N° BC]],MATCH(Tableau2[[#This Row],[ID BC UNIQUE]],Tableau6[N° BC],0),7),"")</f>
        <v>011G4101</v>
      </c>
      <c r="O160" t="str">
        <f>+IFERROR(INDEX(Tableau24[],MATCH(Tableau2[[#This Row],[CODE PROJET]],Tableau24[CODE PROJET],0),2),"")</f>
        <v>ATELIER DABAKALA CHARGRES ACT LOC E</v>
      </c>
    </row>
    <row r="161" spans="3:15" x14ac:dyDescent="0.2">
      <c r="C161" s="3">
        <v>45798</v>
      </c>
      <c r="D161" s="6" t="s">
        <v>571</v>
      </c>
      <c r="E161" s="253" t="s">
        <v>60</v>
      </c>
      <c r="F161" s="58" t="s">
        <v>138</v>
      </c>
      <c r="G161">
        <v>30</v>
      </c>
      <c r="H161" s="392">
        <v>44390000</v>
      </c>
      <c r="I161" s="392">
        <v>44390000</v>
      </c>
      <c r="J161" s="90">
        <f>+SUMIFS(Tableau6[MONTANT HT],Tableau6[CLIENT],Tableau2[[#This Row],[NOM CLIENT]],Tableau6[N° BC],Tableau2[[#This Row],[ID BC UNIQUE]])-SUMIFS(Tableau6[MONTANT HT],Tableau6[CLIENT],Tableau2[[#This Row],[NOM CLIENT]],Tableau6[N° BC],Tableau2[[#This Row],[ID BC UNIQUE]])</f>
        <v>0</v>
      </c>
      <c r="K161" s="90">
        <f>Tableau2[[#This Row],[MONTANT HT VALIDE]]-Tableau2[[#This Row],[MONTANT HT FACTURE]]</f>
        <v>44390000</v>
      </c>
      <c r="L161" s="34">
        <f>+IFERROR(Tableau2[[#This Row],[MONTANT HT FACTURE]]/Tableau2[[#This Row],[MONTANT HT VALIDE]],0)</f>
        <v>0</v>
      </c>
      <c r="M16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61" t="str">
        <f>+IFERROR(INDEX(Tableau6[[ENTITE]:[N° BC]],MATCH(Tableau2[[#This Row],[ID BC UNIQUE]],Tableau6[N° BC],0),7),"")</f>
        <v>017G4101</v>
      </c>
      <c r="O161" t="str">
        <f>+IFERROR(INDEX(Tableau24[],MATCH(Tableau2[[#This Row],[CODE PROJET]],Tableau24[CODE PROJET],0),2),"")</f>
        <v>ATELIER PETIT NASS. KT SM LOCAT°</v>
      </c>
    </row>
    <row r="162" spans="3:15" x14ac:dyDescent="0.2">
      <c r="C162" s="3">
        <v>45798</v>
      </c>
      <c r="D162" s="6" t="s">
        <v>572</v>
      </c>
      <c r="E162" s="253" t="s">
        <v>60</v>
      </c>
      <c r="F162" s="58" t="s">
        <v>138</v>
      </c>
      <c r="G162">
        <v>30</v>
      </c>
      <c r="H162" s="392">
        <v>40935000</v>
      </c>
      <c r="I162" s="392">
        <v>40935000</v>
      </c>
      <c r="J162" s="90">
        <f>+SUMIFS(Tableau6[MONTANT HT],Tableau6[CLIENT],Tableau2[[#This Row],[NOM CLIENT]],Tableau6[N° BC],Tableau2[[#This Row],[ID BC UNIQUE]])-SUMIFS(Tableau6[MONTANT HT],Tableau6[CLIENT],Tableau2[[#This Row],[NOM CLIENT]],Tableau6[N° BC],Tableau2[[#This Row],[ID BC UNIQUE]])</f>
        <v>0</v>
      </c>
      <c r="K162" s="90">
        <f>Tableau2[[#This Row],[MONTANT HT VALIDE]]-Tableau2[[#This Row],[MONTANT HT FACTURE]]</f>
        <v>40935000</v>
      </c>
      <c r="L162" s="34">
        <f>+IFERROR(Tableau2[[#This Row],[MONTANT HT FACTURE]]/Tableau2[[#This Row],[MONTANT HT VALIDE]],0)</f>
        <v>0</v>
      </c>
      <c r="M16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62" t="str">
        <f>+IFERROR(INDEX(Tableau6[[ENTITE]:[N° BC]],MATCH(Tableau2[[#This Row],[ID BC UNIQUE]],Tableau6[N° BC],0),7),"")</f>
        <v>017G4101</v>
      </c>
      <c r="O162" t="str">
        <f>+IFERROR(INDEX(Tableau24[],MATCH(Tableau2[[#This Row],[CODE PROJET]],Tableau24[CODE PROJET],0),2),"")</f>
        <v>ATELIER PETIT NASS. KT SM LOCAT°</v>
      </c>
    </row>
    <row r="163" spans="3:15" x14ac:dyDescent="0.2">
      <c r="C163" s="3">
        <v>45798</v>
      </c>
      <c r="D163" s="6" t="s">
        <v>576</v>
      </c>
      <c r="E163" s="253" t="s">
        <v>60</v>
      </c>
      <c r="F163" s="58" t="s">
        <v>138</v>
      </c>
      <c r="G163">
        <v>30</v>
      </c>
      <c r="H163" s="392">
        <v>2500000</v>
      </c>
      <c r="I163" s="392">
        <v>2500000</v>
      </c>
      <c r="J163" s="90">
        <f>+SUMIFS(Tableau6[MONTANT HT],Tableau6[CLIENT],Tableau2[[#This Row],[NOM CLIENT]],Tableau6[N° BC],Tableau2[[#This Row],[ID BC UNIQUE]])-SUMIFS(Tableau6[MONTANT HT],Tableau6[CLIENT],Tableau2[[#This Row],[NOM CLIENT]],Tableau6[N° BC],Tableau2[[#This Row],[ID BC UNIQUE]])</f>
        <v>0</v>
      </c>
      <c r="K163" s="90">
        <f>Tableau2[[#This Row],[MONTANT HT VALIDE]]-Tableau2[[#This Row],[MONTANT HT FACTURE]]</f>
        <v>2500000</v>
      </c>
      <c r="L163" s="34">
        <f>+IFERROR(Tableau2[[#This Row],[MONTANT HT FACTURE]]/Tableau2[[#This Row],[MONTANT HT VALIDE]],0)</f>
        <v>0</v>
      </c>
      <c r="M16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63" t="str">
        <f>+IFERROR(INDEX(Tableau6[[ENTITE]:[N° BC]],MATCH(Tableau2[[#This Row],[ID BC UNIQUE]],Tableau6[N° BC],0),7),"")</f>
        <v>016G4101</v>
      </c>
      <c r="O163" t="str">
        <f>+IFERROR(INDEX(Tableau24[],MATCH(Tableau2[[#This Row],[CODE PROJET]],Tableau24[CODE PROJET],0),2),"")</f>
        <v>ATELIER BINGERVILLE SM LOCATION EXTERNES</v>
      </c>
    </row>
    <row r="164" spans="3:15" x14ac:dyDescent="0.2">
      <c r="C164" s="3">
        <v>45799</v>
      </c>
      <c r="D164" s="6" t="s">
        <v>573</v>
      </c>
      <c r="E164" s="253" t="s">
        <v>60</v>
      </c>
      <c r="F164" s="58" t="s">
        <v>138</v>
      </c>
      <c r="G164">
        <v>30</v>
      </c>
      <c r="H164" s="392">
        <v>5075000</v>
      </c>
      <c r="I164" s="392">
        <v>5075000</v>
      </c>
      <c r="J164" s="90">
        <f>+SUMIFS(Tableau6[MONTANT HT],Tableau6[CLIENT],Tableau2[[#This Row],[NOM CLIENT]],Tableau6[N° BC],Tableau2[[#This Row],[ID BC UNIQUE]])-SUMIFS(Tableau6[MONTANT HT],Tableau6[CLIENT],Tableau2[[#This Row],[NOM CLIENT]],Tableau6[N° BC],Tableau2[[#This Row],[ID BC UNIQUE]])</f>
        <v>0</v>
      </c>
      <c r="K164" s="90">
        <f>Tableau2[[#This Row],[MONTANT HT VALIDE]]-Tableau2[[#This Row],[MONTANT HT FACTURE]]</f>
        <v>5075000</v>
      </c>
      <c r="L164" s="34">
        <f>+IFERROR(Tableau2[[#This Row],[MONTANT HT FACTURE]]/Tableau2[[#This Row],[MONTANT HT VALIDE]],0)</f>
        <v>0</v>
      </c>
      <c r="M16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64" t="str">
        <f>+IFERROR(INDEX(Tableau6[[ENTITE]:[N° BC]],MATCH(Tableau2[[#This Row],[ID BC UNIQUE]],Tableau6[N° BC],0),7),"")</f>
        <v>010G4101</v>
      </c>
      <c r="O164" t="str">
        <f>+IFERROR(INDEX(Tableau24[],MATCH(Tableau2[[#This Row],[CODE PROJET]],Tableau24[CODE PROJET],0),2),"")</f>
        <v>ATELIER COTIERE CHARGES ACT LOCAT° EXT</v>
      </c>
    </row>
    <row r="165" spans="3:15" x14ac:dyDescent="0.2">
      <c r="C165" s="3">
        <v>45799</v>
      </c>
      <c r="D165" s="6" t="s">
        <v>574</v>
      </c>
      <c r="E165" s="253" t="s">
        <v>60</v>
      </c>
      <c r="F165" s="58" t="s">
        <v>138</v>
      </c>
      <c r="G165">
        <v>30</v>
      </c>
      <c r="H165" s="392">
        <v>1425000</v>
      </c>
      <c r="I165" s="392">
        <v>1425000</v>
      </c>
      <c r="J165" s="90">
        <f>+SUMIFS(Tableau6[MONTANT HT],Tableau6[CLIENT],Tableau2[[#This Row],[NOM CLIENT]],Tableau6[N° BC],Tableau2[[#This Row],[ID BC UNIQUE]])-SUMIFS(Tableau6[MONTANT HT],Tableau6[CLIENT],Tableau2[[#This Row],[NOM CLIENT]],Tableau6[N° BC],Tableau2[[#This Row],[ID BC UNIQUE]])</f>
        <v>0</v>
      </c>
      <c r="K165" s="90">
        <f>Tableau2[[#This Row],[MONTANT HT VALIDE]]-Tableau2[[#This Row],[MONTANT HT FACTURE]]</f>
        <v>1425000</v>
      </c>
      <c r="L165" s="34">
        <f>+IFERROR(Tableau2[[#This Row],[MONTANT HT FACTURE]]/Tableau2[[#This Row],[MONTANT HT VALIDE]],0)</f>
        <v>0</v>
      </c>
      <c r="M16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65" t="str">
        <f>+IFERROR(INDEX(Tableau6[[ENTITE]:[N° BC]],MATCH(Tableau2[[#This Row],[ID BC UNIQUE]],Tableau6[N° BC],0),7),"")</f>
        <v>006G4101</v>
      </c>
      <c r="O165" t="str">
        <f>+IFERROR(INDEX(Tableau24[],MATCH(Tableau2[[#This Row],[CODE PROJET]],Tableau24[CODE PROJET],0),2),"")</f>
        <v>ATELIER SONGON CHARGES ACT LOCAT°</v>
      </c>
    </row>
    <row r="166" spans="3:15" x14ac:dyDescent="0.2">
      <c r="C166" s="3">
        <v>45803</v>
      </c>
      <c r="D166" s="6" t="s">
        <v>582</v>
      </c>
      <c r="E166" s="253" t="s">
        <v>60</v>
      </c>
      <c r="F166" s="58" t="s">
        <v>138</v>
      </c>
      <c r="G166">
        <v>30</v>
      </c>
      <c r="H166" s="392">
        <v>8100015.2542372886</v>
      </c>
      <c r="I166" s="392">
        <v>8100015.2542372886</v>
      </c>
      <c r="J166" s="90">
        <f>+SUMIFS(Tableau6[MONTANT HT],Tableau6[CLIENT],Tableau2[[#This Row],[NOM CLIENT]],Tableau6[N° BC],Tableau2[[#This Row],[ID BC UNIQUE]])-SUMIFS(Tableau6[MONTANT HT],Tableau6[CLIENT],Tableau2[[#This Row],[NOM CLIENT]],Tableau6[N° BC],Tableau2[[#This Row],[ID BC UNIQUE]])</f>
        <v>0</v>
      </c>
      <c r="K166" s="90">
        <f>Tableau2[[#This Row],[MONTANT HT VALIDE]]-Tableau2[[#This Row],[MONTANT HT FACTURE]]</f>
        <v>8100015.2542372886</v>
      </c>
      <c r="L166" s="34">
        <f>+IFERROR(Tableau2[[#This Row],[MONTANT HT FACTURE]]/Tableau2[[#This Row],[MONTANT HT VALIDE]],0)</f>
        <v>0</v>
      </c>
      <c r="M16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66" t="str">
        <f>+IFERROR(INDEX(Tableau6[[ENTITE]:[N° BC]],MATCH(Tableau2[[#This Row],[ID BC UNIQUE]],Tableau6[N° BC],0),7),"")</f>
        <v>015G4101</v>
      </c>
      <c r="O166" t="str">
        <f>+IFERROR(INDEX(Tableau24[],MATCH(Tableau2[[#This Row],[CODE PROJET]],Tableau24[CODE PROJET],0),2),"")</f>
        <v>ATELIER KONG CHARGE ACT LOCAT° EXT</v>
      </c>
    </row>
    <row r="167" spans="3:15" x14ac:dyDescent="0.2">
      <c r="C167" s="3">
        <v>45804</v>
      </c>
      <c r="D167" s="6" t="s">
        <v>577</v>
      </c>
      <c r="E167" s="253" t="s">
        <v>60</v>
      </c>
      <c r="F167" s="58" t="s">
        <v>138</v>
      </c>
      <c r="G167">
        <v>30</v>
      </c>
      <c r="H167" s="392">
        <v>8600000</v>
      </c>
      <c r="I167" s="392">
        <v>8600000</v>
      </c>
      <c r="J167" s="90">
        <f>+SUMIFS(Tableau6[MONTANT HT],Tableau6[CLIENT],Tableau2[[#This Row],[NOM CLIENT]],Tableau6[N° BC],Tableau2[[#This Row],[ID BC UNIQUE]])-SUMIFS(Tableau6[MONTANT HT],Tableau6[CLIENT],Tableau2[[#This Row],[NOM CLIENT]],Tableau6[N° BC],Tableau2[[#This Row],[ID BC UNIQUE]])</f>
        <v>0</v>
      </c>
      <c r="K167" s="90">
        <f>Tableau2[[#This Row],[MONTANT HT VALIDE]]-Tableau2[[#This Row],[MONTANT HT FACTURE]]</f>
        <v>8600000</v>
      </c>
      <c r="L167" s="34">
        <f>+IFERROR(Tableau2[[#This Row],[MONTANT HT FACTURE]]/Tableau2[[#This Row],[MONTANT HT VALIDE]],0)</f>
        <v>0</v>
      </c>
      <c r="M16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67" t="str">
        <f>+IFERROR(INDEX(Tableau6[[ENTITE]:[N° BC]],MATCH(Tableau2[[#This Row],[ID BC UNIQUE]],Tableau6[N° BC],0),7),"")</f>
        <v>006G4101</v>
      </c>
      <c r="O167" t="str">
        <f>+IFERROR(INDEX(Tableau24[],MATCH(Tableau2[[#This Row],[CODE PROJET]],Tableau24[CODE PROJET],0),2),"")</f>
        <v>ATELIER SONGON CHARGES ACT LOCAT°</v>
      </c>
    </row>
    <row r="168" spans="3:15" x14ac:dyDescent="0.2">
      <c r="C168" s="3">
        <v>45804</v>
      </c>
      <c r="D168" s="6" t="s">
        <v>583</v>
      </c>
      <c r="E168" s="253" t="s">
        <v>60</v>
      </c>
      <c r="F168" s="58" t="s">
        <v>138</v>
      </c>
      <c r="G168">
        <v>30</v>
      </c>
      <c r="H168" s="392">
        <v>4810008.4745762711</v>
      </c>
      <c r="I168" s="392">
        <v>4810008.4745762711</v>
      </c>
      <c r="J168" s="90">
        <f>+SUMIFS(Tableau6[MONTANT HT],Tableau6[CLIENT],Tableau2[[#This Row],[NOM CLIENT]],Tableau6[N° BC],Tableau2[[#This Row],[ID BC UNIQUE]])-SUMIFS(Tableau6[MONTANT HT],Tableau6[CLIENT],Tableau2[[#This Row],[NOM CLIENT]],Tableau6[N° BC],Tableau2[[#This Row],[ID BC UNIQUE]])</f>
        <v>0</v>
      </c>
      <c r="K168" s="90">
        <f>Tableau2[[#This Row],[MONTANT HT VALIDE]]-Tableau2[[#This Row],[MONTANT HT FACTURE]]</f>
        <v>4810008.4745762711</v>
      </c>
      <c r="L168" s="34">
        <f>+IFERROR(Tableau2[[#This Row],[MONTANT HT FACTURE]]/Tableau2[[#This Row],[MONTANT HT VALIDE]],0)</f>
        <v>0</v>
      </c>
      <c r="M16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68" t="str">
        <f>+IFERROR(INDEX(Tableau6[[ENTITE]:[N° BC]],MATCH(Tableau2[[#This Row],[ID BC UNIQUE]],Tableau6[N° BC],0),7),"")</f>
        <v>011G4101</v>
      </c>
      <c r="O168" t="str">
        <f>+IFERROR(INDEX(Tableau24[],MATCH(Tableau2[[#This Row],[CODE PROJET]],Tableau24[CODE PROJET],0),2),"")</f>
        <v>ATELIER DABAKALA CHARGRES ACT LOC E</v>
      </c>
    </row>
    <row r="169" spans="3:15" x14ac:dyDescent="0.2">
      <c r="C169" s="3">
        <v>45805</v>
      </c>
      <c r="D169" s="6" t="s">
        <v>578</v>
      </c>
      <c r="E169" s="253" t="s">
        <v>60</v>
      </c>
      <c r="F169" s="58" t="s">
        <v>138</v>
      </c>
      <c r="G169">
        <v>30</v>
      </c>
      <c r="H169" s="392">
        <v>3500000</v>
      </c>
      <c r="I169" s="392">
        <v>3500000</v>
      </c>
      <c r="J169" s="90">
        <f>+SUMIFS(Tableau6[MONTANT HT],Tableau6[CLIENT],Tableau2[[#This Row],[NOM CLIENT]],Tableau6[N° BC],Tableau2[[#This Row],[ID BC UNIQUE]])-SUMIFS(Tableau6[MONTANT HT],Tableau6[CLIENT],Tableau2[[#This Row],[NOM CLIENT]],Tableau6[N° BC],Tableau2[[#This Row],[ID BC UNIQUE]])</f>
        <v>0</v>
      </c>
      <c r="K169" s="90">
        <f>Tableau2[[#This Row],[MONTANT HT VALIDE]]-Tableau2[[#This Row],[MONTANT HT FACTURE]]</f>
        <v>3500000</v>
      </c>
      <c r="L169" s="34">
        <f>+IFERROR(Tableau2[[#This Row],[MONTANT HT FACTURE]]/Tableau2[[#This Row],[MONTANT HT VALIDE]],0)</f>
        <v>0</v>
      </c>
      <c r="M16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69" t="str">
        <f>+IFERROR(INDEX(Tableau6[[ENTITE]:[N° BC]],MATCH(Tableau2[[#This Row],[ID BC UNIQUE]],Tableau6[N° BC],0),7),"")</f>
        <v>010G4101</v>
      </c>
      <c r="O169" t="str">
        <f>+IFERROR(INDEX(Tableau24[],MATCH(Tableau2[[#This Row],[CODE PROJET]],Tableau24[CODE PROJET],0),2),"")</f>
        <v>ATELIER COTIERE CHARGES ACT LOCAT° EXT</v>
      </c>
    </row>
    <row r="170" spans="3:15" x14ac:dyDescent="0.2">
      <c r="C170" s="3">
        <v>45805</v>
      </c>
      <c r="D170" s="6" t="s">
        <v>585</v>
      </c>
      <c r="E170" s="253" t="s">
        <v>60</v>
      </c>
      <c r="F170" s="58" t="s">
        <v>138</v>
      </c>
      <c r="G170">
        <v>30</v>
      </c>
      <c r="H170" s="392">
        <v>14980015.254237289</v>
      </c>
      <c r="I170" s="392">
        <v>14980015.254237289</v>
      </c>
      <c r="J170" s="90">
        <f>+SUMIFS(Tableau6[MONTANT HT],Tableau6[CLIENT],Tableau2[[#This Row],[NOM CLIENT]],Tableau6[N° BC],Tableau2[[#This Row],[ID BC UNIQUE]])-SUMIFS(Tableau6[MONTANT HT],Tableau6[CLIENT],Tableau2[[#This Row],[NOM CLIENT]],Tableau6[N° BC],Tableau2[[#This Row],[ID BC UNIQUE]])</f>
        <v>0</v>
      </c>
      <c r="K170" s="90">
        <f>Tableau2[[#This Row],[MONTANT HT VALIDE]]-Tableau2[[#This Row],[MONTANT HT FACTURE]]</f>
        <v>14980015.254237289</v>
      </c>
      <c r="L170" s="34">
        <f>+IFERROR(Tableau2[[#This Row],[MONTANT HT FACTURE]]/Tableau2[[#This Row],[MONTANT HT VALIDE]],0)</f>
        <v>0</v>
      </c>
      <c r="M17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70" t="str">
        <f>+IFERROR(INDEX(Tableau6[[ENTITE]:[N° BC]],MATCH(Tableau2[[#This Row],[ID BC UNIQUE]],Tableau6[N° BC],0),7),"")</f>
        <v>015G4101</v>
      </c>
      <c r="O170" t="str">
        <f>+IFERROR(INDEX(Tableau24[],MATCH(Tableau2[[#This Row],[CODE PROJET]],Tableau24[CODE PROJET],0),2),"")</f>
        <v>ATELIER KONG CHARGE ACT LOCAT° EXT</v>
      </c>
    </row>
    <row r="171" spans="3:15" x14ac:dyDescent="0.2">
      <c r="C171" s="3">
        <v>45812</v>
      </c>
      <c r="D171" s="6" t="s">
        <v>581</v>
      </c>
      <c r="E171" s="253" t="s">
        <v>60</v>
      </c>
      <c r="F171" s="58" t="s">
        <v>138</v>
      </c>
      <c r="G171">
        <v>30</v>
      </c>
      <c r="H171" s="392">
        <v>10640000</v>
      </c>
      <c r="I171" s="392">
        <v>10640000</v>
      </c>
      <c r="J171" s="90">
        <f>+SUMIFS(Tableau6[MONTANT HT],Tableau6[CLIENT],Tableau2[[#This Row],[NOM CLIENT]],Tableau6[N° BC],Tableau2[[#This Row],[ID BC UNIQUE]])-SUMIFS(Tableau6[MONTANT HT],Tableau6[CLIENT],Tableau2[[#This Row],[NOM CLIENT]],Tableau6[N° BC],Tableau2[[#This Row],[ID BC UNIQUE]])</f>
        <v>0</v>
      </c>
      <c r="K171" s="90">
        <f>Tableau2[[#This Row],[MONTANT HT VALIDE]]-Tableau2[[#This Row],[MONTANT HT FACTURE]]</f>
        <v>10640000</v>
      </c>
      <c r="L171" s="34">
        <f>+IFERROR(Tableau2[[#This Row],[MONTANT HT FACTURE]]/Tableau2[[#This Row],[MONTANT HT VALIDE]],0)</f>
        <v>0</v>
      </c>
      <c r="M17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71" t="str">
        <f>+IFERROR(INDEX(Tableau6[[ENTITE]:[N° BC]],MATCH(Tableau2[[#This Row],[ID BC UNIQUE]],Tableau6[N° BC],0),7),"")</f>
        <v>018G4101</v>
      </c>
      <c r="O171" t="str">
        <f>+IFERROR(INDEX(Tableau24[],MATCH(Tableau2[[#This Row],[CODE PROJET]],Tableau24[CODE PROJET],0),2),"")</f>
        <v>ATELIER KORHOGO SM LOCATION EXTERNES</v>
      </c>
    </row>
    <row r="172" spans="3:15" x14ac:dyDescent="0.2">
      <c r="C172" s="3">
        <v>45812</v>
      </c>
      <c r="D172" s="6" t="s">
        <v>584</v>
      </c>
      <c r="E172" s="253" t="s">
        <v>60</v>
      </c>
      <c r="F172" s="58" t="s">
        <v>138</v>
      </c>
      <c r="G172">
        <v>30</v>
      </c>
      <c r="H172" s="392">
        <v>4680000</v>
      </c>
      <c r="I172" s="392">
        <v>4680000</v>
      </c>
      <c r="J172" s="90">
        <f>+SUMIFS(Tableau6[MONTANT HT],Tableau6[CLIENT],Tableau2[[#This Row],[NOM CLIENT]],Tableau6[N° BC],Tableau2[[#This Row],[ID BC UNIQUE]])-SUMIFS(Tableau6[MONTANT HT],Tableau6[CLIENT],Tableau2[[#This Row],[NOM CLIENT]],Tableau6[N° BC],Tableau2[[#This Row],[ID BC UNIQUE]])</f>
        <v>0</v>
      </c>
      <c r="K172" s="90">
        <f>Tableau2[[#This Row],[MONTANT HT VALIDE]]-Tableau2[[#This Row],[MONTANT HT FACTURE]]</f>
        <v>4680000</v>
      </c>
      <c r="L172" s="34">
        <f>+IFERROR(Tableau2[[#This Row],[MONTANT HT FACTURE]]/Tableau2[[#This Row],[MONTANT HT VALIDE]],0)</f>
        <v>0</v>
      </c>
      <c r="M17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72" t="str">
        <f>+IFERROR(INDEX(Tableau6[[ENTITE]:[N° BC]],MATCH(Tableau2[[#This Row],[ID BC UNIQUE]],Tableau6[N° BC],0),7),"")</f>
        <v>018G4101</v>
      </c>
      <c r="O172" t="str">
        <f>+IFERROR(INDEX(Tableau24[],MATCH(Tableau2[[#This Row],[CODE PROJET]],Tableau24[CODE PROJET],0),2),"")</f>
        <v>ATELIER KORHOGO SM LOCATION EXTERNES</v>
      </c>
    </row>
    <row r="173" spans="3:15" x14ac:dyDescent="0.2">
      <c r="C173" s="3">
        <v>45818</v>
      </c>
      <c r="D173" s="6" t="s">
        <v>589</v>
      </c>
      <c r="E173" s="253" t="s">
        <v>60</v>
      </c>
      <c r="F173" s="58" t="s">
        <v>138</v>
      </c>
      <c r="G173">
        <v>30</v>
      </c>
      <c r="H173" s="392">
        <v>4725000</v>
      </c>
      <c r="I173" s="392">
        <v>4725000</v>
      </c>
      <c r="J173" s="90">
        <f>+SUMIFS(Tableau6[MONTANT HT],Tableau6[CLIENT],Tableau2[[#This Row],[NOM CLIENT]],Tableau6[N° BC],Tableau2[[#This Row],[ID BC UNIQUE]])-SUMIFS(Tableau6[MONTANT HT],Tableau6[CLIENT],Tableau2[[#This Row],[NOM CLIENT]],Tableau6[N° BC],Tableau2[[#This Row],[ID BC UNIQUE]])</f>
        <v>0</v>
      </c>
      <c r="K173" s="90">
        <f>Tableau2[[#This Row],[MONTANT HT VALIDE]]-Tableau2[[#This Row],[MONTANT HT FACTURE]]</f>
        <v>4725000</v>
      </c>
      <c r="L173" s="34">
        <f>+IFERROR(Tableau2[[#This Row],[MONTANT HT FACTURE]]/Tableau2[[#This Row],[MONTANT HT VALIDE]],0)</f>
        <v>0</v>
      </c>
      <c r="M17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73" t="str">
        <f>+IFERROR(INDEX(Tableau6[[ENTITE]:[N° BC]],MATCH(Tableau2[[#This Row],[ID BC UNIQUE]],Tableau6[N° BC],0),7),"")</f>
        <v>010G4101</v>
      </c>
      <c r="O173" t="str">
        <f>+IFERROR(INDEX(Tableau24[],MATCH(Tableau2[[#This Row],[CODE PROJET]],Tableau24[CODE PROJET],0),2),"")</f>
        <v>ATELIER COTIERE CHARGES ACT LOCAT° EXT</v>
      </c>
    </row>
    <row r="174" spans="3:15" x14ac:dyDescent="0.2">
      <c r="C174" s="3">
        <v>45824</v>
      </c>
      <c r="D174" s="6" t="s">
        <v>586</v>
      </c>
      <c r="E174" s="253" t="s">
        <v>60</v>
      </c>
      <c r="F174" s="58" t="s">
        <v>138</v>
      </c>
      <c r="G174">
        <v>30</v>
      </c>
      <c r="H174" s="392">
        <v>10640000</v>
      </c>
      <c r="I174" s="392">
        <v>10640000</v>
      </c>
      <c r="J174" s="90">
        <f>+SUMIFS(Tableau6[MONTANT HT],Tableau6[CLIENT],Tableau2[[#This Row],[NOM CLIENT]],Tableau6[N° BC],Tableau2[[#This Row],[ID BC UNIQUE]])-SUMIFS(Tableau6[MONTANT HT],Tableau6[CLIENT],Tableau2[[#This Row],[NOM CLIENT]],Tableau6[N° BC],Tableau2[[#This Row],[ID BC UNIQUE]])</f>
        <v>0</v>
      </c>
      <c r="K174" s="90">
        <f>Tableau2[[#This Row],[MONTANT HT VALIDE]]-Tableau2[[#This Row],[MONTANT HT FACTURE]]</f>
        <v>10640000</v>
      </c>
      <c r="L174" s="34">
        <f>+IFERROR(Tableau2[[#This Row],[MONTANT HT FACTURE]]/Tableau2[[#This Row],[MONTANT HT VALIDE]],0)</f>
        <v>0</v>
      </c>
      <c r="M17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74" t="str">
        <f>+IFERROR(INDEX(Tableau6[[ENTITE]:[N° BC]],MATCH(Tableau2[[#This Row],[ID BC UNIQUE]],Tableau6[N° BC],0),7),"")</f>
        <v>018G4101</v>
      </c>
      <c r="O174" t="str">
        <f>+IFERROR(INDEX(Tableau24[],MATCH(Tableau2[[#This Row],[CODE PROJET]],Tableau24[CODE PROJET],0),2),"")</f>
        <v>ATELIER KORHOGO SM LOCATION EXTERNES</v>
      </c>
    </row>
    <row r="175" spans="3:15" x14ac:dyDescent="0.2">
      <c r="C175" s="3">
        <v>45824</v>
      </c>
      <c r="D175" s="6" t="s">
        <v>587</v>
      </c>
      <c r="E175" s="253" t="s">
        <v>60</v>
      </c>
      <c r="F175" s="58" t="s">
        <v>138</v>
      </c>
      <c r="G175">
        <v>30</v>
      </c>
      <c r="H175" s="392">
        <v>400000</v>
      </c>
      <c r="I175" s="392">
        <v>400000</v>
      </c>
      <c r="J175" s="90">
        <f>+SUMIFS(Tableau6[MONTANT HT],Tableau6[CLIENT],Tableau2[[#This Row],[NOM CLIENT]],Tableau6[N° BC],Tableau2[[#This Row],[ID BC UNIQUE]])-SUMIFS(Tableau6[MONTANT HT],Tableau6[CLIENT],Tableau2[[#This Row],[NOM CLIENT]],Tableau6[N° BC],Tableau2[[#This Row],[ID BC UNIQUE]])</f>
        <v>0</v>
      </c>
      <c r="K175" s="90">
        <f>Tableau2[[#This Row],[MONTANT HT VALIDE]]-Tableau2[[#This Row],[MONTANT HT FACTURE]]</f>
        <v>400000</v>
      </c>
      <c r="L175" s="34">
        <f>+IFERROR(Tableau2[[#This Row],[MONTANT HT FACTURE]]/Tableau2[[#This Row],[MONTANT HT VALIDE]],0)</f>
        <v>0</v>
      </c>
      <c r="M17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75" t="str">
        <f>+IFERROR(INDEX(Tableau6[[ENTITE]:[N° BC]],MATCH(Tableau2[[#This Row],[ID BC UNIQUE]],Tableau6[N° BC],0),7),"")</f>
        <v>006G4101</v>
      </c>
      <c r="O175" t="str">
        <f>+IFERROR(INDEX(Tableau24[],MATCH(Tableau2[[#This Row],[CODE PROJET]],Tableau24[CODE PROJET],0),2),"")</f>
        <v>ATELIER SONGON CHARGES ACT LOCAT°</v>
      </c>
    </row>
    <row r="176" spans="3:15" x14ac:dyDescent="0.2">
      <c r="C176" s="3">
        <v>45825</v>
      </c>
      <c r="D176" s="6" t="s">
        <v>596</v>
      </c>
      <c r="E176" s="253" t="s">
        <v>60</v>
      </c>
      <c r="F176" s="58" t="s">
        <v>138</v>
      </c>
      <c r="G176">
        <v>30</v>
      </c>
      <c r="H176" s="392">
        <v>12760000</v>
      </c>
      <c r="I176" s="392">
        <v>12760000</v>
      </c>
      <c r="J176" s="90">
        <f>+SUMIFS(Tableau6[MONTANT HT],Tableau6[CLIENT],Tableau2[[#This Row],[NOM CLIENT]],Tableau6[N° BC],Tableau2[[#This Row],[ID BC UNIQUE]])-SUMIFS(Tableau6[MONTANT HT],Tableau6[CLIENT],Tableau2[[#This Row],[NOM CLIENT]],Tableau6[N° BC],Tableau2[[#This Row],[ID BC UNIQUE]])</f>
        <v>0</v>
      </c>
      <c r="K176" s="90">
        <f>Tableau2[[#This Row],[MONTANT HT VALIDE]]-Tableau2[[#This Row],[MONTANT HT FACTURE]]</f>
        <v>12760000</v>
      </c>
      <c r="L176" s="34">
        <f>+IFERROR(Tableau2[[#This Row],[MONTANT HT FACTURE]]/Tableau2[[#This Row],[MONTANT HT VALIDE]],0)</f>
        <v>0</v>
      </c>
      <c r="M17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76" t="str">
        <f>+IFERROR(INDEX(Tableau6[[ENTITE]:[N° BC]],MATCH(Tableau2[[#This Row],[ID BC UNIQUE]],Tableau6[N° BC],0),7),"")</f>
        <v>018G4101</v>
      </c>
      <c r="O176" t="str">
        <f>+IFERROR(INDEX(Tableau24[],MATCH(Tableau2[[#This Row],[CODE PROJET]],Tableau24[CODE PROJET],0),2),"")</f>
        <v>ATELIER KORHOGO SM LOCATION EXTERNES</v>
      </c>
    </row>
    <row r="177" spans="3:16" x14ac:dyDescent="0.2">
      <c r="C177" s="3">
        <v>45828</v>
      </c>
      <c r="D177" s="6" t="s">
        <v>591</v>
      </c>
      <c r="E177" s="253" t="s">
        <v>60</v>
      </c>
      <c r="F177" s="58" t="s">
        <v>138</v>
      </c>
      <c r="G177">
        <v>30</v>
      </c>
      <c r="H177" s="392">
        <v>2340000</v>
      </c>
      <c r="I177" s="392">
        <v>2340000</v>
      </c>
      <c r="J177" s="90">
        <f>+SUMIFS(Tableau6[MONTANT HT],Tableau6[CLIENT],Tableau2[[#This Row],[NOM CLIENT]],Tableau6[N° BC],Tableau2[[#This Row],[ID BC UNIQUE]])-SUMIFS(Tableau6[MONTANT HT],Tableau6[CLIENT],Tableau2[[#This Row],[NOM CLIENT]],Tableau6[N° BC],Tableau2[[#This Row],[ID BC UNIQUE]])</f>
        <v>0</v>
      </c>
      <c r="K177" s="90">
        <f>Tableau2[[#This Row],[MONTANT HT VALIDE]]-Tableau2[[#This Row],[MONTANT HT FACTURE]]</f>
        <v>2340000</v>
      </c>
      <c r="L177" s="34">
        <f>+IFERROR(Tableau2[[#This Row],[MONTANT HT FACTURE]]/Tableau2[[#This Row],[MONTANT HT VALIDE]],0)</f>
        <v>0</v>
      </c>
      <c r="M17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77" t="str">
        <f>+IFERROR(INDEX(Tableau6[[ENTITE]:[N° BC]],MATCH(Tableau2[[#This Row],[ID BC UNIQUE]],Tableau6[N° BC],0),7),"")</f>
        <v>009G4101</v>
      </c>
      <c r="O177" t="str">
        <f>+IFERROR(INDEX(Tableau24[],MATCH(Tableau2[[#This Row],[CODE PROJET]],Tableau24[CODE PROJET],0),2),"")</f>
        <v>ATELIER BOUAKE CHARGE ACT LOCAT° EXT</v>
      </c>
    </row>
    <row r="178" spans="3:16" x14ac:dyDescent="0.2">
      <c r="C178" s="3">
        <v>45832</v>
      </c>
      <c r="D178" s="6" t="s">
        <v>590</v>
      </c>
      <c r="E178" s="253" t="s">
        <v>60</v>
      </c>
      <c r="F178" s="58" t="s">
        <v>138</v>
      </c>
      <c r="G178">
        <v>30</v>
      </c>
      <c r="H178" s="392">
        <v>2000000</v>
      </c>
      <c r="I178" s="392">
        <v>2000000</v>
      </c>
      <c r="J178" s="90">
        <f>+SUMIFS(Tableau6[MONTANT HT],Tableau6[CLIENT],Tableau2[[#This Row],[NOM CLIENT]],Tableau6[N° BC],Tableau2[[#This Row],[ID BC UNIQUE]])-SUMIFS(Tableau6[MONTANT HT],Tableau6[CLIENT],Tableau2[[#This Row],[NOM CLIENT]],Tableau6[N° BC],Tableau2[[#This Row],[ID BC UNIQUE]])</f>
        <v>0</v>
      </c>
      <c r="K178" s="90">
        <f>Tableau2[[#This Row],[MONTANT HT VALIDE]]-Tableau2[[#This Row],[MONTANT HT FACTURE]]</f>
        <v>2000000</v>
      </c>
      <c r="L178" s="34">
        <f>+IFERROR(Tableau2[[#This Row],[MONTANT HT FACTURE]]/Tableau2[[#This Row],[MONTANT HT VALIDE]],0)</f>
        <v>0</v>
      </c>
      <c r="M17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78" t="str">
        <f>+IFERROR(INDEX(Tableau6[[ENTITE]:[N° BC]],MATCH(Tableau2[[#This Row],[ID BC UNIQUE]],Tableau6[N° BC],0),7),"")</f>
        <v>019G4101</v>
      </c>
      <c r="O178" t="str">
        <f>+IFERROR(INDEX(Tableau24[],MATCH(Tableau2[[#This Row],[CODE PROJET]],Tableau24[CODE PROJET],0),2),"")</f>
        <v>ATELIER ODIENNE CHARGE ACT LOC EXT</v>
      </c>
    </row>
    <row r="179" spans="3:16" x14ac:dyDescent="0.2">
      <c r="C179" s="3">
        <v>45832</v>
      </c>
      <c r="D179" s="6" t="s">
        <v>592</v>
      </c>
      <c r="E179" s="253" t="s">
        <v>60</v>
      </c>
      <c r="F179" s="58" t="s">
        <v>138</v>
      </c>
      <c r="G179">
        <v>30</v>
      </c>
      <c r="H179" s="392">
        <v>4010000</v>
      </c>
      <c r="I179" s="392">
        <v>4010000</v>
      </c>
      <c r="J179" s="90">
        <f>+SUMIFS(Tableau6[MONTANT HT],Tableau6[CLIENT],Tableau2[[#This Row],[NOM CLIENT]],Tableau6[N° BC],Tableau2[[#This Row],[ID BC UNIQUE]])-SUMIFS(Tableau6[MONTANT HT],Tableau6[CLIENT],Tableau2[[#This Row],[NOM CLIENT]],Tableau6[N° BC],Tableau2[[#This Row],[ID BC UNIQUE]])</f>
        <v>0</v>
      </c>
      <c r="K179" s="90">
        <f>Tableau2[[#This Row],[MONTANT HT VALIDE]]-Tableau2[[#This Row],[MONTANT HT FACTURE]]</f>
        <v>4010000</v>
      </c>
      <c r="L179" s="34">
        <f>+IFERROR(Tableau2[[#This Row],[MONTANT HT FACTURE]]/Tableau2[[#This Row],[MONTANT HT VALIDE]],0)</f>
        <v>0</v>
      </c>
      <c r="M17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79" t="str">
        <f>+IFERROR(INDEX(Tableau6[[ENTITE]:[N° BC]],MATCH(Tableau2[[#This Row],[ID BC UNIQUE]],Tableau6[N° BC],0),7),"")</f>
        <v>019G4101</v>
      </c>
      <c r="O179" t="str">
        <f>+IFERROR(INDEX(Tableau24[],MATCH(Tableau2[[#This Row],[CODE PROJET]],Tableau24[CODE PROJET],0),2),"")</f>
        <v>ATELIER ODIENNE CHARGE ACT LOC EXT</v>
      </c>
    </row>
    <row r="180" spans="3:16" x14ac:dyDescent="0.2">
      <c r="C180" s="3">
        <v>45832</v>
      </c>
      <c r="D180" s="6" t="s">
        <v>593</v>
      </c>
      <c r="E180" s="253" t="s">
        <v>60</v>
      </c>
      <c r="F180" s="58" t="s">
        <v>138</v>
      </c>
      <c r="G180">
        <v>30</v>
      </c>
      <c r="H180" s="392">
        <v>1125000</v>
      </c>
      <c r="I180" s="392">
        <v>1125000</v>
      </c>
      <c r="J180" s="90">
        <f>+SUMIFS(Tableau6[MONTANT HT],Tableau6[CLIENT],Tableau2[[#This Row],[NOM CLIENT]],Tableau6[N° BC],Tableau2[[#This Row],[ID BC UNIQUE]])-SUMIFS(Tableau6[MONTANT HT],Tableau6[CLIENT],Tableau2[[#This Row],[NOM CLIENT]],Tableau6[N° BC],Tableau2[[#This Row],[ID BC UNIQUE]])</f>
        <v>0</v>
      </c>
      <c r="K180" s="90">
        <f>Tableau2[[#This Row],[MONTANT HT VALIDE]]-Tableau2[[#This Row],[MONTANT HT FACTURE]]</f>
        <v>1125000</v>
      </c>
      <c r="L180" s="34">
        <f>+IFERROR(Tableau2[[#This Row],[MONTANT HT FACTURE]]/Tableau2[[#This Row],[MONTANT HT VALIDE]],0)</f>
        <v>0</v>
      </c>
      <c r="M18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80" t="str">
        <f>+IFERROR(INDEX(Tableau6[[ENTITE]:[N° BC]],MATCH(Tableau2[[#This Row],[ID BC UNIQUE]],Tableau6[N° BC],0),7),"")</f>
        <v>016G4101</v>
      </c>
      <c r="O180" t="str">
        <f>+IFERROR(INDEX(Tableau24[],MATCH(Tableau2[[#This Row],[CODE PROJET]],Tableau24[CODE PROJET],0),2),"")</f>
        <v>ATELIER BINGERVILLE SM LOCATION EXTERNES</v>
      </c>
    </row>
    <row r="181" spans="3:16" x14ac:dyDescent="0.2">
      <c r="C181" s="3">
        <v>45833</v>
      </c>
      <c r="D181" s="6" t="s">
        <v>588</v>
      </c>
      <c r="E181" s="253" t="s">
        <v>60</v>
      </c>
      <c r="F181" s="58" t="s">
        <v>138</v>
      </c>
      <c r="G181">
        <v>30</v>
      </c>
      <c r="H181" s="392">
        <v>750000</v>
      </c>
      <c r="I181" s="392">
        <v>750000</v>
      </c>
      <c r="J181" s="90">
        <f>+SUMIFS(Tableau6[MONTANT HT],Tableau6[CLIENT],Tableau2[[#This Row],[NOM CLIENT]],Tableau6[N° BC],Tableau2[[#This Row],[ID BC UNIQUE]])-SUMIFS(Tableau6[MONTANT HT],Tableau6[CLIENT],Tableau2[[#This Row],[NOM CLIENT]],Tableau6[N° BC],Tableau2[[#This Row],[ID BC UNIQUE]])</f>
        <v>0</v>
      </c>
      <c r="K181" s="90">
        <f>Tableau2[[#This Row],[MONTANT HT VALIDE]]-Tableau2[[#This Row],[MONTANT HT FACTURE]]</f>
        <v>750000</v>
      </c>
      <c r="L181" s="34">
        <f>+IFERROR(Tableau2[[#This Row],[MONTANT HT FACTURE]]/Tableau2[[#This Row],[MONTANT HT VALIDE]],0)</f>
        <v>0</v>
      </c>
      <c r="M18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81" t="str">
        <f>+IFERROR(INDEX(Tableau6[[ENTITE]:[N° BC]],MATCH(Tableau2[[#This Row],[ID BC UNIQUE]],Tableau6[N° BC],0),7),"")</f>
        <v>950B0003</v>
      </c>
      <c r="O181" t="str">
        <f>+IFERROR(INDEX(Tableau24[],MATCH(Tableau2[[#This Row],[CODE PROJET]],Tableau24[CODE PROJET],0),2),"")</f>
        <v>ATM MENUISERIE EXTERIEURE-ASSINIE</v>
      </c>
    </row>
    <row r="182" spans="3:16" x14ac:dyDescent="0.2">
      <c r="C182" s="3">
        <v>45833</v>
      </c>
      <c r="D182" s="6" t="s">
        <v>594</v>
      </c>
      <c r="E182" s="253" t="s">
        <v>60</v>
      </c>
      <c r="F182" s="58" t="s">
        <v>138</v>
      </c>
      <c r="G182">
        <v>30</v>
      </c>
      <c r="H182" s="392">
        <v>1990994.9152542374</v>
      </c>
      <c r="I182" s="392">
        <v>1990994.9152542374</v>
      </c>
      <c r="J182" s="90">
        <f>+SUMIFS(Tableau6[MONTANT HT],Tableau6[CLIENT],Tableau2[[#This Row],[NOM CLIENT]],Tableau6[N° BC],Tableau2[[#This Row],[ID BC UNIQUE]])-SUMIFS(Tableau6[MONTANT HT],Tableau6[CLIENT],Tableau2[[#This Row],[NOM CLIENT]],Tableau6[N° BC],Tableau2[[#This Row],[ID BC UNIQUE]])</f>
        <v>0</v>
      </c>
      <c r="K182" s="90">
        <f>Tableau2[[#This Row],[MONTANT HT VALIDE]]-Tableau2[[#This Row],[MONTANT HT FACTURE]]</f>
        <v>1990994.9152542374</v>
      </c>
      <c r="L182" s="34">
        <f>+IFERROR(Tableau2[[#This Row],[MONTANT HT FACTURE]]/Tableau2[[#This Row],[MONTANT HT VALIDE]],0)</f>
        <v>0</v>
      </c>
      <c r="M18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82" t="str">
        <f>+IFERROR(INDEX(Tableau6[[ENTITE]:[N° BC]],MATCH(Tableau2[[#This Row],[ID BC UNIQUE]],Tableau6[N° BC],0),7),"")</f>
        <v>016G4101</v>
      </c>
      <c r="O182" t="str">
        <f>+IFERROR(INDEX(Tableau24[],MATCH(Tableau2[[#This Row],[CODE PROJET]],Tableau24[CODE PROJET],0),2),"")</f>
        <v>ATELIER BINGERVILLE SM LOCATION EXTERNES</v>
      </c>
    </row>
    <row r="183" spans="3:16" x14ac:dyDescent="0.2">
      <c r="C183" s="3">
        <v>45835</v>
      </c>
      <c r="D183" s="6" t="s">
        <v>595</v>
      </c>
      <c r="E183" s="253" t="s">
        <v>60</v>
      </c>
      <c r="F183" s="58" t="s">
        <v>138</v>
      </c>
      <c r="G183">
        <v>30</v>
      </c>
      <c r="H183" s="392">
        <v>7500015.2542372886</v>
      </c>
      <c r="I183" s="392">
        <v>7500015.2542372886</v>
      </c>
      <c r="J183" s="90">
        <f>+SUMIFS(Tableau6[MONTANT HT],Tableau6[CLIENT],Tableau2[[#This Row],[NOM CLIENT]],Tableau6[N° BC],Tableau2[[#This Row],[ID BC UNIQUE]])-SUMIFS(Tableau6[MONTANT HT],Tableau6[CLIENT],Tableau2[[#This Row],[NOM CLIENT]],Tableau6[N° BC],Tableau2[[#This Row],[ID BC UNIQUE]])</f>
        <v>0</v>
      </c>
      <c r="K183" s="90">
        <f>Tableau2[[#This Row],[MONTANT HT VALIDE]]-Tableau2[[#This Row],[MONTANT HT FACTURE]]</f>
        <v>7500015.2542372886</v>
      </c>
      <c r="L183" s="34">
        <f>+IFERROR(Tableau2[[#This Row],[MONTANT HT FACTURE]]/Tableau2[[#This Row],[MONTANT HT VALIDE]],0)</f>
        <v>0</v>
      </c>
      <c r="M18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83" t="str">
        <f>+IFERROR(INDEX(Tableau6[[ENTITE]:[N° BC]],MATCH(Tableau2[[#This Row],[ID BC UNIQUE]],Tableau6[N° BC],0),7),"")</f>
        <v>015G4101</v>
      </c>
      <c r="O183" t="str">
        <f>+IFERROR(INDEX(Tableau24[],MATCH(Tableau2[[#This Row],[CODE PROJET]],Tableau24[CODE PROJET],0),2),"")</f>
        <v>ATELIER KONG CHARGE ACT LOCAT° EXT</v>
      </c>
    </row>
    <row r="184" spans="3:16" x14ac:dyDescent="0.2">
      <c r="C184" s="3">
        <v>45839</v>
      </c>
      <c r="D184" s="6" t="s">
        <v>579</v>
      </c>
      <c r="E184" s="253" t="s">
        <v>60</v>
      </c>
      <c r="F184" s="58" t="s">
        <v>102</v>
      </c>
      <c r="G184">
        <v>30</v>
      </c>
      <c r="H184" s="392">
        <v>13740392</v>
      </c>
      <c r="I184" s="392">
        <v>13740392</v>
      </c>
      <c r="J184" s="90">
        <f>+SUMIFS(Tableau6[MONTANT HT],Tableau6[CLIENT],Tableau2[[#This Row],[NOM CLIENT]],Tableau6[N° BC],Tableau2[[#This Row],[ID BC UNIQUE]])-SUMIFS(Tableau6[MONTANT HT],Tableau6[CLIENT],Tableau2[[#This Row],[NOM CLIENT]],Tableau6[N° BC],Tableau2[[#This Row],[ID BC UNIQUE]])</f>
        <v>0</v>
      </c>
      <c r="K184" s="90">
        <f>Tableau2[[#This Row],[MONTANT HT VALIDE]]-Tableau2[[#This Row],[MONTANT HT FACTURE]]</f>
        <v>13740392</v>
      </c>
      <c r="L184" s="34">
        <f>+IFERROR(Tableau2[[#This Row],[MONTANT HT FACTURE]]/Tableau2[[#This Row],[MONTANT HT VALIDE]],0)</f>
        <v>0</v>
      </c>
      <c r="M18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84" t="str">
        <f>+IFERROR(INDEX(Tableau6[[ENTITE]:[N° BC]],MATCH(Tableau2[[#This Row],[ID BC UNIQUE]],Tableau6[N° BC],0),7),"")</f>
        <v>211R3002</v>
      </c>
      <c r="O184" t="str">
        <f>+IFERROR(INDEX(Tableau24[],MATCH(Tableau2[[#This Row],[CODE PROJET]],Tableau24[CODE PROJET],0),2),"")</f>
        <v>KOUTO-NIELLE-NBEMGUE_LOCATION EXTERNE</v>
      </c>
    </row>
    <row r="185" spans="3:16" x14ac:dyDescent="0.2">
      <c r="C185" s="3">
        <v>45839</v>
      </c>
      <c r="D185" s="6" t="s">
        <v>627</v>
      </c>
      <c r="E185" s="253" t="s">
        <v>60</v>
      </c>
      <c r="F185" s="58" t="s">
        <v>138</v>
      </c>
      <c r="G185">
        <v>30</v>
      </c>
      <c r="H185" s="392">
        <v>5910000</v>
      </c>
      <c r="I185" s="392">
        <v>5910000</v>
      </c>
      <c r="J185" s="90">
        <f>+SUMIFS(Tableau6[MONTANT HT],Tableau6[CLIENT],Tableau2[[#This Row],[NOM CLIENT]],Tableau6[N° BC],Tableau2[[#This Row],[ID BC UNIQUE]])-SUMIFS(Tableau6[MONTANT HT],Tableau6[CLIENT],Tableau2[[#This Row],[NOM CLIENT]],Tableau6[N° BC],Tableau2[[#This Row],[ID BC UNIQUE]])</f>
        <v>0</v>
      </c>
      <c r="K185" s="90">
        <f>Tableau2[[#This Row],[MONTANT HT VALIDE]]-Tableau2[[#This Row],[MONTANT HT FACTURE]]</f>
        <v>5910000</v>
      </c>
      <c r="L185" s="34">
        <f>+IFERROR(Tableau2[[#This Row],[MONTANT HT FACTURE]]/Tableau2[[#This Row],[MONTANT HT VALIDE]],0)</f>
        <v>0</v>
      </c>
      <c r="M18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85" t="str">
        <f>+IFERROR(INDEX(Tableau6[[ENTITE]:[N° BC]],MATCH(Tableau2[[#This Row],[ID BC UNIQUE]],Tableau6[N° BC],0),7),"")</f>
        <v>019R4101</v>
      </c>
      <c r="O185" t="str">
        <f>+IFERROR(INDEX(Tableau24[],MATCH(Tableau2[[#This Row],[CODE PROJET]],Tableau24[CODE PROJET],0),2),"")</f>
        <v>ATELIER ODIENNE CHARGE ACT LOC EXT</v>
      </c>
    </row>
    <row r="186" spans="3:16" x14ac:dyDescent="0.2">
      <c r="C186" s="3">
        <v>45841</v>
      </c>
      <c r="D186" s="101" t="s">
        <v>394</v>
      </c>
      <c r="E186" s="253" t="s">
        <v>60</v>
      </c>
      <c r="F186" s="101" t="s">
        <v>106</v>
      </c>
      <c r="H186" s="392">
        <v>6270000</v>
      </c>
      <c r="I186" s="156">
        <v>6270000</v>
      </c>
      <c r="J186" s="90">
        <f>+SUMIFS(Tableau6[MONTANT HT],Tableau6[CLIENT],Tableau2[[#This Row],[NOM CLIENT]],Tableau6[N° BC],Tableau2[[#This Row],[ID BC UNIQUE]])-SUMIFS(Tableau6[MONTANT HT],Tableau6[CLIENT],Tableau2[[#This Row],[NOM CLIENT]],Tableau6[N° BC],Tableau2[[#This Row],[ID BC UNIQUE]])</f>
        <v>0</v>
      </c>
      <c r="K186" s="90">
        <f>Tableau2[[#This Row],[MONTANT HT VALIDE]]-Tableau2[[#This Row],[MONTANT HT FACTURE]]</f>
        <v>6270000</v>
      </c>
      <c r="L186" s="34">
        <f>+IFERROR(Tableau2[[#This Row],[MONTANT HT FACTURE]]/Tableau2[[#This Row],[MONTANT HT VALIDE]],0)</f>
        <v>0</v>
      </c>
      <c r="M18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86" t="str">
        <f>+IFERROR(INDEX(Tableau6[[ENTITE]:[N° BC]],MATCH(Tableau2[[#This Row],[ID BC UNIQUE]],Tableau6[N° BC],0),7),"")</f>
        <v>BASSAM</v>
      </c>
      <c r="O186" t="str">
        <f>+IFERROR(INDEX(Tableau24[],MATCH(Tableau2[[#This Row],[CODE PROJET]],Tableau24[CODE PROJET],0),2),"")</f>
        <v/>
      </c>
      <c r="P186" t="s">
        <v>395</v>
      </c>
    </row>
    <row r="187" spans="3:16" x14ac:dyDescent="0.2">
      <c r="C187" s="3">
        <v>45845</v>
      </c>
      <c r="D187" s="6" t="s">
        <v>598</v>
      </c>
      <c r="E187" s="253" t="s">
        <v>60</v>
      </c>
      <c r="F187" s="58" t="s">
        <v>138</v>
      </c>
      <c r="G187">
        <v>30</v>
      </c>
      <c r="H187" s="392">
        <v>650000</v>
      </c>
      <c r="I187" s="392">
        <v>650000</v>
      </c>
      <c r="J187" s="90">
        <f>+SUMIFS(Tableau6[MONTANT HT],Tableau6[CLIENT],Tableau2[[#This Row],[NOM CLIENT]],Tableau6[N° BC],Tableau2[[#This Row],[ID BC UNIQUE]])-SUMIFS(Tableau6[MONTANT HT],Tableau6[CLIENT],Tableau2[[#This Row],[NOM CLIENT]],Tableau6[N° BC],Tableau2[[#This Row],[ID BC UNIQUE]])</f>
        <v>0</v>
      </c>
      <c r="K187" s="90">
        <f>Tableau2[[#This Row],[MONTANT HT VALIDE]]-Tableau2[[#This Row],[MONTANT HT FACTURE]]</f>
        <v>650000</v>
      </c>
      <c r="L187" s="34">
        <f>+IFERROR(Tableau2[[#This Row],[MONTANT HT FACTURE]]/Tableau2[[#This Row],[MONTANT HT VALIDE]],0)</f>
        <v>0</v>
      </c>
      <c r="M18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87" t="str">
        <f>+IFERROR(INDEX(Tableau6[[ENTITE]:[N° BC]],MATCH(Tableau2[[#This Row],[ID BC UNIQUE]],Tableau6[N° BC],0),7),"")</f>
        <v>010G4101</v>
      </c>
      <c r="O187" t="str">
        <f>+IFERROR(INDEX(Tableau24[],MATCH(Tableau2[[#This Row],[CODE PROJET]],Tableau24[CODE PROJET],0),2),"")</f>
        <v>ATELIER COTIERE CHARGES ACT LOCAT° EXT</v>
      </c>
    </row>
    <row r="188" spans="3:16" x14ac:dyDescent="0.2">
      <c r="C188" s="3">
        <v>45848</v>
      </c>
      <c r="D188" s="6" t="s">
        <v>597</v>
      </c>
      <c r="E188" s="253" t="s">
        <v>60</v>
      </c>
      <c r="F188" s="58" t="s">
        <v>102</v>
      </c>
      <c r="G188">
        <v>30</v>
      </c>
      <c r="H188" s="392">
        <v>11976544</v>
      </c>
      <c r="I188" s="392">
        <v>11976544</v>
      </c>
      <c r="J188" s="90">
        <f>+SUMIFS(Tableau6[MONTANT HT],Tableau6[CLIENT],Tableau2[[#This Row],[NOM CLIENT]],Tableau6[N° BC],Tableau2[[#This Row],[ID BC UNIQUE]])-SUMIFS(Tableau6[MONTANT HT],Tableau6[CLIENT],Tableau2[[#This Row],[NOM CLIENT]],Tableau6[N° BC],Tableau2[[#This Row],[ID BC UNIQUE]])</f>
        <v>0</v>
      </c>
      <c r="K188" s="90">
        <f>Tableau2[[#This Row],[MONTANT HT VALIDE]]-Tableau2[[#This Row],[MONTANT HT FACTURE]]</f>
        <v>11976544</v>
      </c>
      <c r="L188" s="34">
        <f>+IFERROR(Tableau2[[#This Row],[MONTANT HT FACTURE]]/Tableau2[[#This Row],[MONTANT HT VALIDE]],0)</f>
        <v>0</v>
      </c>
      <c r="M18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88" t="str">
        <f>+IFERROR(INDEX(Tableau6[[ENTITE]:[N° BC]],MATCH(Tableau2[[#This Row],[ID BC UNIQUE]],Tableau6[N° BC],0),7),"")</f>
        <v>211R3002</v>
      </c>
      <c r="O188" t="str">
        <f>+IFERROR(INDEX(Tableau24[],MATCH(Tableau2[[#This Row],[CODE PROJET]],Tableau24[CODE PROJET],0),2),"")</f>
        <v>KOUTO-NIELLE-NBEMGUE_LOCATION EXTERNE</v>
      </c>
    </row>
    <row r="189" spans="3:16" x14ac:dyDescent="0.2">
      <c r="C189" s="3">
        <v>45848</v>
      </c>
      <c r="D189" s="6" t="s">
        <v>601</v>
      </c>
      <c r="E189" s="253" t="s">
        <v>60</v>
      </c>
      <c r="F189" s="58" t="s">
        <v>138</v>
      </c>
      <c r="G189">
        <v>30</v>
      </c>
      <c r="H189" s="392">
        <v>5060000</v>
      </c>
      <c r="I189" s="392">
        <v>5060000</v>
      </c>
      <c r="J189" s="90">
        <f>+SUMIFS(Tableau6[MONTANT HT],Tableau6[CLIENT],Tableau2[[#This Row],[NOM CLIENT]],Tableau6[N° BC],Tableau2[[#This Row],[ID BC UNIQUE]])-SUMIFS(Tableau6[MONTANT HT],Tableau6[CLIENT],Tableau2[[#This Row],[NOM CLIENT]],Tableau6[N° BC],Tableau2[[#This Row],[ID BC UNIQUE]])</f>
        <v>0</v>
      </c>
      <c r="K189" s="90">
        <f>Tableau2[[#This Row],[MONTANT HT VALIDE]]-Tableau2[[#This Row],[MONTANT HT FACTURE]]</f>
        <v>5060000</v>
      </c>
      <c r="L189" s="34">
        <f>+IFERROR(Tableau2[[#This Row],[MONTANT HT FACTURE]]/Tableau2[[#This Row],[MONTANT HT VALIDE]],0)</f>
        <v>0</v>
      </c>
      <c r="M18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89" t="str">
        <f>+IFERROR(INDEX(Tableau6[[ENTITE]:[N° BC]],MATCH(Tableau2[[#This Row],[ID BC UNIQUE]],Tableau6[N° BC],0),7),"")</f>
        <v>009G4101</v>
      </c>
      <c r="O189" t="str">
        <f>+IFERROR(INDEX(Tableau24[],MATCH(Tableau2[[#This Row],[CODE PROJET]],Tableau24[CODE PROJET],0),2),"")</f>
        <v>ATELIER BOUAKE CHARGE ACT LOCAT° EXT</v>
      </c>
    </row>
    <row r="190" spans="3:16" x14ac:dyDescent="0.2">
      <c r="C190" s="3">
        <v>45849</v>
      </c>
      <c r="D190" s="6" t="s">
        <v>599</v>
      </c>
      <c r="E190" s="253" t="s">
        <v>60</v>
      </c>
      <c r="F190" s="58" t="s">
        <v>138</v>
      </c>
      <c r="G190">
        <v>30</v>
      </c>
      <c r="H190" s="392">
        <v>13185000</v>
      </c>
      <c r="I190" s="392">
        <v>13185000</v>
      </c>
      <c r="J190" s="90">
        <f>+SUMIFS(Tableau6[MONTANT HT],Tableau6[CLIENT],Tableau2[[#This Row],[NOM CLIENT]],Tableau6[N° BC],Tableau2[[#This Row],[ID BC UNIQUE]])-SUMIFS(Tableau6[MONTANT HT],Tableau6[CLIENT],Tableau2[[#This Row],[NOM CLIENT]],Tableau6[N° BC],Tableau2[[#This Row],[ID BC UNIQUE]])</f>
        <v>0</v>
      </c>
      <c r="K190" s="90">
        <f>Tableau2[[#This Row],[MONTANT HT VALIDE]]-Tableau2[[#This Row],[MONTANT HT FACTURE]]</f>
        <v>13185000</v>
      </c>
      <c r="L190" s="34">
        <f>+IFERROR(Tableau2[[#This Row],[MONTANT HT FACTURE]]/Tableau2[[#This Row],[MONTANT HT VALIDE]],0)</f>
        <v>0</v>
      </c>
      <c r="M19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90" t="str">
        <f>+IFERROR(INDEX(Tableau6[[ENTITE]:[N° BC]],MATCH(Tableau2[[#This Row],[ID BC UNIQUE]],Tableau6[N° BC],0),7),"")</f>
        <v>006G4101</v>
      </c>
      <c r="O190" t="str">
        <f>+IFERROR(INDEX(Tableau24[],MATCH(Tableau2[[#This Row],[CODE PROJET]],Tableau24[CODE PROJET],0),2),"")</f>
        <v>ATELIER SONGON CHARGES ACT LOCAT°</v>
      </c>
    </row>
    <row r="191" spans="3:16" x14ac:dyDescent="0.2">
      <c r="C191" s="3">
        <v>45853</v>
      </c>
      <c r="D191" s="6" t="s">
        <v>600</v>
      </c>
      <c r="E191" s="253" t="s">
        <v>60</v>
      </c>
      <c r="F191" s="58" t="s">
        <v>138</v>
      </c>
      <c r="G191">
        <v>30</v>
      </c>
      <c r="H191" s="392">
        <v>1340000</v>
      </c>
      <c r="I191" s="392">
        <v>1340000</v>
      </c>
      <c r="J191" s="90">
        <f>+SUMIFS(Tableau6[MONTANT HT],Tableau6[CLIENT],Tableau2[[#This Row],[NOM CLIENT]],Tableau6[N° BC],Tableau2[[#This Row],[ID BC UNIQUE]])-SUMIFS(Tableau6[MONTANT HT],Tableau6[CLIENT],Tableau2[[#This Row],[NOM CLIENT]],Tableau6[N° BC],Tableau2[[#This Row],[ID BC UNIQUE]])</f>
        <v>0</v>
      </c>
      <c r="K191" s="90">
        <f>Tableau2[[#This Row],[MONTANT HT VALIDE]]-Tableau2[[#This Row],[MONTANT HT FACTURE]]</f>
        <v>1340000</v>
      </c>
      <c r="L191" s="34">
        <f>+IFERROR(Tableau2[[#This Row],[MONTANT HT FACTURE]]/Tableau2[[#This Row],[MONTANT HT VALIDE]],0)</f>
        <v>0</v>
      </c>
      <c r="M19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91" t="str">
        <f>+IFERROR(INDEX(Tableau6[[ENTITE]:[N° BC]],MATCH(Tableau2[[#This Row],[ID BC UNIQUE]],Tableau6[N° BC],0),7),"")</f>
        <v>016G4101</v>
      </c>
      <c r="O191" t="str">
        <f>+IFERROR(INDEX(Tableau24[],MATCH(Tableau2[[#This Row],[CODE PROJET]],Tableau24[CODE PROJET],0),2),"")</f>
        <v>ATELIER BINGERVILLE SM LOCATION EXTERNES</v>
      </c>
    </row>
    <row r="192" spans="3:16" x14ac:dyDescent="0.2">
      <c r="C192" s="3">
        <v>45853</v>
      </c>
      <c r="D192" s="6" t="s">
        <v>604</v>
      </c>
      <c r="E192" s="253" t="s">
        <v>60</v>
      </c>
      <c r="F192" s="58" t="s">
        <v>138</v>
      </c>
      <c r="G192">
        <v>30</v>
      </c>
      <c r="H192" s="392">
        <v>6490000</v>
      </c>
      <c r="I192" s="392">
        <v>6490000</v>
      </c>
      <c r="J192" s="90">
        <f>+SUMIFS(Tableau6[MONTANT HT],Tableau6[CLIENT],Tableau2[[#This Row],[NOM CLIENT]],Tableau6[N° BC],Tableau2[[#This Row],[ID BC UNIQUE]])-SUMIFS(Tableau6[MONTANT HT],Tableau6[CLIENT],Tableau2[[#This Row],[NOM CLIENT]],Tableau6[N° BC],Tableau2[[#This Row],[ID BC UNIQUE]])</f>
        <v>0</v>
      </c>
      <c r="K192" s="90">
        <f>Tableau2[[#This Row],[MONTANT HT VALIDE]]-Tableau2[[#This Row],[MONTANT HT FACTURE]]</f>
        <v>6490000</v>
      </c>
      <c r="L192" s="34">
        <f>+IFERROR(Tableau2[[#This Row],[MONTANT HT FACTURE]]/Tableau2[[#This Row],[MONTANT HT VALIDE]],0)</f>
        <v>0</v>
      </c>
      <c r="M19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92" t="str">
        <f>+IFERROR(INDEX(Tableau6[[ENTITE]:[N° BC]],MATCH(Tableau2[[#This Row],[ID BC UNIQUE]],Tableau6[N° BC],0),7),"")</f>
        <v>016G4101</v>
      </c>
      <c r="O192" t="str">
        <f>+IFERROR(INDEX(Tableau24[],MATCH(Tableau2[[#This Row],[CODE PROJET]],Tableau24[CODE PROJET],0),2),"")</f>
        <v>ATELIER BINGERVILLE SM LOCATION EXTERNES</v>
      </c>
    </row>
    <row r="193" spans="3:16" x14ac:dyDescent="0.2">
      <c r="C193" s="3">
        <v>45856</v>
      </c>
      <c r="D193" s="6" t="s">
        <v>602</v>
      </c>
      <c r="E193" s="253" t="s">
        <v>60</v>
      </c>
      <c r="F193" s="58" t="s">
        <v>138</v>
      </c>
      <c r="G193">
        <v>30</v>
      </c>
      <c r="H193" s="392">
        <v>210000</v>
      </c>
      <c r="I193" s="392">
        <v>210000</v>
      </c>
      <c r="J193" s="90">
        <f>+SUMIFS(Tableau6[MONTANT HT],Tableau6[CLIENT],Tableau2[[#This Row],[NOM CLIENT]],Tableau6[N° BC],Tableau2[[#This Row],[ID BC UNIQUE]])-SUMIFS(Tableau6[MONTANT HT],Tableau6[CLIENT],Tableau2[[#This Row],[NOM CLIENT]],Tableau6[N° BC],Tableau2[[#This Row],[ID BC UNIQUE]])</f>
        <v>0</v>
      </c>
      <c r="K193" s="90">
        <f>Tableau2[[#This Row],[MONTANT HT VALIDE]]-Tableau2[[#This Row],[MONTANT HT FACTURE]]</f>
        <v>210000</v>
      </c>
      <c r="L193" s="34">
        <f>+IFERROR(Tableau2[[#This Row],[MONTANT HT FACTURE]]/Tableau2[[#This Row],[MONTANT HT VALIDE]],0)</f>
        <v>0</v>
      </c>
      <c r="M19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93" t="str">
        <f>+IFERROR(INDEX(Tableau6[[ENTITE]:[N° BC]],MATCH(Tableau2[[#This Row],[ID BC UNIQUE]],Tableau6[N° BC],0),7),"")</f>
        <v>016G4101</v>
      </c>
      <c r="O193" t="str">
        <f>+IFERROR(INDEX(Tableau24[],MATCH(Tableau2[[#This Row],[CODE PROJET]],Tableau24[CODE PROJET],0),2),"")</f>
        <v>ATELIER BINGERVILLE SM LOCATION EXTERNES</v>
      </c>
    </row>
    <row r="194" spans="3:16" x14ac:dyDescent="0.2">
      <c r="C194" s="3">
        <v>45860</v>
      </c>
      <c r="D194" s="6" t="s">
        <v>615</v>
      </c>
      <c r="E194" s="253" t="s">
        <v>60</v>
      </c>
      <c r="F194" s="58" t="s">
        <v>138</v>
      </c>
      <c r="G194">
        <v>30</v>
      </c>
      <c r="H194" s="392">
        <v>7714998.3050847463</v>
      </c>
      <c r="I194" s="392">
        <v>7714998.3050847463</v>
      </c>
      <c r="J194" s="90">
        <f>+SUMIFS(Tableau6[MONTANT HT],Tableau6[CLIENT],Tableau2[[#This Row],[NOM CLIENT]],Tableau6[N° BC],Tableau2[[#This Row],[ID BC UNIQUE]])-SUMIFS(Tableau6[MONTANT HT],Tableau6[CLIENT],Tableau2[[#This Row],[NOM CLIENT]],Tableau6[N° BC],Tableau2[[#This Row],[ID BC UNIQUE]])</f>
        <v>0</v>
      </c>
      <c r="K194" s="90">
        <f>Tableau2[[#This Row],[MONTANT HT VALIDE]]-Tableau2[[#This Row],[MONTANT HT FACTURE]]</f>
        <v>7714998.3050847463</v>
      </c>
      <c r="L194" s="34">
        <f>+IFERROR(Tableau2[[#This Row],[MONTANT HT FACTURE]]/Tableau2[[#This Row],[MONTANT HT VALIDE]],0)</f>
        <v>0</v>
      </c>
      <c r="M19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94" t="str">
        <f>+IFERROR(INDEX(Tableau6[[ENTITE]:[N° BC]],MATCH(Tableau2[[#This Row],[ID BC UNIQUE]],Tableau6[N° BC],0),7),"")</f>
        <v>007G4101</v>
      </c>
      <c r="O194" t="str">
        <f>+IFERROR(INDEX(Tableau24[],MATCH(Tableau2[[#This Row],[CODE PROJET]],Tableau24[CODE PROJET],0),2),"")</f>
        <v>ATELIER DIVO CHARGE ACT LOC EXT</v>
      </c>
    </row>
    <row r="195" spans="3:16" x14ac:dyDescent="0.2">
      <c r="C195" s="3">
        <v>45862</v>
      </c>
      <c r="D195" s="6" t="s">
        <v>605</v>
      </c>
      <c r="E195" s="253" t="s">
        <v>60</v>
      </c>
      <c r="F195" s="58" t="s">
        <v>138</v>
      </c>
      <c r="G195">
        <v>30</v>
      </c>
      <c r="H195" s="392">
        <v>4320000</v>
      </c>
      <c r="I195" s="392">
        <v>4320000</v>
      </c>
      <c r="J195" s="90">
        <f>+SUMIFS(Tableau6[MONTANT HT],Tableau6[CLIENT],Tableau2[[#This Row],[NOM CLIENT]],Tableau6[N° BC],Tableau2[[#This Row],[ID BC UNIQUE]])-SUMIFS(Tableau6[MONTANT HT],Tableau6[CLIENT],Tableau2[[#This Row],[NOM CLIENT]],Tableau6[N° BC],Tableau2[[#This Row],[ID BC UNIQUE]])</f>
        <v>0</v>
      </c>
      <c r="K195" s="90">
        <f>Tableau2[[#This Row],[MONTANT HT VALIDE]]-Tableau2[[#This Row],[MONTANT HT FACTURE]]</f>
        <v>4320000</v>
      </c>
      <c r="L195" s="34">
        <f>+IFERROR(Tableau2[[#This Row],[MONTANT HT FACTURE]]/Tableau2[[#This Row],[MONTANT HT VALIDE]],0)</f>
        <v>0</v>
      </c>
      <c r="M19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95" t="str">
        <f>+IFERROR(INDEX(Tableau6[[ENTITE]:[N° BC]],MATCH(Tableau2[[#This Row],[ID BC UNIQUE]],Tableau6[N° BC],0),7),"")</f>
        <v>305R8002</v>
      </c>
      <c r="O195" t="str">
        <f>+IFERROR(INDEX(Tableau24[],MATCH(Tableau2[[#This Row],[CODE PROJET]],Tableau24[CODE PROJET],0),2),"")</f>
        <v>ROUTE DABAKALA-KONG TX MAD ENGIN</v>
      </c>
    </row>
    <row r="196" spans="3:16" x14ac:dyDescent="0.2">
      <c r="C196" s="3">
        <v>45862</v>
      </c>
      <c r="D196" s="6" t="s">
        <v>606</v>
      </c>
      <c r="E196" s="253" t="s">
        <v>60</v>
      </c>
      <c r="F196" s="58" t="s">
        <v>138</v>
      </c>
      <c r="G196">
        <v>30</v>
      </c>
      <c r="H196" s="392">
        <v>990000</v>
      </c>
      <c r="I196" s="392">
        <v>990000</v>
      </c>
      <c r="J196" s="90">
        <f>+SUMIFS(Tableau6[MONTANT HT],Tableau6[CLIENT],Tableau2[[#This Row],[NOM CLIENT]],Tableau6[N° BC],Tableau2[[#This Row],[ID BC UNIQUE]])-SUMIFS(Tableau6[MONTANT HT],Tableau6[CLIENT],Tableau2[[#This Row],[NOM CLIENT]],Tableau6[N° BC],Tableau2[[#This Row],[ID BC UNIQUE]])</f>
        <v>0</v>
      </c>
      <c r="K196" s="90">
        <f>Tableau2[[#This Row],[MONTANT HT VALIDE]]-Tableau2[[#This Row],[MONTANT HT FACTURE]]</f>
        <v>990000</v>
      </c>
      <c r="L196" s="34">
        <f>+IFERROR(Tableau2[[#This Row],[MONTANT HT FACTURE]]/Tableau2[[#This Row],[MONTANT HT VALIDE]],0)</f>
        <v>0</v>
      </c>
      <c r="M19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96" t="str">
        <f>+IFERROR(INDEX(Tableau6[[ENTITE]:[N° BC]],MATCH(Tableau2[[#This Row],[ID BC UNIQUE]],Tableau6[N° BC],0),7),"")</f>
        <v>305R8002</v>
      </c>
      <c r="O196" t="str">
        <f>+IFERROR(INDEX(Tableau24[],MATCH(Tableau2[[#This Row],[CODE PROJET]],Tableau24[CODE PROJET],0),2),"")</f>
        <v>ROUTE DABAKALA-KONG TX MAD ENGIN</v>
      </c>
    </row>
    <row r="197" spans="3:16" x14ac:dyDescent="0.2">
      <c r="C197" s="3">
        <v>45862</v>
      </c>
      <c r="D197" s="6" t="s">
        <v>607</v>
      </c>
      <c r="E197" s="253" t="s">
        <v>60</v>
      </c>
      <c r="F197" s="58" t="s">
        <v>138</v>
      </c>
      <c r="G197">
        <v>30</v>
      </c>
      <c r="H197" s="392">
        <v>1980000</v>
      </c>
      <c r="I197" s="392">
        <v>1980000</v>
      </c>
      <c r="J197" s="90">
        <f>+SUMIFS(Tableau6[MONTANT HT],Tableau6[CLIENT],Tableau2[[#This Row],[NOM CLIENT]],Tableau6[N° BC],Tableau2[[#This Row],[ID BC UNIQUE]])-SUMIFS(Tableau6[MONTANT HT],Tableau6[CLIENT],Tableau2[[#This Row],[NOM CLIENT]],Tableau6[N° BC],Tableau2[[#This Row],[ID BC UNIQUE]])</f>
        <v>0</v>
      </c>
      <c r="K197" s="90">
        <f>Tableau2[[#This Row],[MONTANT HT VALIDE]]-Tableau2[[#This Row],[MONTANT HT FACTURE]]</f>
        <v>1980000</v>
      </c>
      <c r="L197" s="34">
        <f>+IFERROR(Tableau2[[#This Row],[MONTANT HT FACTURE]]/Tableau2[[#This Row],[MONTANT HT VALIDE]],0)</f>
        <v>0</v>
      </c>
      <c r="M19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97" t="str">
        <f>+IFERROR(INDEX(Tableau6[[ENTITE]:[N° BC]],MATCH(Tableau2[[#This Row],[ID BC UNIQUE]],Tableau6[N° BC],0),7),"")</f>
        <v>305R8002</v>
      </c>
      <c r="O197" t="str">
        <f>+IFERROR(INDEX(Tableau24[],MATCH(Tableau2[[#This Row],[CODE PROJET]],Tableau24[CODE PROJET],0),2),"")</f>
        <v>ROUTE DABAKALA-KONG TX MAD ENGIN</v>
      </c>
    </row>
    <row r="198" spans="3:16" x14ac:dyDescent="0.2">
      <c r="C198" s="3">
        <v>45863</v>
      </c>
      <c r="D198" s="6" t="s">
        <v>608</v>
      </c>
      <c r="E198" s="253" t="s">
        <v>60</v>
      </c>
      <c r="F198" s="58" t="s">
        <v>138</v>
      </c>
      <c r="G198">
        <v>30</v>
      </c>
      <c r="H198" s="392">
        <v>2880000</v>
      </c>
      <c r="I198" s="392">
        <v>2880000</v>
      </c>
      <c r="J198" s="90">
        <f>+SUMIFS(Tableau6[MONTANT HT],Tableau6[CLIENT],Tableau2[[#This Row],[NOM CLIENT]],Tableau6[N° BC],Tableau2[[#This Row],[ID BC UNIQUE]])-SUMIFS(Tableau6[MONTANT HT],Tableau6[CLIENT],Tableau2[[#This Row],[NOM CLIENT]],Tableau6[N° BC],Tableau2[[#This Row],[ID BC UNIQUE]])</f>
        <v>0</v>
      </c>
      <c r="K198" s="90">
        <f>Tableau2[[#This Row],[MONTANT HT VALIDE]]-Tableau2[[#This Row],[MONTANT HT FACTURE]]</f>
        <v>2880000</v>
      </c>
      <c r="L198" s="34">
        <f>+IFERROR(Tableau2[[#This Row],[MONTANT HT FACTURE]]/Tableau2[[#This Row],[MONTANT HT VALIDE]],0)</f>
        <v>0</v>
      </c>
      <c r="M19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98" t="str">
        <f>+IFERROR(INDEX(Tableau6[[ENTITE]:[N° BC]],MATCH(Tableau2[[#This Row],[ID BC UNIQUE]],Tableau6[N° BC],0),7),"")</f>
        <v>444B0200</v>
      </c>
      <c r="O198" t="str">
        <f>+IFERROR(INDEX(Tableau24[],MATCH(Tableau2[[#This Row],[CODE PROJET]],Tableau24[CODE PROJET],0),2),"")</f>
        <v>UNIVERSITE D ODIENNE GROS ŒUVRE</v>
      </c>
    </row>
    <row r="199" spans="3:16" x14ac:dyDescent="0.2">
      <c r="C199" s="3">
        <v>45863</v>
      </c>
      <c r="D199" s="6" t="s">
        <v>609</v>
      </c>
      <c r="E199" s="253" t="s">
        <v>60</v>
      </c>
      <c r="F199" s="58" t="s">
        <v>138</v>
      </c>
      <c r="G199">
        <v>30</v>
      </c>
      <c r="H199" s="392">
        <v>2880000</v>
      </c>
      <c r="I199" s="392">
        <v>2880000</v>
      </c>
      <c r="J199" s="90">
        <f>+SUMIFS(Tableau6[MONTANT HT],Tableau6[CLIENT],Tableau2[[#This Row],[NOM CLIENT]],Tableau6[N° BC],Tableau2[[#This Row],[ID BC UNIQUE]])-SUMIFS(Tableau6[MONTANT HT],Tableau6[CLIENT],Tableau2[[#This Row],[NOM CLIENT]],Tableau6[N° BC],Tableau2[[#This Row],[ID BC UNIQUE]])</f>
        <v>0</v>
      </c>
      <c r="K199" s="90">
        <f>Tableau2[[#This Row],[MONTANT HT VALIDE]]-Tableau2[[#This Row],[MONTANT HT FACTURE]]</f>
        <v>2880000</v>
      </c>
      <c r="L199" s="34">
        <f>+IFERROR(Tableau2[[#This Row],[MONTANT HT FACTURE]]/Tableau2[[#This Row],[MONTANT HT VALIDE]],0)</f>
        <v>0</v>
      </c>
      <c r="M19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199" t="str">
        <f>+IFERROR(INDEX(Tableau6[[ENTITE]:[N° BC]],MATCH(Tableau2[[#This Row],[ID BC UNIQUE]],Tableau6[N° BC],0),7),"")</f>
        <v>444B0200</v>
      </c>
      <c r="O199" t="str">
        <f>+IFERROR(INDEX(Tableau24[],MATCH(Tableau2[[#This Row],[CODE PROJET]],Tableau24[CODE PROJET],0),2),"")</f>
        <v>UNIVERSITE D ODIENNE GROS ŒUVRE</v>
      </c>
    </row>
    <row r="200" spans="3:16" x14ac:dyDescent="0.2">
      <c r="C200" s="3">
        <v>45864</v>
      </c>
      <c r="D200" s="6" t="s">
        <v>610</v>
      </c>
      <c r="E200" s="253" t="s">
        <v>60</v>
      </c>
      <c r="F200" s="58" t="s">
        <v>138</v>
      </c>
      <c r="G200">
        <v>30</v>
      </c>
      <c r="H200" s="392">
        <v>1440000</v>
      </c>
      <c r="I200" s="392">
        <v>1440000</v>
      </c>
      <c r="J200" s="90">
        <f>+SUMIFS(Tableau6[MONTANT HT],Tableau6[CLIENT],Tableau2[[#This Row],[NOM CLIENT]],Tableau6[N° BC],Tableau2[[#This Row],[ID BC UNIQUE]])-SUMIFS(Tableau6[MONTANT HT],Tableau6[CLIENT],Tableau2[[#This Row],[NOM CLIENT]],Tableau6[N° BC],Tableau2[[#This Row],[ID BC UNIQUE]])</f>
        <v>0</v>
      </c>
      <c r="K200" s="90">
        <f>Tableau2[[#This Row],[MONTANT HT VALIDE]]-Tableau2[[#This Row],[MONTANT HT FACTURE]]</f>
        <v>1440000</v>
      </c>
      <c r="L200" s="34">
        <f>+IFERROR(Tableau2[[#This Row],[MONTANT HT FACTURE]]/Tableau2[[#This Row],[MONTANT HT VALIDE]],0)</f>
        <v>0</v>
      </c>
      <c r="M20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00" t="str">
        <f>+IFERROR(INDEX(Tableau6[[ENTITE]:[N° BC]],MATCH(Tableau2[[#This Row],[ID BC UNIQUE]],Tableau6[N° BC],0),7),"")</f>
        <v>444B0200</v>
      </c>
      <c r="O200" t="str">
        <f>+IFERROR(INDEX(Tableau24[],MATCH(Tableau2[[#This Row],[CODE PROJET]],Tableau24[CODE PROJET],0),2),"")</f>
        <v>UNIVERSITE D ODIENNE GROS ŒUVRE</v>
      </c>
    </row>
    <row r="201" spans="3:16" x14ac:dyDescent="0.2">
      <c r="C201" s="3">
        <v>45864</v>
      </c>
      <c r="D201" s="6" t="s">
        <v>611</v>
      </c>
      <c r="E201" s="253" t="s">
        <v>60</v>
      </c>
      <c r="F201" s="58" t="s">
        <v>138</v>
      </c>
      <c r="G201">
        <v>30</v>
      </c>
      <c r="H201" s="392">
        <v>1440000</v>
      </c>
      <c r="I201" s="392">
        <v>1440000</v>
      </c>
      <c r="J201" s="90">
        <f>+SUMIFS(Tableau6[MONTANT HT],Tableau6[CLIENT],Tableau2[[#This Row],[NOM CLIENT]],Tableau6[N° BC],Tableau2[[#This Row],[ID BC UNIQUE]])-SUMIFS(Tableau6[MONTANT HT],Tableau6[CLIENT],Tableau2[[#This Row],[NOM CLIENT]],Tableau6[N° BC],Tableau2[[#This Row],[ID BC UNIQUE]])</f>
        <v>0</v>
      </c>
      <c r="K201" s="90">
        <f>Tableau2[[#This Row],[MONTANT HT VALIDE]]-Tableau2[[#This Row],[MONTANT HT FACTURE]]</f>
        <v>1440000</v>
      </c>
      <c r="L201" s="34">
        <f>+IFERROR(Tableau2[[#This Row],[MONTANT HT FACTURE]]/Tableau2[[#This Row],[MONTANT HT VALIDE]],0)</f>
        <v>0</v>
      </c>
      <c r="M20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01" t="str">
        <f>+IFERROR(INDEX(Tableau6[[ENTITE]:[N° BC]],MATCH(Tableau2[[#This Row],[ID BC UNIQUE]],Tableau6[N° BC],0),7),"")</f>
        <v>444B0200</v>
      </c>
      <c r="O201" t="str">
        <f>+IFERROR(INDEX(Tableau24[],MATCH(Tableau2[[#This Row],[CODE PROJET]],Tableau24[CODE PROJET],0),2),"")</f>
        <v>UNIVERSITE D ODIENNE GROS ŒUVRE</v>
      </c>
    </row>
    <row r="202" spans="3:16" x14ac:dyDescent="0.2">
      <c r="C202" s="3">
        <v>45864</v>
      </c>
      <c r="D202" s="6" t="s">
        <v>612</v>
      </c>
      <c r="E202" s="253" t="s">
        <v>60</v>
      </c>
      <c r="F202" s="58" t="s">
        <v>138</v>
      </c>
      <c r="G202">
        <v>30</v>
      </c>
      <c r="H202" s="392">
        <v>2880000</v>
      </c>
      <c r="I202" s="392">
        <v>2880000</v>
      </c>
      <c r="J202" s="90">
        <f>+SUMIFS(Tableau6[MONTANT HT],Tableau6[CLIENT],Tableau2[[#This Row],[NOM CLIENT]],Tableau6[N° BC],Tableau2[[#This Row],[ID BC UNIQUE]])-SUMIFS(Tableau6[MONTANT HT],Tableau6[CLIENT],Tableau2[[#This Row],[NOM CLIENT]],Tableau6[N° BC],Tableau2[[#This Row],[ID BC UNIQUE]])</f>
        <v>0</v>
      </c>
      <c r="K202" s="90">
        <f>Tableau2[[#This Row],[MONTANT HT VALIDE]]-Tableau2[[#This Row],[MONTANT HT FACTURE]]</f>
        <v>2880000</v>
      </c>
      <c r="L202" s="34">
        <f>+IFERROR(Tableau2[[#This Row],[MONTANT HT FACTURE]]/Tableau2[[#This Row],[MONTANT HT VALIDE]],0)</f>
        <v>0</v>
      </c>
      <c r="M20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02" t="str">
        <f>+IFERROR(INDEX(Tableau6[[ENTITE]:[N° BC]],MATCH(Tableau2[[#This Row],[ID BC UNIQUE]],Tableau6[N° BC],0),7),"")</f>
        <v>444B0200</v>
      </c>
      <c r="O202" t="str">
        <f>+IFERROR(INDEX(Tableau24[],MATCH(Tableau2[[#This Row],[CODE PROJET]],Tableau24[CODE PROJET],0),2),"")</f>
        <v>UNIVERSITE D ODIENNE GROS ŒUVRE</v>
      </c>
    </row>
    <row r="203" spans="3:16" x14ac:dyDescent="0.2">
      <c r="C203" s="3">
        <v>45864</v>
      </c>
      <c r="D203" s="6" t="s">
        <v>613</v>
      </c>
      <c r="E203" s="253" t="s">
        <v>60</v>
      </c>
      <c r="F203" s="58" t="s">
        <v>138</v>
      </c>
      <c r="G203">
        <v>30</v>
      </c>
      <c r="H203" s="392">
        <v>1440000</v>
      </c>
      <c r="I203" s="392">
        <v>1440000</v>
      </c>
      <c r="J203" s="90">
        <f>+SUMIFS(Tableau6[MONTANT HT],Tableau6[CLIENT],Tableau2[[#This Row],[NOM CLIENT]],Tableau6[N° BC],Tableau2[[#This Row],[ID BC UNIQUE]])-SUMIFS(Tableau6[MONTANT HT],Tableau6[CLIENT],Tableau2[[#This Row],[NOM CLIENT]],Tableau6[N° BC],Tableau2[[#This Row],[ID BC UNIQUE]])</f>
        <v>0</v>
      </c>
      <c r="K203" s="90">
        <f>Tableau2[[#This Row],[MONTANT HT VALIDE]]-Tableau2[[#This Row],[MONTANT HT FACTURE]]</f>
        <v>1440000</v>
      </c>
      <c r="L203" s="34">
        <f>+IFERROR(Tableau2[[#This Row],[MONTANT HT FACTURE]]/Tableau2[[#This Row],[MONTANT HT VALIDE]],0)</f>
        <v>0</v>
      </c>
      <c r="M20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03" t="str">
        <f>+IFERROR(INDEX(Tableau6[[ENTITE]:[N° BC]],MATCH(Tableau2[[#This Row],[ID BC UNIQUE]],Tableau6[N° BC],0),7),"")</f>
        <v>444B0200</v>
      </c>
      <c r="O203" t="str">
        <f>+IFERROR(INDEX(Tableau24[],MATCH(Tableau2[[#This Row],[CODE PROJET]],Tableau24[CODE PROJET],0),2),"")</f>
        <v>UNIVERSITE D ODIENNE GROS ŒUVRE</v>
      </c>
    </row>
    <row r="204" spans="3:16" x14ac:dyDescent="0.2">
      <c r="C204" s="3">
        <v>45869</v>
      </c>
      <c r="D204" s="253" t="s">
        <v>339</v>
      </c>
      <c r="E204" s="253" t="s">
        <v>60</v>
      </c>
      <c r="F204" s="58" t="s">
        <v>138</v>
      </c>
      <c r="G204">
        <v>30</v>
      </c>
      <c r="H204" s="392">
        <v>990000</v>
      </c>
      <c r="I204" s="156">
        <v>990000</v>
      </c>
      <c r="J204" s="90">
        <f>+SUMIFS(Tableau6[MONTANT HT],Tableau6[CLIENT],Tableau2[[#This Row],[NOM CLIENT]],Tableau6[N° BC],Tableau2[[#This Row],[ID BC UNIQUE]])-SUMIFS(Tableau6[MONTANT HT],Tableau6[CLIENT],Tableau2[[#This Row],[NOM CLIENT]],Tableau6[N° BC],Tableau2[[#This Row],[ID BC UNIQUE]])</f>
        <v>0</v>
      </c>
      <c r="K204" s="90">
        <f>Tableau2[[#This Row],[MONTANT HT VALIDE]]-Tableau2[[#This Row],[MONTANT HT FACTURE]]</f>
        <v>990000</v>
      </c>
      <c r="L204" s="34">
        <f>+IFERROR(Tableau2[[#This Row],[MONTANT HT FACTURE]]/Tableau2[[#This Row],[MONTANT HT VALIDE]],0)</f>
        <v>0</v>
      </c>
      <c r="M20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04" t="str">
        <f>+IFERROR(INDEX(Tableau6[[ENTITE]:[N° BC]],MATCH(Tableau2[[#This Row],[ID BC UNIQUE]],Tableau6[N° BC],0),7),"")</f>
        <v>305R8002</v>
      </c>
      <c r="O204" t="str">
        <f>+IFERROR(INDEX(Tableau24[],MATCH(Tableau2[[#This Row],[CODE PROJET]],Tableau24[CODE PROJET],0),2),"")</f>
        <v>ROUTE DABAKALA-KONG TX MAD ENGIN</v>
      </c>
      <c r="P204" t="s">
        <v>94</v>
      </c>
    </row>
    <row r="205" spans="3:16" x14ac:dyDescent="0.2">
      <c r="C205" s="3">
        <v>45869</v>
      </c>
      <c r="D205" s="6" t="s">
        <v>228</v>
      </c>
      <c r="E205" s="6" t="s">
        <v>60</v>
      </c>
      <c r="F205" s="58" t="s">
        <v>138</v>
      </c>
      <c r="G205">
        <v>30</v>
      </c>
      <c r="H205" s="392">
        <v>43027500</v>
      </c>
      <c r="I205" s="156">
        <v>43027500</v>
      </c>
      <c r="J205" s="90">
        <f>+SUMIFS(Tableau6[MONTANT HT],Tableau6[CLIENT],Tableau2[[#This Row],[NOM CLIENT]],Tableau6[N° BC],Tableau2[[#This Row],[ID BC UNIQUE]])-SUMIFS(Tableau6[MONTANT HT],Tableau6[CLIENT],Tableau2[[#This Row],[NOM CLIENT]],Tableau6[N° BC],Tableau2[[#This Row],[ID BC UNIQUE]])</f>
        <v>0</v>
      </c>
      <c r="K205" s="90">
        <f>Tableau2[[#This Row],[MONTANT HT VALIDE]]-Tableau2[[#This Row],[MONTANT HT FACTURE]]</f>
        <v>43027500</v>
      </c>
      <c r="L205" s="34">
        <f>+IFERROR(Tableau2[[#This Row],[MONTANT HT FACTURE]]/Tableau2[[#This Row],[MONTANT HT VALIDE]],0)</f>
        <v>0</v>
      </c>
      <c r="M20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05" t="str">
        <f>+IFERROR(INDEX(Tableau6[[ENTITE]:[N° BC]],MATCH(Tableau2[[#This Row],[ID BC UNIQUE]],Tableau6[N° BC],0),7),"")</f>
        <v>017G4101</v>
      </c>
      <c r="O205" t="str">
        <f>+IFERROR(INDEX(Tableau24[],MATCH(Tableau2[[#This Row],[CODE PROJET]],Tableau24[CODE PROJET],0),2),"")</f>
        <v>ATELIER PETIT NASS. KT SM LOCAT°</v>
      </c>
    </row>
    <row r="206" spans="3:16" x14ac:dyDescent="0.2">
      <c r="C206" s="3">
        <v>45869</v>
      </c>
      <c r="D206" s="6" t="s">
        <v>603</v>
      </c>
      <c r="E206" s="253" t="s">
        <v>60</v>
      </c>
      <c r="F206" s="58" t="s">
        <v>102</v>
      </c>
      <c r="G206">
        <v>30</v>
      </c>
      <c r="H206" s="392">
        <v>8510000</v>
      </c>
      <c r="I206" s="392">
        <v>8510000</v>
      </c>
      <c r="J206" s="90">
        <f>+SUMIFS(Tableau6[MONTANT HT],Tableau6[CLIENT],Tableau2[[#This Row],[NOM CLIENT]],Tableau6[N° BC],Tableau2[[#This Row],[ID BC UNIQUE]])-SUMIFS(Tableau6[MONTANT HT],Tableau6[CLIENT],Tableau2[[#This Row],[NOM CLIENT]],Tableau6[N° BC],Tableau2[[#This Row],[ID BC UNIQUE]])</f>
        <v>0</v>
      </c>
      <c r="K206" s="90">
        <f>Tableau2[[#This Row],[MONTANT HT VALIDE]]-Tableau2[[#This Row],[MONTANT HT FACTURE]]</f>
        <v>8510000</v>
      </c>
      <c r="L206" s="34">
        <f>+IFERROR(Tableau2[[#This Row],[MONTANT HT FACTURE]]/Tableau2[[#This Row],[MONTANT HT VALIDE]],0)</f>
        <v>0</v>
      </c>
      <c r="M20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06" t="str">
        <f>+IFERROR(INDEX(Tableau6[[ENTITE]:[N° BC]],MATCH(Tableau2[[#This Row],[ID BC UNIQUE]],Tableau6[N° BC],0),7),"")</f>
        <v>211R3002</v>
      </c>
      <c r="O206" t="str">
        <f>+IFERROR(INDEX(Tableau24[],MATCH(Tableau2[[#This Row],[CODE PROJET]],Tableau24[CODE PROJET],0),2),"")</f>
        <v>KOUTO-NIELLE-NBEMGUE_LOCATION EXTERNE</v>
      </c>
    </row>
    <row r="207" spans="3:16" x14ac:dyDescent="0.2">
      <c r="C207" s="3">
        <v>45881</v>
      </c>
      <c r="D207" s="6" t="s">
        <v>227</v>
      </c>
      <c r="E207" s="6" t="s">
        <v>60</v>
      </c>
      <c r="F207" s="58" t="s">
        <v>138</v>
      </c>
      <c r="G207">
        <v>30</v>
      </c>
      <c r="H207" s="392">
        <v>21260009</v>
      </c>
      <c r="I207" s="156">
        <v>21260009</v>
      </c>
      <c r="J207" s="90">
        <f>+SUMIFS(Tableau6[MONTANT HT],Tableau6[CLIENT],Tableau2[[#This Row],[NOM CLIENT]],Tableau6[N° BC],Tableau2[[#This Row],[ID BC UNIQUE]])-SUMIFS(Tableau6[MONTANT HT],Tableau6[CLIENT],Tableau2[[#This Row],[NOM CLIENT]],Tableau6[N° BC],Tableau2[[#This Row],[ID BC UNIQUE]])</f>
        <v>0</v>
      </c>
      <c r="K207" s="90">
        <f>Tableau2[[#This Row],[MONTANT HT VALIDE]]-Tableau2[[#This Row],[MONTANT HT FACTURE]]</f>
        <v>21260009</v>
      </c>
      <c r="L207" s="34">
        <f>+IFERROR(Tableau2[[#This Row],[MONTANT HT FACTURE]]/Tableau2[[#This Row],[MONTANT HT VALIDE]],0)</f>
        <v>0</v>
      </c>
      <c r="M20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07" t="str">
        <f>+IFERROR(INDEX(Tableau6[[ENTITE]:[N° BC]],MATCH(Tableau2[[#This Row],[ID BC UNIQUE]],Tableau6[N° BC],0),7),"")</f>
        <v>011G4101</v>
      </c>
      <c r="O207" t="str">
        <f>+IFERROR(INDEX(Tableau24[],MATCH(Tableau2[[#This Row],[CODE PROJET]],Tableau24[CODE PROJET],0),2),"")</f>
        <v>ATELIER DABAKALA CHARGRES ACT LOC E</v>
      </c>
    </row>
    <row r="208" spans="3:16" x14ac:dyDescent="0.2">
      <c r="C208" s="3">
        <v>45881</v>
      </c>
      <c r="D208" s="6" t="s">
        <v>616</v>
      </c>
      <c r="E208" s="253" t="s">
        <v>60</v>
      </c>
      <c r="F208" s="58" t="s">
        <v>138</v>
      </c>
      <c r="G208">
        <v>30</v>
      </c>
      <c r="H208" s="392">
        <v>705000</v>
      </c>
      <c r="I208" s="392">
        <v>705000</v>
      </c>
      <c r="J208" s="90">
        <f>+SUMIFS(Tableau6[MONTANT HT],Tableau6[CLIENT],Tableau2[[#This Row],[NOM CLIENT]],Tableau6[N° BC],Tableau2[[#This Row],[ID BC UNIQUE]])-SUMIFS(Tableau6[MONTANT HT],Tableau6[CLIENT],Tableau2[[#This Row],[NOM CLIENT]],Tableau6[N° BC],Tableau2[[#This Row],[ID BC UNIQUE]])</f>
        <v>0</v>
      </c>
      <c r="K208" s="90">
        <f>Tableau2[[#This Row],[MONTANT HT VALIDE]]-Tableau2[[#This Row],[MONTANT HT FACTURE]]</f>
        <v>705000</v>
      </c>
      <c r="L208" s="34">
        <f>+IFERROR(Tableau2[[#This Row],[MONTANT HT FACTURE]]/Tableau2[[#This Row],[MONTANT HT VALIDE]],0)</f>
        <v>0</v>
      </c>
      <c r="M20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08" t="str">
        <f>+IFERROR(INDEX(Tableau6[[ENTITE]:[N° BC]],MATCH(Tableau2[[#This Row],[ID BC UNIQUE]],Tableau6[N° BC],0),7),"")</f>
        <v>015G4101</v>
      </c>
      <c r="O208" t="str">
        <f>+IFERROR(INDEX(Tableau24[],MATCH(Tableau2[[#This Row],[CODE PROJET]],Tableau24[CODE PROJET],0),2),"")</f>
        <v>ATELIER KONG CHARGE ACT LOCAT° EXT</v>
      </c>
    </row>
    <row r="209" spans="2:15" x14ac:dyDescent="0.2">
      <c r="C209" s="3">
        <v>45881</v>
      </c>
      <c r="D209" s="6" t="s">
        <v>628</v>
      </c>
      <c r="E209" s="253" t="s">
        <v>60</v>
      </c>
      <c r="F209" s="58" t="s">
        <v>138</v>
      </c>
      <c r="G209">
        <v>30</v>
      </c>
      <c r="H209" s="392">
        <v>10100015.254237289</v>
      </c>
      <c r="I209" s="392">
        <v>10100015.254237289</v>
      </c>
      <c r="J209" s="90">
        <f>+SUMIFS(Tableau6[MONTANT HT],Tableau6[CLIENT],Tableau2[[#This Row],[NOM CLIENT]],Tableau6[N° BC],Tableau2[[#This Row],[ID BC UNIQUE]])-SUMIFS(Tableau6[MONTANT HT],Tableau6[CLIENT],Tableau2[[#This Row],[NOM CLIENT]],Tableau6[N° BC],Tableau2[[#This Row],[ID BC UNIQUE]])</f>
        <v>0</v>
      </c>
      <c r="K209" s="90">
        <f>Tableau2[[#This Row],[MONTANT HT VALIDE]]-Tableau2[[#This Row],[MONTANT HT FACTURE]]</f>
        <v>10100015.254237289</v>
      </c>
      <c r="L209" s="34">
        <f>+IFERROR(Tableau2[[#This Row],[MONTANT HT FACTURE]]/Tableau2[[#This Row],[MONTANT HT VALIDE]],0)</f>
        <v>0</v>
      </c>
      <c r="M20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09" t="str">
        <f>+IFERROR(INDEX(Tableau6[[ENTITE]:[N° BC]],MATCH(Tableau2[[#This Row],[ID BC UNIQUE]],Tableau6[N° BC],0),7),"")</f>
        <v>015G4101</v>
      </c>
      <c r="O209" t="str">
        <f>+IFERROR(INDEX(Tableau24[],MATCH(Tableau2[[#This Row],[CODE PROJET]],Tableau24[CODE PROJET],0),2),"")</f>
        <v>ATELIER KONG CHARGE ACT LOCAT° EXT</v>
      </c>
    </row>
    <row r="210" spans="2:15" x14ac:dyDescent="0.2">
      <c r="C210" s="3">
        <v>45891</v>
      </c>
      <c r="D210" s="253" t="s">
        <v>224</v>
      </c>
      <c r="E210" s="6" t="s">
        <v>60</v>
      </c>
      <c r="F210" s="58" t="s">
        <v>102</v>
      </c>
      <c r="G210">
        <v>30</v>
      </c>
      <c r="H210" s="392">
        <v>27820000</v>
      </c>
      <c r="I210" s="156">
        <v>27820000</v>
      </c>
      <c r="J210" s="90">
        <f>+SUMIFS(Tableau6[MONTANT HT],Tableau6[CLIENT],Tableau2[[#This Row],[NOM CLIENT]],Tableau6[N° BC],Tableau2[[#This Row],[ID BC UNIQUE]])-SUMIFS(Tableau6[MONTANT HT],Tableau6[CLIENT],Tableau2[[#This Row],[NOM CLIENT]],Tableau6[N° BC],Tableau2[[#This Row],[ID BC UNIQUE]])</f>
        <v>0</v>
      </c>
      <c r="K210" s="90">
        <f>Tableau2[[#This Row],[MONTANT HT VALIDE]]-Tableau2[[#This Row],[MONTANT HT FACTURE]]</f>
        <v>27820000</v>
      </c>
      <c r="L210" s="34">
        <f>+IFERROR(Tableau2[[#This Row],[MONTANT HT FACTURE]]/Tableau2[[#This Row],[MONTANT HT VALIDE]],0)</f>
        <v>0</v>
      </c>
      <c r="M21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10" t="str">
        <f>+IFERROR(INDEX(Tableau6[[ENTITE]:[N° BC]],MATCH(Tableau2[[#This Row],[ID BC UNIQUE]],Tableau6[N° BC],0),7),"")</f>
        <v>211R2009</v>
      </c>
      <c r="O210" t="str">
        <f>+IFERROR(INDEX(Tableau24[],MATCH(Tableau2[[#This Row],[CODE PROJET]],Tableau24[CODE PROJET],0),2),"")</f>
        <v>KOUTO-NIELLE_TRAVAUX COFFRAGE</v>
      </c>
    </row>
    <row r="211" spans="2:15" x14ac:dyDescent="0.2">
      <c r="C211" s="3">
        <v>45894</v>
      </c>
      <c r="D211" s="253" t="s">
        <v>263</v>
      </c>
      <c r="E211" s="253" t="s">
        <v>60</v>
      </c>
      <c r="F211" s="58" t="s">
        <v>107</v>
      </c>
      <c r="H211" s="392">
        <v>1096500</v>
      </c>
      <c r="I211" s="156">
        <v>1096500</v>
      </c>
      <c r="J211" s="90">
        <f>+SUMIFS(Tableau6[MONTANT HT],Tableau6[CLIENT],Tableau2[[#This Row],[NOM CLIENT]],Tableau6[N° BC],Tableau2[[#This Row],[ID BC UNIQUE]])-SUMIFS(Tableau6[MONTANT HT],Tableau6[CLIENT],Tableau2[[#This Row],[NOM CLIENT]],Tableau6[N° BC],Tableau2[[#This Row],[ID BC UNIQUE]])</f>
        <v>0</v>
      </c>
      <c r="K211" s="90">
        <f>Tableau2[[#This Row],[MONTANT HT VALIDE]]-Tableau2[[#This Row],[MONTANT HT FACTURE]]</f>
        <v>1096500</v>
      </c>
      <c r="L211" s="34">
        <f>+IFERROR(Tableau2[[#This Row],[MONTANT HT FACTURE]]/Tableau2[[#This Row],[MONTANT HT VALIDE]],0)</f>
        <v>0</v>
      </c>
      <c r="M21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11" t="str">
        <f>+IFERROR(INDEX(Tableau6[[ENTITE]:[N° BC]],MATCH(Tableau2[[#This Row],[ID BC UNIQUE]],Tableau6[N° BC],0),7),"")</f>
        <v>SONGON</v>
      </c>
      <c r="O211" t="str">
        <f>+IFERROR(INDEX(Tableau24[],MATCH(Tableau2[[#This Row],[CODE PROJET]],Tableau24[CODE PROJET],0),2),"")</f>
        <v>SONGON</v>
      </c>
    </row>
    <row r="212" spans="2:15" x14ac:dyDescent="0.2">
      <c r="C212" s="3">
        <v>45894</v>
      </c>
      <c r="D212" s="6" t="s">
        <v>618</v>
      </c>
      <c r="E212" s="253" t="s">
        <v>60</v>
      </c>
      <c r="F212" s="58" t="s">
        <v>138</v>
      </c>
      <c r="G212">
        <v>30</v>
      </c>
      <c r="H212" s="392">
        <v>33930008.474576272</v>
      </c>
      <c r="I212" s="392">
        <v>33930008.474576272</v>
      </c>
      <c r="J212" s="90">
        <f>+SUMIFS(Tableau6[MONTANT HT],Tableau6[CLIENT],Tableau2[[#This Row],[NOM CLIENT]],Tableau6[N° BC],Tableau2[[#This Row],[ID BC UNIQUE]])-SUMIFS(Tableau6[MONTANT HT],Tableau6[CLIENT],Tableau2[[#This Row],[NOM CLIENT]],Tableau6[N° BC],Tableau2[[#This Row],[ID BC UNIQUE]])</f>
        <v>0</v>
      </c>
      <c r="K212" s="90">
        <f>Tableau2[[#This Row],[MONTANT HT VALIDE]]-Tableau2[[#This Row],[MONTANT HT FACTURE]]</f>
        <v>33930008.474576272</v>
      </c>
      <c r="L212" s="34">
        <f>+IFERROR(Tableau2[[#This Row],[MONTANT HT FACTURE]]/Tableau2[[#This Row],[MONTANT HT VALIDE]],0)</f>
        <v>0</v>
      </c>
      <c r="M21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12" t="str">
        <f>+IFERROR(INDEX(Tableau6[[ENTITE]:[N° BC]],MATCH(Tableau2[[#This Row],[ID BC UNIQUE]],Tableau6[N° BC],0),7),"")</f>
        <v>011G4101</v>
      </c>
      <c r="O212" t="str">
        <f>+IFERROR(INDEX(Tableau24[],MATCH(Tableau2[[#This Row],[CODE PROJET]],Tableau24[CODE PROJET],0),2),"")</f>
        <v>ATELIER DABAKALA CHARGRES ACT LOC E</v>
      </c>
    </row>
    <row r="213" spans="2:15" x14ac:dyDescent="0.2">
      <c r="C213" s="3">
        <v>45896</v>
      </c>
      <c r="D213" s="6" t="s">
        <v>620</v>
      </c>
      <c r="E213" s="253" t="s">
        <v>60</v>
      </c>
      <c r="F213" s="58" t="s">
        <v>138</v>
      </c>
      <c r="G213">
        <v>30</v>
      </c>
      <c r="H213" s="392">
        <v>3240000</v>
      </c>
      <c r="I213" s="392">
        <v>3240000</v>
      </c>
      <c r="J213" s="90">
        <f>+SUMIFS(Tableau6[MONTANT HT],Tableau6[CLIENT],Tableau2[[#This Row],[NOM CLIENT]],Tableau6[N° BC],Tableau2[[#This Row],[ID BC UNIQUE]])-SUMIFS(Tableau6[MONTANT HT],Tableau6[CLIENT],Tableau2[[#This Row],[NOM CLIENT]],Tableau6[N° BC],Tableau2[[#This Row],[ID BC UNIQUE]])</f>
        <v>0</v>
      </c>
      <c r="K213" s="90">
        <f>Tableau2[[#This Row],[MONTANT HT VALIDE]]-Tableau2[[#This Row],[MONTANT HT FACTURE]]</f>
        <v>3240000</v>
      </c>
      <c r="L213" s="34">
        <f>+IFERROR(Tableau2[[#This Row],[MONTANT HT FACTURE]]/Tableau2[[#This Row],[MONTANT HT VALIDE]],0)</f>
        <v>0</v>
      </c>
      <c r="M21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13" t="str">
        <f>+IFERROR(INDEX(Tableau6[[ENTITE]:[N° BC]],MATCH(Tableau2[[#This Row],[ID BC UNIQUE]],Tableau6[N° BC],0),7),"")</f>
        <v>009G4101</v>
      </c>
      <c r="O213" t="str">
        <f>+IFERROR(INDEX(Tableau24[],MATCH(Tableau2[[#This Row],[CODE PROJET]],Tableau24[CODE PROJET],0),2),"")</f>
        <v>ATELIER BOUAKE CHARGE ACT LOCAT° EXT</v>
      </c>
    </row>
    <row r="214" spans="2:15" x14ac:dyDescent="0.2">
      <c r="C214" s="3">
        <v>45897</v>
      </c>
      <c r="D214" s="253" t="s">
        <v>214</v>
      </c>
      <c r="E214" s="253" t="s">
        <v>60</v>
      </c>
      <c r="F214" s="58" t="s">
        <v>138</v>
      </c>
      <c r="G214">
        <v>30</v>
      </c>
      <c r="H214" s="392">
        <v>1500000</v>
      </c>
      <c r="I214" s="156">
        <v>1500000</v>
      </c>
      <c r="J214" s="90">
        <f>+SUMIFS(Tableau6[MONTANT HT],Tableau6[CLIENT],Tableau2[[#This Row],[NOM CLIENT]],Tableau6[N° BC],Tableau2[[#This Row],[ID BC UNIQUE]])-SUMIFS(Tableau6[MONTANT HT],Tableau6[CLIENT],Tableau2[[#This Row],[NOM CLIENT]],Tableau6[N° BC],Tableau2[[#This Row],[ID BC UNIQUE]])</f>
        <v>0</v>
      </c>
      <c r="K214" s="90">
        <f>Tableau2[[#This Row],[MONTANT HT VALIDE]]-Tableau2[[#This Row],[MONTANT HT FACTURE]]</f>
        <v>1500000</v>
      </c>
      <c r="L214" s="34">
        <f>+IFERROR(Tableau2[[#This Row],[MONTANT HT FACTURE]]/Tableau2[[#This Row],[MONTANT HT VALIDE]],0)</f>
        <v>0</v>
      </c>
      <c r="M21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14" t="str">
        <f>+IFERROR(INDEX(Tableau6[[ENTITE]:[N° BC]],MATCH(Tableau2[[#This Row],[ID BC UNIQUE]],Tableau6[N° BC],0),7),"")</f>
        <v>015G3114</v>
      </c>
      <c r="O214" t="str">
        <f>+IFERROR(INDEX(Tableau24[],MATCH(Tableau2[[#This Row],[CODE PROJET]],Tableau24[CODE PROJET],0),2),"")</f>
        <v>ATELIER KONG CHARGE ACT LOCATION</v>
      </c>
    </row>
    <row r="215" spans="2:15" x14ac:dyDescent="0.2">
      <c r="C215" s="3">
        <v>45902</v>
      </c>
      <c r="D215" s="6" t="s">
        <v>623</v>
      </c>
      <c r="E215" s="253" t="s">
        <v>60</v>
      </c>
      <c r="F215" s="58" t="s">
        <v>108</v>
      </c>
      <c r="H215" s="392">
        <v>1980000</v>
      </c>
      <c r="I215" s="392">
        <v>1980000</v>
      </c>
      <c r="J215" s="90">
        <f>+SUMIFS(Tableau6[MONTANT HT],Tableau6[CLIENT],Tableau2[[#This Row],[NOM CLIENT]],Tableau6[N° BC],Tableau2[[#This Row],[ID BC UNIQUE]])-SUMIFS(Tableau6[MONTANT HT],Tableau6[CLIENT],Tableau2[[#This Row],[NOM CLIENT]],Tableau6[N° BC],Tableau2[[#This Row],[ID BC UNIQUE]])</f>
        <v>0</v>
      </c>
      <c r="K215" s="90">
        <f>Tableau2[[#This Row],[MONTANT HT VALIDE]]-Tableau2[[#This Row],[MONTANT HT FACTURE]]</f>
        <v>1980000</v>
      </c>
      <c r="L215" s="34">
        <f>+IFERROR(Tableau2[[#This Row],[MONTANT HT FACTURE]]/Tableau2[[#This Row],[MONTANT HT VALIDE]],0)</f>
        <v>0</v>
      </c>
      <c r="M21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15" s="6">
        <f>+IFERROR(INDEX(Tableau6[[ENTITE]:[N° BC]],MATCH(Tableau2[[#This Row],[ID BC UNIQUE]],Tableau6[N° BC],0),7),"")</f>
        <v>204</v>
      </c>
      <c r="O215" t="str">
        <f>+IFERROR(INDEX(Tableau24[],MATCH(Tableau2[[#This Row],[CODE PROJET]],Tableau24[CODE PROJET],0),2),"")</f>
        <v/>
      </c>
    </row>
    <row r="216" spans="2:15" x14ac:dyDescent="0.2">
      <c r="C216" s="3">
        <v>45905</v>
      </c>
      <c r="D216" s="6" t="s">
        <v>614</v>
      </c>
      <c r="E216" s="253" t="s">
        <v>60</v>
      </c>
      <c r="F216" s="58" t="s">
        <v>102</v>
      </c>
      <c r="G216">
        <v>30</v>
      </c>
      <c r="H216" s="392">
        <v>2715000</v>
      </c>
      <c r="I216" s="392">
        <v>2715000</v>
      </c>
      <c r="J216" s="90">
        <f>+SUMIFS(Tableau6[MONTANT HT],Tableau6[CLIENT],Tableau2[[#This Row],[NOM CLIENT]],Tableau6[N° BC],Tableau2[[#This Row],[ID BC UNIQUE]])-SUMIFS(Tableau6[MONTANT HT],Tableau6[CLIENT],Tableau2[[#This Row],[NOM CLIENT]],Tableau6[N° BC],Tableau2[[#This Row],[ID BC UNIQUE]])</f>
        <v>0</v>
      </c>
      <c r="K216" s="90">
        <f>Tableau2[[#This Row],[MONTANT HT VALIDE]]-Tableau2[[#This Row],[MONTANT HT FACTURE]]</f>
        <v>2715000</v>
      </c>
      <c r="L216" s="34">
        <f>+IFERROR(Tableau2[[#This Row],[MONTANT HT FACTURE]]/Tableau2[[#This Row],[MONTANT HT VALIDE]],0)</f>
        <v>0</v>
      </c>
      <c r="M21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16" t="str">
        <f>+IFERROR(INDEX(Tableau6[[ENTITE]:[N° BC]],MATCH(Tableau2[[#This Row],[ID BC UNIQUE]],Tableau6[N° BC],0),7),"")</f>
        <v>211R3002</v>
      </c>
      <c r="O216" t="str">
        <f>+IFERROR(INDEX(Tableau24[],MATCH(Tableau2[[#This Row],[CODE PROJET]],Tableau24[CODE PROJET],0),2),"")</f>
        <v>KOUTO-NIELLE-NBEMGUE_LOCATION EXTERNE</v>
      </c>
    </row>
    <row r="217" spans="2:15" x14ac:dyDescent="0.2">
      <c r="C217" s="3">
        <v>45907</v>
      </c>
      <c r="D217" s="6" t="s">
        <v>621</v>
      </c>
      <c r="E217" s="253" t="s">
        <v>60</v>
      </c>
      <c r="F217" s="58" t="s">
        <v>138</v>
      </c>
      <c r="G217">
        <v>30</v>
      </c>
      <c r="H217" s="392">
        <v>2000000</v>
      </c>
      <c r="I217" s="392">
        <v>2000000</v>
      </c>
      <c r="J217" s="90">
        <f>+SUMIFS(Tableau6[MONTANT HT],Tableau6[CLIENT],Tableau2[[#This Row],[NOM CLIENT]],Tableau6[N° BC],Tableau2[[#This Row],[ID BC UNIQUE]])-SUMIFS(Tableau6[MONTANT HT],Tableau6[CLIENT],Tableau2[[#This Row],[NOM CLIENT]],Tableau6[N° BC],Tableau2[[#This Row],[ID BC UNIQUE]])</f>
        <v>0</v>
      </c>
      <c r="K217" s="90">
        <f>Tableau2[[#This Row],[MONTANT HT VALIDE]]-Tableau2[[#This Row],[MONTANT HT FACTURE]]</f>
        <v>2000000</v>
      </c>
      <c r="L217" s="34">
        <f>+IFERROR(Tableau2[[#This Row],[MONTANT HT FACTURE]]/Tableau2[[#This Row],[MONTANT HT VALIDE]],0)</f>
        <v>0</v>
      </c>
      <c r="M21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17" t="str">
        <f>+IFERROR(INDEX(Tableau6[[ENTITE]:[N° BC]],MATCH(Tableau2[[#This Row],[ID BC UNIQUE]],Tableau6[N° BC],0),7),"")</f>
        <v>016G4101</v>
      </c>
      <c r="O217" t="str">
        <f>+IFERROR(INDEX(Tableau24[],MATCH(Tableau2[[#This Row],[CODE PROJET]],Tableau24[CODE PROJET],0),2),"")</f>
        <v>ATELIER BINGERVILLE SM LOCATION EXTERNES</v>
      </c>
    </row>
    <row r="218" spans="2:15" x14ac:dyDescent="0.2">
      <c r="C218" s="3">
        <v>45907</v>
      </c>
      <c r="D218" s="6" t="s">
        <v>622</v>
      </c>
      <c r="E218" s="253" t="s">
        <v>60</v>
      </c>
      <c r="F218" s="58" t="s">
        <v>138</v>
      </c>
      <c r="G218">
        <v>30</v>
      </c>
      <c r="H218" s="392">
        <v>2779000</v>
      </c>
      <c r="I218" s="392">
        <v>2779000</v>
      </c>
      <c r="J218" s="90">
        <f>+SUMIFS(Tableau6[MONTANT HT],Tableau6[CLIENT],Tableau2[[#This Row],[NOM CLIENT]],Tableau6[N° BC],Tableau2[[#This Row],[ID BC UNIQUE]])-SUMIFS(Tableau6[MONTANT HT],Tableau6[CLIENT],Tableau2[[#This Row],[NOM CLIENT]],Tableau6[N° BC],Tableau2[[#This Row],[ID BC UNIQUE]])</f>
        <v>0</v>
      </c>
      <c r="K218" s="90">
        <f>Tableau2[[#This Row],[MONTANT HT VALIDE]]-Tableau2[[#This Row],[MONTANT HT FACTURE]]</f>
        <v>2779000</v>
      </c>
      <c r="L218" s="34">
        <f>+IFERROR(Tableau2[[#This Row],[MONTANT HT FACTURE]]/Tableau2[[#This Row],[MONTANT HT VALIDE]],0)</f>
        <v>0</v>
      </c>
      <c r="M21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18" t="str">
        <f>+IFERROR(INDEX(Tableau6[[ENTITE]:[N° BC]],MATCH(Tableau2[[#This Row],[ID BC UNIQUE]],Tableau6[N° BC],0),7),"")</f>
        <v>018G4101</v>
      </c>
      <c r="O218" t="str">
        <f>+IFERROR(INDEX(Tableau24[],MATCH(Tableau2[[#This Row],[CODE PROJET]],Tableau24[CODE PROJET],0),2),"")</f>
        <v>ATELIER KORHOGO SM LOCATION EXTERNES</v>
      </c>
    </row>
    <row r="219" spans="2:15" x14ac:dyDescent="0.2">
      <c r="C219" s="3">
        <v>45912</v>
      </c>
      <c r="D219" s="6" t="s">
        <v>625</v>
      </c>
      <c r="E219" s="253" t="s">
        <v>60</v>
      </c>
      <c r="F219" s="58" t="s">
        <v>138</v>
      </c>
      <c r="G219">
        <v>30</v>
      </c>
      <c r="H219" s="392">
        <v>9200779.6610169504</v>
      </c>
      <c r="I219" s="392">
        <v>9200779.6610169504</v>
      </c>
      <c r="J219" s="90">
        <f>+SUMIFS(Tableau6[MONTANT HT],Tableau6[CLIENT],Tableau2[[#This Row],[NOM CLIENT]],Tableau6[N° BC],Tableau2[[#This Row],[ID BC UNIQUE]])-SUMIFS(Tableau6[MONTANT HT],Tableau6[CLIENT],Tableau2[[#This Row],[NOM CLIENT]],Tableau6[N° BC],Tableau2[[#This Row],[ID BC UNIQUE]])</f>
        <v>0</v>
      </c>
      <c r="K219" s="90">
        <f>Tableau2[[#This Row],[MONTANT HT VALIDE]]-Tableau2[[#This Row],[MONTANT HT FACTURE]]</f>
        <v>9200779.6610169504</v>
      </c>
      <c r="L219" s="34">
        <f>+IFERROR(Tableau2[[#This Row],[MONTANT HT FACTURE]]/Tableau2[[#This Row],[MONTANT HT VALIDE]],0)</f>
        <v>0</v>
      </c>
      <c r="M21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19" t="str">
        <f>+IFERROR(INDEX(Tableau6[[ENTITE]:[N° BC]],MATCH(Tableau2[[#This Row],[ID BC UNIQUE]],Tableau6[N° BC],0),7),"")</f>
        <v>016G4101</v>
      </c>
      <c r="O219" t="str">
        <f>+IFERROR(INDEX(Tableau24[],MATCH(Tableau2[[#This Row],[CODE PROJET]],Tableau24[CODE PROJET],0),2),"")</f>
        <v>ATELIER BINGERVILLE SM LOCATION EXTERNES</v>
      </c>
    </row>
    <row r="220" spans="2:15" x14ac:dyDescent="0.2">
      <c r="C220" s="3">
        <v>45913</v>
      </c>
      <c r="D220" s="6" t="s">
        <v>624</v>
      </c>
      <c r="E220" s="253" t="s">
        <v>60</v>
      </c>
      <c r="F220" s="58" t="s">
        <v>138</v>
      </c>
      <c r="G220">
        <v>30</v>
      </c>
      <c r="H220" s="392">
        <v>2790000</v>
      </c>
      <c r="I220" s="392">
        <v>2790000</v>
      </c>
      <c r="J220" s="90">
        <f>+SUMIFS(Tableau6[MONTANT HT],Tableau6[CLIENT],Tableau2[[#This Row],[NOM CLIENT]],Tableau6[N° BC],Tableau2[[#This Row],[ID BC UNIQUE]])-SUMIFS(Tableau6[MONTANT HT],Tableau6[CLIENT],Tableau2[[#This Row],[NOM CLIENT]],Tableau6[N° BC],Tableau2[[#This Row],[ID BC UNIQUE]])</f>
        <v>0</v>
      </c>
      <c r="K220" s="90">
        <f>Tableau2[[#This Row],[MONTANT HT VALIDE]]-Tableau2[[#This Row],[MONTANT HT FACTURE]]</f>
        <v>2790000</v>
      </c>
      <c r="L220" s="34">
        <f>+IFERROR(Tableau2[[#This Row],[MONTANT HT FACTURE]]/Tableau2[[#This Row],[MONTANT HT VALIDE]],0)</f>
        <v>0</v>
      </c>
      <c r="M22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20" t="str">
        <f>+IFERROR(INDEX(Tableau6[[ENTITE]:[N° BC]],MATCH(Tableau2[[#This Row],[ID BC UNIQUE]],Tableau6[N° BC],0),7),"")</f>
        <v>009G4101</v>
      </c>
      <c r="O220" t="str">
        <f>+IFERROR(INDEX(Tableau24[],MATCH(Tableau2[[#This Row],[CODE PROJET]],Tableau24[CODE PROJET],0),2),"")</f>
        <v>ATELIER BOUAKE CHARGE ACT LOCAT° EXT</v>
      </c>
    </row>
    <row r="221" spans="2:15" x14ac:dyDescent="0.2">
      <c r="C221" s="3">
        <v>45916</v>
      </c>
      <c r="D221" s="253" t="s">
        <v>226</v>
      </c>
      <c r="E221" s="253" t="s">
        <v>60</v>
      </c>
      <c r="F221" s="58" t="s">
        <v>138</v>
      </c>
      <c r="G221">
        <v>30</v>
      </c>
      <c r="H221" s="392">
        <v>6480000</v>
      </c>
      <c r="I221" s="156">
        <v>6480000</v>
      </c>
      <c r="J221" s="90">
        <f>+SUMIFS(Tableau6[MONTANT HT],Tableau6[CLIENT],Tableau2[[#This Row],[NOM CLIENT]],Tableau6[N° BC],Tableau2[[#This Row],[ID BC UNIQUE]])-SUMIFS(Tableau6[MONTANT HT],Tableau6[CLIENT],Tableau2[[#This Row],[NOM CLIENT]],Tableau6[N° BC],Tableau2[[#This Row],[ID BC UNIQUE]])</f>
        <v>0</v>
      </c>
      <c r="K221" s="90">
        <f>Tableau2[[#This Row],[MONTANT HT VALIDE]]-Tableau2[[#This Row],[MONTANT HT FACTURE]]</f>
        <v>6480000</v>
      </c>
      <c r="L221" s="34">
        <f>+IFERROR(Tableau2[[#This Row],[MONTANT HT FACTURE]]/Tableau2[[#This Row],[MONTANT HT VALIDE]],0)</f>
        <v>0</v>
      </c>
      <c r="M22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21" t="str">
        <f>+IFERROR(INDEX(Tableau6[[ENTITE]:[N° BC]],MATCH(Tableau2[[#This Row],[ID BC UNIQUE]],Tableau6[N° BC],0),7),"")</f>
        <v>348R8002</v>
      </c>
      <c r="O221" t="str">
        <f>+IFERROR(INDEX(Tableau24[],MATCH(Tableau2[[#This Row],[CODE PROJET]],Tableau24[CODE PROJET],0),2),"")</f>
        <v>TX BITUMAGE PETIT NASSIAN-KAFOLO-TEHINI-MAD ENGIN</v>
      </c>
    </row>
    <row r="222" spans="2:15" x14ac:dyDescent="0.2">
      <c r="C222" s="3">
        <v>45919</v>
      </c>
      <c r="D222" s="6" t="s">
        <v>220</v>
      </c>
      <c r="E222" s="6" t="s">
        <v>60</v>
      </c>
      <c r="F222" s="58" t="s">
        <v>107</v>
      </c>
      <c r="H222" s="392">
        <v>1840000</v>
      </c>
      <c r="I222" s="156">
        <v>1840000</v>
      </c>
      <c r="J222" s="90">
        <f>+SUMIFS(Tableau6[MONTANT HT],Tableau6[CLIENT],Tableau2[[#This Row],[NOM CLIENT]],Tableau6[N° BC],Tableau2[[#This Row],[ID BC UNIQUE]])-SUMIFS(Tableau6[MONTANT HT],Tableau6[CLIENT],Tableau2[[#This Row],[NOM CLIENT]],Tableau6[N° BC],Tableau2[[#This Row],[ID BC UNIQUE]])</f>
        <v>0</v>
      </c>
      <c r="K222" s="90">
        <f>Tableau2[[#This Row],[MONTANT HT VALIDE]]-Tableau2[[#This Row],[MONTANT HT FACTURE]]</f>
        <v>1840000</v>
      </c>
      <c r="L222" s="34">
        <f>+IFERROR(Tableau2[[#This Row],[MONTANT HT FACTURE]]/Tableau2[[#This Row],[MONTANT HT VALIDE]],0)</f>
        <v>0</v>
      </c>
      <c r="M22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22" t="str">
        <f>+IFERROR(INDEX(Tableau6[[ENTITE]:[N° BC]],MATCH(Tableau2[[#This Row],[ID BC UNIQUE]],Tableau6[N° BC],0),7),"")</f>
        <v>SONGON</v>
      </c>
      <c r="O222" t="str">
        <f>+IFERROR(INDEX(Tableau24[],MATCH(Tableau2[[#This Row],[CODE PROJET]],Tableau24[CODE PROJET],0),2),"")</f>
        <v>SONGON</v>
      </c>
    </row>
    <row r="223" spans="2:15" x14ac:dyDescent="0.2">
      <c r="B223" s="3"/>
      <c r="C223" s="3">
        <v>45925</v>
      </c>
      <c r="D223" s="253" t="s">
        <v>219</v>
      </c>
      <c r="E223" s="253" t="s">
        <v>60</v>
      </c>
      <c r="F223" s="58" t="s">
        <v>138</v>
      </c>
      <c r="G223">
        <v>30</v>
      </c>
      <c r="H223" s="392">
        <v>1540000</v>
      </c>
      <c r="I223" s="156">
        <v>1540000</v>
      </c>
      <c r="J223" s="90">
        <f>+SUMIFS(Tableau6[MONTANT HT],Tableau6[CLIENT],Tableau2[[#This Row],[NOM CLIENT]],Tableau6[N° BC],Tableau2[[#This Row],[ID BC UNIQUE]])-SUMIFS(Tableau6[MONTANT HT],Tableau6[CLIENT],Tableau2[[#This Row],[NOM CLIENT]],Tableau6[N° BC],Tableau2[[#This Row],[ID BC UNIQUE]])</f>
        <v>0</v>
      </c>
      <c r="K223" s="90">
        <f>Tableau2[[#This Row],[MONTANT HT VALIDE]]-Tableau2[[#This Row],[MONTANT HT FACTURE]]</f>
        <v>1540000</v>
      </c>
      <c r="L223" s="34">
        <f>+IFERROR(Tableau2[[#This Row],[MONTANT HT FACTURE]]/Tableau2[[#This Row],[MONTANT HT VALIDE]],0)</f>
        <v>0</v>
      </c>
      <c r="M22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23" t="str">
        <f>+IFERROR(INDEX(Tableau6[[ENTITE]:[N° BC]],MATCH(Tableau2[[#This Row],[ID BC UNIQUE]],Tableau6[N° BC],0),7),"")</f>
        <v>019G4101</v>
      </c>
      <c r="O223" t="str">
        <f>+IFERROR(INDEX(Tableau24[],MATCH(Tableau2[[#This Row],[CODE PROJET]],Tableau24[CODE PROJET],0),2),"")</f>
        <v>ATELIER ODIENNE CHARGE ACT LOC EXT</v>
      </c>
    </row>
    <row r="224" spans="2:15" x14ac:dyDescent="0.2">
      <c r="C224" s="3">
        <v>45926</v>
      </c>
      <c r="D224" s="489" t="s">
        <v>213</v>
      </c>
      <c r="E224" s="224" t="s">
        <v>60</v>
      </c>
      <c r="F224" s="58" t="s">
        <v>138</v>
      </c>
      <c r="G224">
        <v>30</v>
      </c>
      <c r="H224" s="392">
        <v>1985000</v>
      </c>
      <c r="I224" s="156">
        <v>1985000</v>
      </c>
      <c r="J224" s="90">
        <f>+SUMIFS(Tableau6[MONTANT HT],Tableau6[CLIENT],Tableau2[[#This Row],[NOM CLIENT]],Tableau6[N° BC],Tableau2[[#This Row],[ID BC UNIQUE]])-SUMIFS(Tableau6[MONTANT HT],Tableau6[CLIENT],Tableau2[[#This Row],[NOM CLIENT]],Tableau6[N° BC],Tableau2[[#This Row],[ID BC UNIQUE]])</f>
        <v>0</v>
      </c>
      <c r="K224" s="90">
        <f>Tableau2[[#This Row],[MONTANT HT VALIDE]]-Tableau2[[#This Row],[MONTANT HT FACTURE]]</f>
        <v>1985000</v>
      </c>
      <c r="L224" s="34">
        <f>+IFERROR(Tableau2[[#This Row],[MONTANT HT FACTURE]]/Tableau2[[#This Row],[MONTANT HT VALIDE]],0)</f>
        <v>0</v>
      </c>
      <c r="M22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24" t="str">
        <f>+IFERROR(INDEX(Tableau6[[ENTITE]:[N° BC]],MATCH(Tableau2[[#This Row],[ID BC UNIQUE]],Tableau6[N° BC],0),7),"")</f>
        <v>019G4101</v>
      </c>
      <c r="O224" t="str">
        <f>+IFERROR(INDEX(Tableau24[],MATCH(Tableau2[[#This Row],[CODE PROJET]],Tableau24[CODE PROJET],0),2),"")</f>
        <v>ATELIER ODIENNE CHARGE ACT LOC EXT</v>
      </c>
    </row>
    <row r="225" spans="3:15" x14ac:dyDescent="0.2">
      <c r="C225" s="3">
        <v>45926</v>
      </c>
      <c r="D225" s="6" t="s">
        <v>215</v>
      </c>
      <c r="E225" s="6" t="s">
        <v>60</v>
      </c>
      <c r="F225" s="58" t="s">
        <v>138</v>
      </c>
      <c r="G225">
        <v>30</v>
      </c>
      <c r="H225" s="392">
        <v>2295000</v>
      </c>
      <c r="I225" s="156">
        <v>2295000</v>
      </c>
      <c r="J225" s="90">
        <f>+SUMIFS(Tableau6[MONTANT HT],Tableau6[CLIENT],Tableau2[[#This Row],[NOM CLIENT]],Tableau6[N° BC],Tableau2[[#This Row],[ID BC UNIQUE]])-SUMIFS(Tableau6[MONTANT HT],Tableau6[CLIENT],Tableau2[[#This Row],[NOM CLIENT]],Tableau6[N° BC],Tableau2[[#This Row],[ID BC UNIQUE]])</f>
        <v>0</v>
      </c>
      <c r="K225" s="90">
        <f>Tableau2[[#This Row],[MONTANT HT VALIDE]]-Tableau2[[#This Row],[MONTANT HT FACTURE]]</f>
        <v>2295000</v>
      </c>
      <c r="L225" s="34">
        <f>+IFERROR(Tableau2[[#This Row],[MONTANT HT FACTURE]]/Tableau2[[#This Row],[MONTANT HT VALIDE]],0)</f>
        <v>0</v>
      </c>
      <c r="M22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25" t="str">
        <f>+IFERROR(INDEX(Tableau6[[ENTITE]:[N° BC]],MATCH(Tableau2[[#This Row],[ID BC UNIQUE]],Tableau6[N° BC],0),7),"")</f>
        <v>006G4101</v>
      </c>
      <c r="O225" t="str">
        <f>+IFERROR(INDEX(Tableau24[],MATCH(Tableau2[[#This Row],[CODE PROJET]],Tableau24[CODE PROJET],0),2),"")</f>
        <v>ATELIER SONGON CHARGES ACT LOCAT°</v>
      </c>
    </row>
    <row r="226" spans="3:15" x14ac:dyDescent="0.2">
      <c r="C226" s="3">
        <v>45929</v>
      </c>
      <c r="D226" s="253" t="s">
        <v>225</v>
      </c>
      <c r="E226" s="253" t="s">
        <v>60</v>
      </c>
      <c r="F226" s="58" t="s">
        <v>138</v>
      </c>
      <c r="G226">
        <v>30</v>
      </c>
      <c r="H226" s="392">
        <v>7020000</v>
      </c>
      <c r="I226" s="156">
        <v>7020000</v>
      </c>
      <c r="J226" s="90">
        <f>+SUMIFS(Tableau6[MONTANT HT],Tableau6[CLIENT],Tableau2[[#This Row],[NOM CLIENT]],Tableau6[N° BC],Tableau2[[#This Row],[ID BC UNIQUE]])-SUMIFS(Tableau6[MONTANT HT],Tableau6[CLIENT],Tableau2[[#This Row],[NOM CLIENT]],Tableau6[N° BC],Tableau2[[#This Row],[ID BC UNIQUE]])</f>
        <v>0</v>
      </c>
      <c r="K226" s="90">
        <f>Tableau2[[#This Row],[MONTANT HT VALIDE]]-Tableau2[[#This Row],[MONTANT HT FACTURE]]</f>
        <v>7020000</v>
      </c>
      <c r="L226" s="34">
        <f>+IFERROR(Tableau2[[#This Row],[MONTANT HT FACTURE]]/Tableau2[[#This Row],[MONTANT HT VALIDE]],0)</f>
        <v>0</v>
      </c>
      <c r="M22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26" t="str">
        <f>+IFERROR(INDEX(Tableau6[[ENTITE]:[N° BC]],MATCH(Tableau2[[#This Row],[ID BC UNIQUE]],Tableau6[N° BC],0),7),"")</f>
        <v>019G4101</v>
      </c>
      <c r="O226" t="str">
        <f>+IFERROR(INDEX(Tableau24[],MATCH(Tableau2[[#This Row],[CODE PROJET]],Tableau24[CODE PROJET],0),2),"")</f>
        <v>ATELIER ODIENNE CHARGE ACT LOC EXT</v>
      </c>
    </row>
    <row r="227" spans="3:15" x14ac:dyDescent="0.2">
      <c r="C227" s="3">
        <v>45930</v>
      </c>
      <c r="D227" s="253" t="s">
        <v>216</v>
      </c>
      <c r="E227" s="253" t="s">
        <v>60</v>
      </c>
      <c r="F227" s="58" t="s">
        <v>138</v>
      </c>
      <c r="G227">
        <v>30</v>
      </c>
      <c r="H227" s="392">
        <v>27485000</v>
      </c>
      <c r="I227" s="156">
        <v>27485000</v>
      </c>
      <c r="J227" s="90">
        <f>+SUMIFS(Tableau6[MONTANT HT],Tableau6[CLIENT],Tableau2[[#This Row],[NOM CLIENT]],Tableau6[N° BC],Tableau2[[#This Row],[ID BC UNIQUE]])-SUMIFS(Tableau6[MONTANT HT],Tableau6[CLIENT],Tableau2[[#This Row],[NOM CLIENT]],Tableau6[N° BC],Tableau2[[#This Row],[ID BC UNIQUE]])</f>
        <v>0</v>
      </c>
      <c r="K227" s="90">
        <f>Tableau2[[#This Row],[MONTANT HT VALIDE]]-Tableau2[[#This Row],[MONTANT HT FACTURE]]</f>
        <v>27485000</v>
      </c>
      <c r="L227" s="34">
        <f>+IFERROR(Tableau2[[#This Row],[MONTANT HT FACTURE]]/Tableau2[[#This Row],[MONTANT HT VALIDE]],0)</f>
        <v>0</v>
      </c>
      <c r="M22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27" t="str">
        <f>+IFERROR(INDEX(Tableau6[[ENTITE]:[N° BC]],MATCH(Tableau2[[#This Row],[ID BC UNIQUE]],Tableau6[N° BC],0),7),"")</f>
        <v>017G4101</v>
      </c>
      <c r="O227" t="str">
        <f>+IFERROR(INDEX(Tableau24[],MATCH(Tableau2[[#This Row],[CODE PROJET]],Tableau24[CODE PROJET],0),2),"")</f>
        <v>ATELIER PETIT NASS. KT SM LOCAT°</v>
      </c>
    </row>
    <row r="228" spans="3:15" x14ac:dyDescent="0.2">
      <c r="C228" s="3">
        <v>45930</v>
      </c>
      <c r="D228" s="489" t="s">
        <v>217</v>
      </c>
      <c r="E228" s="489" t="s">
        <v>60</v>
      </c>
      <c r="F228" s="58" t="s">
        <v>138</v>
      </c>
      <c r="G228">
        <v>30</v>
      </c>
      <c r="H228" s="392">
        <v>41820000</v>
      </c>
      <c r="I228" s="156">
        <v>41820000</v>
      </c>
      <c r="J228" s="90">
        <f>+SUMIFS(Tableau6[MONTANT HT],Tableau6[CLIENT],Tableau2[[#This Row],[NOM CLIENT]],Tableau6[N° BC],Tableau2[[#This Row],[ID BC UNIQUE]])-SUMIFS(Tableau6[MONTANT HT],Tableau6[CLIENT],Tableau2[[#This Row],[NOM CLIENT]],Tableau6[N° BC],Tableau2[[#This Row],[ID BC UNIQUE]])</f>
        <v>0</v>
      </c>
      <c r="K228" s="90">
        <f>Tableau2[[#This Row],[MONTANT HT VALIDE]]-Tableau2[[#This Row],[MONTANT HT FACTURE]]</f>
        <v>41820000</v>
      </c>
      <c r="L228" s="34">
        <f>+IFERROR(Tableau2[[#This Row],[MONTANT HT FACTURE]]/Tableau2[[#This Row],[MONTANT HT VALIDE]],0)</f>
        <v>0</v>
      </c>
      <c r="M22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28" t="str">
        <f>+IFERROR(INDEX(Tableau6[[ENTITE]:[N° BC]],MATCH(Tableau2[[#This Row],[ID BC UNIQUE]],Tableau6[N° BC],0),7),"")</f>
        <v>017G4101</v>
      </c>
      <c r="O228" t="str">
        <f>+IFERROR(INDEX(Tableau24[],MATCH(Tableau2[[#This Row],[CODE PROJET]],Tableau24[CODE PROJET],0),2),"")</f>
        <v>ATELIER PETIT NASS. KT SM LOCAT°</v>
      </c>
    </row>
    <row r="229" spans="3:15" x14ac:dyDescent="0.2">
      <c r="C229" s="3">
        <v>45930</v>
      </c>
      <c r="D229" s="253" t="s">
        <v>218</v>
      </c>
      <c r="E229" s="253" t="s">
        <v>60</v>
      </c>
      <c r="F229" s="58" t="s">
        <v>138</v>
      </c>
      <c r="G229">
        <v>30</v>
      </c>
      <c r="H229" s="392">
        <v>40900000</v>
      </c>
      <c r="I229" s="156">
        <v>40900000</v>
      </c>
      <c r="J229" s="90">
        <f>+SUMIFS(Tableau6[MONTANT HT],Tableau6[CLIENT],Tableau2[[#This Row],[NOM CLIENT]],Tableau6[N° BC],Tableau2[[#This Row],[ID BC UNIQUE]])-SUMIFS(Tableau6[MONTANT HT],Tableau6[CLIENT],Tableau2[[#This Row],[NOM CLIENT]],Tableau6[N° BC],Tableau2[[#This Row],[ID BC UNIQUE]])</f>
        <v>0</v>
      </c>
      <c r="K229" s="90">
        <f>Tableau2[[#This Row],[MONTANT HT VALIDE]]-Tableau2[[#This Row],[MONTANT HT FACTURE]]</f>
        <v>40900000</v>
      </c>
      <c r="L229" s="34">
        <f>+IFERROR(Tableau2[[#This Row],[MONTANT HT FACTURE]]/Tableau2[[#This Row],[MONTANT HT VALIDE]],0)</f>
        <v>0</v>
      </c>
      <c r="M22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29" t="str">
        <f>+IFERROR(INDEX(Tableau6[[ENTITE]:[N° BC]],MATCH(Tableau2[[#This Row],[ID BC UNIQUE]],Tableau6[N° BC],0),7),"")</f>
        <v>017G4101</v>
      </c>
      <c r="O229" t="str">
        <f>+IFERROR(INDEX(Tableau24[],MATCH(Tableau2[[#This Row],[CODE PROJET]],Tableau24[CODE PROJET],0),2),"")</f>
        <v>ATELIER PETIT NASS. KT SM LOCAT°</v>
      </c>
    </row>
    <row r="230" spans="3:15" x14ac:dyDescent="0.2">
      <c r="C230" s="3">
        <v>45935</v>
      </c>
      <c r="D230" s="6" t="s">
        <v>267</v>
      </c>
      <c r="E230" s="6" t="s">
        <v>60</v>
      </c>
      <c r="F230" s="58" t="s">
        <v>138</v>
      </c>
      <c r="G230">
        <v>30</v>
      </c>
      <c r="H230" s="392">
        <v>1840000</v>
      </c>
      <c r="I230" s="156">
        <v>1840000</v>
      </c>
      <c r="J230" s="90">
        <f>+SUMIFS(Tableau6[MONTANT HT],Tableau6[CLIENT],Tableau2[[#This Row],[NOM CLIENT]],Tableau6[N° BC],Tableau2[[#This Row],[ID BC UNIQUE]])-SUMIFS(Tableau6[MONTANT HT],Tableau6[CLIENT],Tableau2[[#This Row],[NOM CLIENT]],Tableau6[N° BC],Tableau2[[#This Row],[ID BC UNIQUE]])</f>
        <v>0</v>
      </c>
      <c r="K230" s="90">
        <f>Tableau2[[#This Row],[MONTANT HT VALIDE]]-Tableau2[[#This Row],[MONTANT HT FACTURE]]</f>
        <v>1840000</v>
      </c>
      <c r="L230" s="34">
        <f>+IFERROR(Tableau2[[#This Row],[MONTANT HT FACTURE]]/Tableau2[[#This Row],[MONTANT HT VALIDE]],0)</f>
        <v>0</v>
      </c>
      <c r="M23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30" t="str">
        <f>+IFERROR(INDEX(Tableau6[[ENTITE]:[N° BC]],MATCH(Tableau2[[#This Row],[ID BC UNIQUE]],Tableau6[N° BC],0),7),"")</f>
        <v>016G4101</v>
      </c>
      <c r="O230" t="str">
        <f>+IFERROR(INDEX(Tableau24[],MATCH(Tableau2[[#This Row],[CODE PROJET]],Tableau24[CODE PROJET],0),2),"")</f>
        <v>ATELIER BINGERVILLE SM LOCATION EXTERNES</v>
      </c>
    </row>
    <row r="231" spans="3:15" x14ac:dyDescent="0.2">
      <c r="C231" s="3">
        <v>45940</v>
      </c>
      <c r="D231" s="6" t="s">
        <v>253</v>
      </c>
      <c r="E231" s="6" t="s">
        <v>60</v>
      </c>
      <c r="F231" s="58" t="s">
        <v>138</v>
      </c>
      <c r="G231">
        <v>30</v>
      </c>
      <c r="H231" s="392">
        <v>7195000</v>
      </c>
      <c r="I231" s="156">
        <v>7195000</v>
      </c>
      <c r="J231" s="90">
        <f>+SUMIFS(Tableau6[MONTANT HT],Tableau6[CLIENT],Tableau2[[#This Row],[NOM CLIENT]],Tableau6[N° BC],Tableau2[[#This Row],[ID BC UNIQUE]])-SUMIFS(Tableau6[MONTANT HT],Tableau6[CLIENT],Tableau2[[#This Row],[NOM CLIENT]],Tableau6[N° BC],Tableau2[[#This Row],[ID BC UNIQUE]])</f>
        <v>0</v>
      </c>
      <c r="K231" s="90">
        <f>Tableau2[[#This Row],[MONTANT HT VALIDE]]-Tableau2[[#This Row],[MONTANT HT FACTURE]]</f>
        <v>7195000</v>
      </c>
      <c r="L231" s="34">
        <f>+IFERROR(Tableau2[[#This Row],[MONTANT HT FACTURE]]/Tableau2[[#This Row],[MONTANT HT VALIDE]],0)</f>
        <v>0</v>
      </c>
      <c r="M23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31" t="str">
        <f>+IFERROR(INDEX(Tableau6[[ENTITE]:[N° BC]],MATCH(Tableau2[[#This Row],[ID BC UNIQUE]],Tableau6[N° BC],0),7),"")</f>
        <v>016G4101</v>
      </c>
      <c r="O231" t="str">
        <f>+IFERROR(INDEX(Tableau24[],MATCH(Tableau2[[#This Row],[CODE PROJET]],Tableau24[CODE PROJET],0),2),"")</f>
        <v>ATELIER BINGERVILLE SM LOCATION EXTERNES</v>
      </c>
    </row>
    <row r="232" spans="3:15" x14ac:dyDescent="0.2">
      <c r="C232" s="3">
        <v>45940</v>
      </c>
      <c r="D232" s="253" t="s">
        <v>254</v>
      </c>
      <c r="E232" s="253" t="s">
        <v>60</v>
      </c>
      <c r="F232" s="58" t="s">
        <v>138</v>
      </c>
      <c r="G232">
        <v>30</v>
      </c>
      <c r="H232" s="392">
        <v>6450000</v>
      </c>
      <c r="I232" s="156">
        <v>6450000</v>
      </c>
      <c r="J232" s="90">
        <f>+SUMIFS(Tableau6[MONTANT HT],Tableau6[CLIENT],Tableau2[[#This Row],[NOM CLIENT]],Tableau6[N° BC],Tableau2[[#This Row],[ID BC UNIQUE]])-SUMIFS(Tableau6[MONTANT HT],Tableau6[CLIENT],Tableau2[[#This Row],[NOM CLIENT]],Tableau6[N° BC],Tableau2[[#This Row],[ID BC UNIQUE]])</f>
        <v>0</v>
      </c>
      <c r="K232" s="90">
        <f>Tableau2[[#This Row],[MONTANT HT VALIDE]]-Tableau2[[#This Row],[MONTANT HT FACTURE]]</f>
        <v>6450000</v>
      </c>
      <c r="L232" s="34">
        <f>+IFERROR(Tableau2[[#This Row],[MONTANT HT FACTURE]]/Tableau2[[#This Row],[MONTANT HT VALIDE]],0)</f>
        <v>0</v>
      </c>
      <c r="M23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32" t="str">
        <f>+IFERROR(INDEX(Tableau6[[ENTITE]:[N° BC]],MATCH(Tableau2[[#This Row],[ID BC UNIQUE]],Tableau6[N° BC],0),7),"")</f>
        <v>018G4101</v>
      </c>
      <c r="O232" t="str">
        <f>+IFERROR(INDEX(Tableau24[],MATCH(Tableau2[[#This Row],[CODE PROJET]],Tableau24[CODE PROJET],0),2),"")</f>
        <v>ATELIER KORHOGO SM LOCATION EXTERNES</v>
      </c>
    </row>
    <row r="233" spans="3:15" x14ac:dyDescent="0.2">
      <c r="C233" s="3">
        <v>45940</v>
      </c>
      <c r="D233" s="253" t="s">
        <v>255</v>
      </c>
      <c r="E233" s="253" t="s">
        <v>60</v>
      </c>
      <c r="F233" s="58" t="s">
        <v>138</v>
      </c>
      <c r="G233">
        <v>30</v>
      </c>
      <c r="H233" s="392">
        <v>7770000</v>
      </c>
      <c r="I233" s="156">
        <v>7770000</v>
      </c>
      <c r="J233" s="90">
        <f>+SUMIFS(Tableau6[MONTANT HT],Tableau6[CLIENT],Tableau2[[#This Row],[NOM CLIENT]],Tableau6[N° BC],Tableau2[[#This Row],[ID BC UNIQUE]])-SUMIFS(Tableau6[MONTANT HT],Tableau6[CLIENT],Tableau2[[#This Row],[NOM CLIENT]],Tableau6[N° BC],Tableau2[[#This Row],[ID BC UNIQUE]])</f>
        <v>0</v>
      </c>
      <c r="K233" s="90">
        <f>Tableau2[[#This Row],[MONTANT HT VALIDE]]-Tableau2[[#This Row],[MONTANT HT FACTURE]]</f>
        <v>7770000</v>
      </c>
      <c r="L233" s="34">
        <f>+IFERROR(Tableau2[[#This Row],[MONTANT HT FACTURE]]/Tableau2[[#This Row],[MONTANT HT VALIDE]],0)</f>
        <v>0</v>
      </c>
      <c r="M23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33" t="str">
        <f>+IFERROR(INDEX(Tableau6[[ENTITE]:[N° BC]],MATCH(Tableau2[[#This Row],[ID BC UNIQUE]],Tableau6[N° BC],0),7),"")</f>
        <v>018G4101</v>
      </c>
      <c r="O233" t="str">
        <f>+IFERROR(INDEX(Tableau24[],MATCH(Tableau2[[#This Row],[CODE PROJET]],Tableau24[CODE PROJET],0),2),"")</f>
        <v>ATELIER KORHOGO SM LOCATION EXTERNES</v>
      </c>
    </row>
    <row r="234" spans="3:15" x14ac:dyDescent="0.2">
      <c r="C234" s="3">
        <v>45943</v>
      </c>
      <c r="D234" s="6" t="s">
        <v>256</v>
      </c>
      <c r="E234" s="6" t="s">
        <v>60</v>
      </c>
      <c r="F234" s="58" t="s">
        <v>138</v>
      </c>
      <c r="G234">
        <v>30</v>
      </c>
      <c r="H234" s="392">
        <v>35447400</v>
      </c>
      <c r="I234" s="156">
        <v>35447400</v>
      </c>
      <c r="J234" s="90">
        <f>+SUMIFS(Tableau6[MONTANT HT],Tableau6[CLIENT],Tableau2[[#This Row],[NOM CLIENT]],Tableau6[N° BC],Tableau2[[#This Row],[ID BC UNIQUE]])-SUMIFS(Tableau6[MONTANT HT],Tableau6[CLIENT],Tableau2[[#This Row],[NOM CLIENT]],Tableau6[N° BC],Tableau2[[#This Row],[ID BC UNIQUE]])</f>
        <v>0</v>
      </c>
      <c r="K234" s="90">
        <f>Tableau2[[#This Row],[MONTANT HT VALIDE]]-Tableau2[[#This Row],[MONTANT HT FACTURE]]</f>
        <v>35447400</v>
      </c>
      <c r="L234" s="34">
        <f>+IFERROR(Tableau2[[#This Row],[MONTANT HT FACTURE]]/Tableau2[[#This Row],[MONTANT HT VALIDE]],0)</f>
        <v>0</v>
      </c>
      <c r="M23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34" t="str">
        <f>+IFERROR(INDEX(Tableau6[[ENTITE]:[N° BC]],MATCH(Tableau2[[#This Row],[ID BC UNIQUE]],Tableau6[N° BC],0),7),"")</f>
        <v>018G4101</v>
      </c>
      <c r="O234" t="str">
        <f>+IFERROR(INDEX(Tableau24[],MATCH(Tableau2[[#This Row],[CODE PROJET]],Tableau24[CODE PROJET],0),2),"")</f>
        <v>ATELIER KORHOGO SM LOCATION EXTERNES</v>
      </c>
    </row>
    <row r="235" spans="3:15" x14ac:dyDescent="0.2">
      <c r="C235" s="3">
        <v>45943</v>
      </c>
      <c r="D235" s="253" t="s">
        <v>257</v>
      </c>
      <c r="E235" s="253" t="s">
        <v>60</v>
      </c>
      <c r="F235" s="58" t="s">
        <v>138</v>
      </c>
      <c r="G235">
        <v>30</v>
      </c>
      <c r="H235" s="392">
        <v>23360009</v>
      </c>
      <c r="I235" s="156">
        <v>23360009</v>
      </c>
      <c r="J235" s="90">
        <f>+SUMIFS(Tableau6[MONTANT HT],Tableau6[CLIENT],Tableau2[[#This Row],[NOM CLIENT]],Tableau6[N° BC],Tableau2[[#This Row],[ID BC UNIQUE]])-SUMIFS(Tableau6[MONTANT HT],Tableau6[CLIENT],Tableau2[[#This Row],[NOM CLIENT]],Tableau6[N° BC],Tableau2[[#This Row],[ID BC UNIQUE]])</f>
        <v>0</v>
      </c>
      <c r="K235" s="90">
        <f>Tableau2[[#This Row],[MONTANT HT VALIDE]]-Tableau2[[#This Row],[MONTANT HT FACTURE]]</f>
        <v>23360009</v>
      </c>
      <c r="L235" s="34">
        <f>+IFERROR(Tableau2[[#This Row],[MONTANT HT FACTURE]]/Tableau2[[#This Row],[MONTANT HT VALIDE]],0)</f>
        <v>0</v>
      </c>
      <c r="M23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35" t="str">
        <f>+IFERROR(INDEX(Tableau6[[ENTITE]:[N° BC]],MATCH(Tableau2[[#This Row],[ID BC UNIQUE]],Tableau6[N° BC],0),7),"")</f>
        <v>011G4101</v>
      </c>
      <c r="O235" t="str">
        <f>+IFERROR(INDEX(Tableau24[],MATCH(Tableau2[[#This Row],[CODE PROJET]],Tableau24[CODE PROJET],0),2),"")</f>
        <v>ATELIER DABAKALA CHARGRES ACT LOC E</v>
      </c>
    </row>
    <row r="236" spans="3:15" x14ac:dyDescent="0.2">
      <c r="C236" s="3">
        <v>45943</v>
      </c>
      <c r="D236" s="253" t="s">
        <v>258</v>
      </c>
      <c r="E236" s="253" t="s">
        <v>60</v>
      </c>
      <c r="F236" s="58" t="s">
        <v>138</v>
      </c>
      <c r="G236">
        <v>30</v>
      </c>
      <c r="H236" s="392">
        <v>10595000</v>
      </c>
      <c r="I236" s="156">
        <v>10595000</v>
      </c>
      <c r="J236" s="90">
        <f>+SUMIFS(Tableau6[MONTANT HT],Tableau6[CLIENT],Tableau2[[#This Row],[NOM CLIENT]],Tableau6[N° BC],Tableau2[[#This Row],[ID BC UNIQUE]])-SUMIFS(Tableau6[MONTANT HT],Tableau6[CLIENT],Tableau2[[#This Row],[NOM CLIENT]],Tableau6[N° BC],Tableau2[[#This Row],[ID BC UNIQUE]])</f>
        <v>0</v>
      </c>
      <c r="K236" s="90">
        <f>Tableau2[[#This Row],[MONTANT HT VALIDE]]-Tableau2[[#This Row],[MONTANT HT FACTURE]]</f>
        <v>10595000</v>
      </c>
      <c r="L236" s="34">
        <f>+IFERROR(Tableau2[[#This Row],[MONTANT HT FACTURE]]/Tableau2[[#This Row],[MONTANT HT VALIDE]],0)</f>
        <v>0</v>
      </c>
      <c r="M23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36" t="str">
        <f>+IFERROR(INDEX(Tableau6[[ENTITE]:[N° BC]],MATCH(Tableau2[[#This Row],[ID BC UNIQUE]],Tableau6[N° BC],0),7),"")</f>
        <v>007G4101</v>
      </c>
      <c r="O236" t="str">
        <f>+IFERROR(INDEX(Tableau24[],MATCH(Tableau2[[#This Row],[CODE PROJET]],Tableau24[CODE PROJET],0),2),"")</f>
        <v>ATELIER DIVO CHARGE ACT LOC EXT</v>
      </c>
    </row>
    <row r="237" spans="3:15" x14ac:dyDescent="0.2">
      <c r="C237" s="3">
        <v>45943</v>
      </c>
      <c r="D237" s="253" t="s">
        <v>259</v>
      </c>
      <c r="E237" s="253" t="s">
        <v>60</v>
      </c>
      <c r="F237" s="58" t="s">
        <v>138</v>
      </c>
      <c r="G237">
        <v>30</v>
      </c>
      <c r="H237" s="392">
        <v>8580016</v>
      </c>
      <c r="I237" s="156">
        <v>8580016</v>
      </c>
      <c r="J237" s="90">
        <f>+SUMIFS(Tableau6[MONTANT HT],Tableau6[CLIENT],Tableau2[[#This Row],[NOM CLIENT]],Tableau6[N° BC],Tableau2[[#This Row],[ID BC UNIQUE]])-SUMIFS(Tableau6[MONTANT HT],Tableau6[CLIENT],Tableau2[[#This Row],[NOM CLIENT]],Tableau6[N° BC],Tableau2[[#This Row],[ID BC UNIQUE]])</f>
        <v>0</v>
      </c>
      <c r="K237" s="90">
        <f>Tableau2[[#This Row],[MONTANT HT VALIDE]]-Tableau2[[#This Row],[MONTANT HT FACTURE]]</f>
        <v>8580016</v>
      </c>
      <c r="L237" s="34">
        <f>+IFERROR(Tableau2[[#This Row],[MONTANT HT FACTURE]]/Tableau2[[#This Row],[MONTANT HT VALIDE]],0)</f>
        <v>0</v>
      </c>
      <c r="M23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37" t="str">
        <f>+IFERROR(INDEX(Tableau6[[ENTITE]:[N° BC]],MATCH(Tableau2[[#This Row],[ID BC UNIQUE]],Tableau6[N° BC],0),7),"")</f>
        <v>015G4101</v>
      </c>
      <c r="O237" t="str">
        <f>+IFERROR(INDEX(Tableau24[],MATCH(Tableau2[[#This Row],[CODE PROJET]],Tableau24[CODE PROJET],0),2),"")</f>
        <v>ATELIER KONG CHARGE ACT LOCAT° EXT</v>
      </c>
    </row>
    <row r="238" spans="3:15" x14ac:dyDescent="0.2">
      <c r="C238" s="3">
        <v>45943</v>
      </c>
      <c r="D238" s="253" t="s">
        <v>260</v>
      </c>
      <c r="E238" s="6" t="s">
        <v>60</v>
      </c>
      <c r="F238" s="58" t="s">
        <v>138</v>
      </c>
      <c r="G238">
        <v>30</v>
      </c>
      <c r="H238" s="392">
        <v>11710000</v>
      </c>
      <c r="I238" s="156">
        <v>11710000</v>
      </c>
      <c r="J238" s="90">
        <f>+SUMIFS(Tableau6[MONTANT HT],Tableau6[CLIENT],Tableau2[[#This Row],[NOM CLIENT]],Tableau6[N° BC],Tableau2[[#This Row],[ID BC UNIQUE]])-SUMIFS(Tableau6[MONTANT HT],Tableau6[CLIENT],Tableau2[[#This Row],[NOM CLIENT]],Tableau6[N° BC],Tableau2[[#This Row],[ID BC UNIQUE]])</f>
        <v>0</v>
      </c>
      <c r="K238" s="90">
        <f>Tableau2[[#This Row],[MONTANT HT VALIDE]]-Tableau2[[#This Row],[MONTANT HT FACTURE]]</f>
        <v>11710000</v>
      </c>
      <c r="L238" s="34">
        <f>+IFERROR(Tableau2[[#This Row],[MONTANT HT FACTURE]]/Tableau2[[#This Row],[MONTANT HT VALIDE]],0)</f>
        <v>0</v>
      </c>
      <c r="M23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38" t="str">
        <f>+IFERROR(INDEX(Tableau6[[ENTITE]:[N° BC]],MATCH(Tableau2[[#This Row],[ID BC UNIQUE]],Tableau6[N° BC],0),7),"")</f>
        <v>007G4101</v>
      </c>
      <c r="O238" t="str">
        <f>+IFERROR(INDEX(Tableau24[],MATCH(Tableau2[[#This Row],[CODE PROJET]],Tableau24[CODE PROJET],0),2),"")</f>
        <v>ATELIER DIVO CHARGE ACT LOC EXT</v>
      </c>
    </row>
    <row r="239" spans="3:15" x14ac:dyDescent="0.2">
      <c r="C239" s="3">
        <v>45946</v>
      </c>
      <c r="D239" s="253" t="s">
        <v>268</v>
      </c>
      <c r="E239" s="6" t="s">
        <v>60</v>
      </c>
      <c r="F239" s="58" t="s">
        <v>138</v>
      </c>
      <c r="G239">
        <v>30</v>
      </c>
      <c r="H239" s="392">
        <v>1890000</v>
      </c>
      <c r="I239" s="156">
        <v>1890000</v>
      </c>
      <c r="J239" s="90">
        <f>+SUMIFS(Tableau6[MONTANT HT],Tableau6[CLIENT],Tableau2[[#This Row],[NOM CLIENT]],Tableau6[N° BC],Tableau2[[#This Row],[ID BC UNIQUE]])-SUMIFS(Tableau6[MONTANT HT],Tableau6[CLIENT],Tableau2[[#This Row],[NOM CLIENT]],Tableau6[N° BC],Tableau2[[#This Row],[ID BC UNIQUE]])</f>
        <v>0</v>
      </c>
      <c r="K239" s="90">
        <f>Tableau2[[#This Row],[MONTANT HT VALIDE]]-Tableau2[[#This Row],[MONTANT HT FACTURE]]</f>
        <v>1890000</v>
      </c>
      <c r="L239" s="34">
        <f>+IFERROR(Tableau2[[#This Row],[MONTANT HT FACTURE]]/Tableau2[[#This Row],[MONTANT HT VALIDE]],0)</f>
        <v>0</v>
      </c>
      <c r="M23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39" t="str">
        <f>+IFERROR(INDEX(Tableau6[[ENTITE]:[N° BC]],MATCH(Tableau2[[#This Row],[ID BC UNIQUE]],Tableau6[N° BC],0),7),"")</f>
        <v>006G4101</v>
      </c>
      <c r="O239" t="str">
        <f>+IFERROR(INDEX(Tableau24[],MATCH(Tableau2[[#This Row],[CODE PROJET]],Tableau24[CODE PROJET],0),2),"")</f>
        <v>ATELIER SONGON CHARGES ACT LOCAT°</v>
      </c>
    </row>
    <row r="240" spans="3:15" x14ac:dyDescent="0.2">
      <c r="C240" s="3">
        <v>45946</v>
      </c>
      <c r="D240" s="6" t="s">
        <v>274</v>
      </c>
      <c r="E240" s="6" t="s">
        <v>60</v>
      </c>
      <c r="F240" s="58" t="s">
        <v>138</v>
      </c>
      <c r="G240">
        <v>30</v>
      </c>
      <c r="H240" s="392">
        <v>200000</v>
      </c>
      <c r="I240" s="156">
        <v>200000</v>
      </c>
      <c r="J240" s="90">
        <f>+SUMIFS(Tableau6[MONTANT HT],Tableau6[CLIENT],Tableau2[[#This Row],[NOM CLIENT]],Tableau6[N° BC],Tableau2[[#This Row],[ID BC UNIQUE]])-SUMIFS(Tableau6[MONTANT HT],Tableau6[CLIENT],Tableau2[[#This Row],[NOM CLIENT]],Tableau6[N° BC],Tableau2[[#This Row],[ID BC UNIQUE]])</f>
        <v>0</v>
      </c>
      <c r="K240" s="90">
        <f>Tableau2[[#This Row],[MONTANT HT VALIDE]]-Tableau2[[#This Row],[MONTANT HT FACTURE]]</f>
        <v>200000</v>
      </c>
      <c r="L240" s="34">
        <f>+IFERROR(Tableau2[[#This Row],[MONTANT HT FACTURE]]/Tableau2[[#This Row],[MONTANT HT VALIDE]],0)</f>
        <v>0</v>
      </c>
      <c r="M24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40" t="str">
        <f>+IFERROR(INDEX(Tableau6[[ENTITE]:[N° BC]],MATCH(Tableau2[[#This Row],[ID BC UNIQUE]],Tableau6[N° BC],0),7),"")</f>
        <v>006G4101</v>
      </c>
      <c r="O240" t="str">
        <f>+IFERROR(INDEX(Tableau24[],MATCH(Tableau2[[#This Row],[CODE PROJET]],Tableau24[CODE PROJET],0),2),"")</f>
        <v>ATELIER SONGON CHARGES ACT LOCAT°</v>
      </c>
    </row>
    <row r="241" spans="3:15" x14ac:dyDescent="0.2">
      <c r="C241" s="3">
        <v>45947</v>
      </c>
      <c r="D241" s="253" t="s">
        <v>269</v>
      </c>
      <c r="E241" s="6" t="s">
        <v>60</v>
      </c>
      <c r="F241" s="58" t="s">
        <v>138</v>
      </c>
      <c r="G241">
        <v>30</v>
      </c>
      <c r="H241" s="392">
        <v>3780000</v>
      </c>
      <c r="I241" s="156">
        <v>3780000</v>
      </c>
      <c r="J241" s="90">
        <f>+SUMIFS(Tableau6[MONTANT HT],Tableau6[CLIENT],Tableau2[[#This Row],[NOM CLIENT]],Tableau6[N° BC],Tableau2[[#This Row],[ID BC UNIQUE]])-SUMIFS(Tableau6[MONTANT HT],Tableau6[CLIENT],Tableau2[[#This Row],[NOM CLIENT]],Tableau6[N° BC],Tableau2[[#This Row],[ID BC UNIQUE]])</f>
        <v>0</v>
      </c>
      <c r="K241" s="90">
        <f>Tableau2[[#This Row],[MONTANT HT VALIDE]]-Tableau2[[#This Row],[MONTANT HT FACTURE]]</f>
        <v>3780000</v>
      </c>
      <c r="L241" s="34">
        <f>+IFERROR(Tableau2[[#This Row],[MONTANT HT FACTURE]]/Tableau2[[#This Row],[MONTANT HT VALIDE]],0)</f>
        <v>0</v>
      </c>
      <c r="M24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41" t="str">
        <f>+IFERROR(INDEX(Tableau6[[ENTITE]:[N° BC]],MATCH(Tableau2[[#This Row],[ID BC UNIQUE]],Tableau6[N° BC],0),7),"")</f>
        <v>006G4101</v>
      </c>
      <c r="O241" t="str">
        <f>+IFERROR(INDEX(Tableau24[],MATCH(Tableau2[[#This Row],[CODE PROJET]],Tableau24[CODE PROJET],0),2),"")</f>
        <v>ATELIER SONGON CHARGES ACT LOCAT°</v>
      </c>
    </row>
    <row r="242" spans="3:15" x14ac:dyDescent="0.2">
      <c r="C242" s="3">
        <v>45947</v>
      </c>
      <c r="D242" s="253" t="s">
        <v>266</v>
      </c>
      <c r="E242" s="6" t="s">
        <v>60</v>
      </c>
      <c r="F242" s="58" t="s">
        <v>138</v>
      </c>
      <c r="G242">
        <v>30</v>
      </c>
      <c r="H242" s="392">
        <v>21973200</v>
      </c>
      <c r="I242" s="156">
        <v>21973200</v>
      </c>
      <c r="J242" s="90">
        <f>+SUMIFS(Tableau6[MONTANT HT],Tableau6[CLIENT],Tableau2[[#This Row],[NOM CLIENT]],Tableau6[N° BC],Tableau2[[#This Row],[ID BC UNIQUE]])-SUMIFS(Tableau6[MONTANT HT],Tableau6[CLIENT],Tableau2[[#This Row],[NOM CLIENT]],Tableau6[N° BC],Tableau2[[#This Row],[ID BC UNIQUE]])</f>
        <v>0</v>
      </c>
      <c r="K242" s="90">
        <f>Tableau2[[#This Row],[MONTANT HT VALIDE]]-Tableau2[[#This Row],[MONTANT HT FACTURE]]</f>
        <v>21973200</v>
      </c>
      <c r="L242" s="34">
        <f>+IFERROR(Tableau2[[#This Row],[MONTANT HT FACTURE]]/Tableau2[[#This Row],[MONTANT HT VALIDE]],0)</f>
        <v>0</v>
      </c>
      <c r="M24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42" t="str">
        <f>+IFERROR(INDEX(Tableau6[[ENTITE]:[N° BC]],MATCH(Tableau2[[#This Row],[ID BC UNIQUE]],Tableau6[N° BC],0),7),"")</f>
        <v>018G4101</v>
      </c>
      <c r="O242" t="str">
        <f>+IFERROR(INDEX(Tableau24[],MATCH(Tableau2[[#This Row],[CODE PROJET]],Tableau24[CODE PROJET],0),2),"")</f>
        <v>ATELIER KORHOGO SM LOCATION EXTERNES</v>
      </c>
    </row>
    <row r="243" spans="3:15" x14ac:dyDescent="0.2">
      <c r="C243" s="3">
        <v>45947</v>
      </c>
      <c r="D243" s="253" t="s">
        <v>270</v>
      </c>
      <c r="E243" s="6" t="s">
        <v>60</v>
      </c>
      <c r="F243" s="58" t="s">
        <v>138</v>
      </c>
      <c r="G243">
        <v>30</v>
      </c>
      <c r="H243" s="392">
        <v>25622500</v>
      </c>
      <c r="I243" s="156">
        <v>25622500</v>
      </c>
      <c r="J243" s="90">
        <f>+SUMIFS(Tableau6[MONTANT HT],Tableau6[CLIENT],Tableau2[[#This Row],[NOM CLIENT]],Tableau6[N° BC],Tableau2[[#This Row],[ID BC UNIQUE]])-SUMIFS(Tableau6[MONTANT HT],Tableau6[CLIENT],Tableau2[[#This Row],[NOM CLIENT]],Tableau6[N° BC],Tableau2[[#This Row],[ID BC UNIQUE]])</f>
        <v>0</v>
      </c>
      <c r="K243" s="90">
        <f>Tableau2[[#This Row],[MONTANT HT VALIDE]]-Tableau2[[#This Row],[MONTANT HT FACTURE]]</f>
        <v>25622500</v>
      </c>
      <c r="L243" s="34">
        <f>+IFERROR(Tableau2[[#This Row],[MONTANT HT FACTURE]]/Tableau2[[#This Row],[MONTANT HT VALIDE]],0)</f>
        <v>0</v>
      </c>
      <c r="M24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43" t="str">
        <f>+IFERROR(INDEX(Tableau6[[ENTITE]:[N° BC]],MATCH(Tableau2[[#This Row],[ID BC UNIQUE]],Tableau6[N° BC],0),7),"")</f>
        <v>018G4101</v>
      </c>
      <c r="O243" t="str">
        <f>+IFERROR(INDEX(Tableau24[],MATCH(Tableau2[[#This Row],[CODE PROJET]],Tableau24[CODE PROJET],0),2),"")</f>
        <v>ATELIER KORHOGO SM LOCATION EXTERNES</v>
      </c>
    </row>
    <row r="244" spans="3:15" x14ac:dyDescent="0.2">
      <c r="C244" s="3">
        <v>45949</v>
      </c>
      <c r="D244" s="253" t="s">
        <v>271</v>
      </c>
      <c r="E244" s="6" t="s">
        <v>60</v>
      </c>
      <c r="F244" s="58" t="s">
        <v>138</v>
      </c>
      <c r="G244">
        <v>30</v>
      </c>
      <c r="H244" s="392">
        <v>1200000</v>
      </c>
      <c r="I244" s="156">
        <v>1200000</v>
      </c>
      <c r="J244" s="90">
        <f>+SUMIFS(Tableau6[MONTANT HT],Tableau6[CLIENT],Tableau2[[#This Row],[NOM CLIENT]],Tableau6[N° BC],Tableau2[[#This Row],[ID BC UNIQUE]])-SUMIFS(Tableau6[MONTANT HT],Tableau6[CLIENT],Tableau2[[#This Row],[NOM CLIENT]],Tableau6[N° BC],Tableau2[[#This Row],[ID BC UNIQUE]])</f>
        <v>0</v>
      </c>
      <c r="K244" s="90">
        <f>Tableau2[[#This Row],[MONTANT HT VALIDE]]-Tableau2[[#This Row],[MONTANT HT FACTURE]]</f>
        <v>1200000</v>
      </c>
      <c r="L244" s="34">
        <f>+IFERROR(Tableau2[[#This Row],[MONTANT HT FACTURE]]/Tableau2[[#This Row],[MONTANT HT VALIDE]],0)</f>
        <v>0</v>
      </c>
      <c r="M24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44" t="str">
        <f>+IFERROR(INDEX(Tableau6[[ENTITE]:[N° BC]],MATCH(Tableau2[[#This Row],[ID BC UNIQUE]],Tableau6[N° BC],0),7),"")</f>
        <v>006G4101</v>
      </c>
      <c r="O244" t="str">
        <f>+IFERROR(INDEX(Tableau24[],MATCH(Tableau2[[#This Row],[CODE PROJET]],Tableau24[CODE PROJET],0),2),"")</f>
        <v>ATELIER SONGON CHARGES ACT LOCAT°</v>
      </c>
    </row>
    <row r="245" spans="3:15" x14ac:dyDescent="0.2">
      <c r="C245" s="3">
        <v>45950</v>
      </c>
      <c r="D245" s="253" t="s">
        <v>265</v>
      </c>
      <c r="E245" s="6" t="s">
        <v>60</v>
      </c>
      <c r="F245" s="58" t="s">
        <v>138</v>
      </c>
      <c r="G245">
        <v>30</v>
      </c>
      <c r="H245" s="392">
        <v>2630000</v>
      </c>
      <c r="I245" s="156">
        <v>2630000</v>
      </c>
      <c r="J245" s="90">
        <f>+SUMIFS(Tableau6[MONTANT HT],Tableau6[CLIENT],Tableau2[[#This Row],[NOM CLIENT]],Tableau6[N° BC],Tableau2[[#This Row],[ID BC UNIQUE]])-SUMIFS(Tableau6[MONTANT HT],Tableau6[CLIENT],Tableau2[[#This Row],[NOM CLIENT]],Tableau6[N° BC],Tableau2[[#This Row],[ID BC UNIQUE]])</f>
        <v>0</v>
      </c>
      <c r="K245" s="90">
        <f>Tableau2[[#This Row],[MONTANT HT VALIDE]]-Tableau2[[#This Row],[MONTANT HT FACTURE]]</f>
        <v>2630000</v>
      </c>
      <c r="L245" s="34">
        <f>+IFERROR(Tableau2[[#This Row],[MONTANT HT FACTURE]]/Tableau2[[#This Row],[MONTANT HT VALIDE]],0)</f>
        <v>0</v>
      </c>
      <c r="M24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45" t="str">
        <f>+IFERROR(INDEX(Tableau6[[ENTITE]:[N° BC]],MATCH(Tableau2[[#This Row],[ID BC UNIQUE]],Tableau6[N° BC],0),7),"")</f>
        <v>006G4101</v>
      </c>
      <c r="O245" t="str">
        <f>+IFERROR(INDEX(Tableau24[],MATCH(Tableau2[[#This Row],[CODE PROJET]],Tableau24[CODE PROJET],0),2),"")</f>
        <v>ATELIER SONGON CHARGES ACT LOCAT°</v>
      </c>
    </row>
    <row r="246" spans="3:15" x14ac:dyDescent="0.2">
      <c r="C246" s="3">
        <v>45967</v>
      </c>
      <c r="D246" s="6" t="s">
        <v>280</v>
      </c>
      <c r="E246" s="6" t="s">
        <v>60</v>
      </c>
      <c r="F246" s="58" t="s">
        <v>138</v>
      </c>
      <c r="G246">
        <v>30</v>
      </c>
      <c r="H246" s="392">
        <v>7500016</v>
      </c>
      <c r="I246" s="156">
        <v>7500016</v>
      </c>
      <c r="J246" s="90">
        <f>+SUMIFS(Tableau6[MONTANT HT],Tableau6[CLIENT],Tableau2[[#This Row],[NOM CLIENT]],Tableau6[N° BC],Tableau2[[#This Row],[ID BC UNIQUE]])-SUMIFS(Tableau6[MONTANT HT],Tableau6[CLIENT],Tableau2[[#This Row],[NOM CLIENT]],Tableau6[N° BC],Tableau2[[#This Row],[ID BC UNIQUE]])</f>
        <v>0</v>
      </c>
      <c r="K246" s="90">
        <f>Tableau2[[#This Row],[MONTANT HT VALIDE]]-Tableau2[[#This Row],[MONTANT HT FACTURE]]</f>
        <v>7500016</v>
      </c>
      <c r="L246" s="34">
        <f>+IFERROR(Tableau2[[#This Row],[MONTANT HT FACTURE]]/Tableau2[[#This Row],[MONTANT HT VALIDE]],0)</f>
        <v>0</v>
      </c>
      <c r="M24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46" t="str">
        <f>+IFERROR(INDEX(Tableau6[[ENTITE]:[N° BC]],MATCH(Tableau2[[#This Row],[ID BC UNIQUE]],Tableau6[N° BC],0),7),"")</f>
        <v>015G4101</v>
      </c>
      <c r="O246" t="str">
        <f>+IFERROR(INDEX(Tableau24[],MATCH(Tableau2[[#This Row],[CODE PROJET]],Tableau24[CODE PROJET],0),2),"")</f>
        <v>ATELIER KONG CHARGE ACT LOCAT° EXT</v>
      </c>
    </row>
    <row r="247" spans="3:15" x14ac:dyDescent="0.2">
      <c r="C247" s="3">
        <v>45971</v>
      </c>
      <c r="D247" s="253" t="s">
        <v>282</v>
      </c>
      <c r="E247" s="253" t="s">
        <v>60</v>
      </c>
      <c r="F247" s="58" t="s">
        <v>138</v>
      </c>
      <c r="G247">
        <v>30</v>
      </c>
      <c r="H247" s="392">
        <v>14580000</v>
      </c>
      <c r="I247" s="156">
        <v>14580000</v>
      </c>
      <c r="J247" s="90">
        <f>+SUMIFS(Tableau6[MONTANT HT],Tableau6[CLIENT],Tableau2[[#This Row],[NOM CLIENT]],Tableau6[N° BC],Tableau2[[#This Row],[ID BC UNIQUE]])-SUMIFS(Tableau6[MONTANT HT],Tableau6[CLIENT],Tableau2[[#This Row],[NOM CLIENT]],Tableau6[N° BC],Tableau2[[#This Row],[ID BC UNIQUE]])</f>
        <v>0</v>
      </c>
      <c r="K247" s="90">
        <f>Tableau2[[#This Row],[MONTANT HT VALIDE]]-Tableau2[[#This Row],[MONTANT HT FACTURE]]</f>
        <v>14580000</v>
      </c>
      <c r="L247" s="34">
        <f>+IFERROR(Tableau2[[#This Row],[MONTANT HT FACTURE]]/Tableau2[[#This Row],[MONTANT HT VALIDE]],0)</f>
        <v>0</v>
      </c>
      <c r="M24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47" t="str">
        <f>+IFERROR(INDEX(Tableau6[[ENTITE]:[N° BC]],MATCH(Tableau2[[#This Row],[ID BC UNIQUE]],Tableau6[N° BC],0),7),"")</f>
        <v>007G4101</v>
      </c>
      <c r="O247" t="str">
        <f>+IFERROR(INDEX(Tableau24[],MATCH(Tableau2[[#This Row],[CODE PROJET]],Tableau24[CODE PROJET],0),2),"")</f>
        <v>ATELIER DIVO CHARGE ACT LOC EXT</v>
      </c>
    </row>
    <row r="248" spans="3:15" x14ac:dyDescent="0.2">
      <c r="C248" s="3">
        <v>45973</v>
      </c>
      <c r="D248" s="253" t="s">
        <v>344</v>
      </c>
      <c r="E248" s="253" t="s">
        <v>60</v>
      </c>
      <c r="F248" s="58" t="s">
        <v>345</v>
      </c>
      <c r="G248">
        <v>30</v>
      </c>
      <c r="H248" s="392">
        <v>4800000</v>
      </c>
      <c r="I248" s="156">
        <v>4800000</v>
      </c>
      <c r="J248" s="90">
        <f>+SUMIFS(Tableau6[MONTANT HT],Tableau6[CLIENT],Tableau2[[#This Row],[NOM CLIENT]],Tableau6[N° BC],Tableau2[[#This Row],[ID BC UNIQUE]])-SUMIFS(Tableau6[MONTANT HT],Tableau6[CLIENT],Tableau2[[#This Row],[NOM CLIENT]],Tableau6[N° BC],Tableau2[[#This Row],[ID BC UNIQUE]])</f>
        <v>0</v>
      </c>
      <c r="K248" s="90">
        <f>Tableau2[[#This Row],[MONTANT HT VALIDE]]-Tableau2[[#This Row],[MONTANT HT FACTURE]]</f>
        <v>4800000</v>
      </c>
      <c r="L248" s="34">
        <f>+IFERROR(Tableau2[[#This Row],[MONTANT HT FACTURE]]/Tableau2[[#This Row],[MONTANT HT VALIDE]],0)</f>
        <v>0</v>
      </c>
      <c r="M24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48" t="str">
        <f>+IFERROR(INDEX(Tableau6[[ENTITE]:[N° BC]],MATCH(Tableau2[[#This Row],[ID BC UNIQUE]],Tableau6[N° BC],0),7),"")</f>
        <v>AGBOVILLE</v>
      </c>
      <c r="O248" t="str">
        <f>+IFERROR(INDEX(Tableau24[],MATCH(Tableau2[[#This Row],[CODE PROJET]],Tableau24[CODE PROJET],0),2),"")</f>
        <v>AGBOVILLE</v>
      </c>
    </row>
    <row r="249" spans="3:15" x14ac:dyDescent="0.2">
      <c r="C249" s="3">
        <v>45979</v>
      </c>
      <c r="D249" s="253" t="s">
        <v>342</v>
      </c>
      <c r="E249" s="253" t="s">
        <v>60</v>
      </c>
      <c r="F249" s="58" t="s">
        <v>138</v>
      </c>
      <c r="G249">
        <v>30</v>
      </c>
      <c r="H249" s="392">
        <v>6510000</v>
      </c>
      <c r="I249" s="156">
        <v>6510000</v>
      </c>
      <c r="J249" s="90">
        <f>+SUMIFS(Tableau6[MONTANT HT],Tableau6[CLIENT],Tableau2[[#This Row],[NOM CLIENT]],Tableau6[N° BC],Tableau2[[#This Row],[ID BC UNIQUE]])-SUMIFS(Tableau6[MONTANT HT],Tableau6[CLIENT],Tableau2[[#This Row],[NOM CLIENT]],Tableau6[N° BC],Tableau2[[#This Row],[ID BC UNIQUE]])</f>
        <v>0</v>
      </c>
      <c r="K249" s="90">
        <f>Tableau2[[#This Row],[MONTANT HT VALIDE]]-Tableau2[[#This Row],[MONTANT HT FACTURE]]</f>
        <v>6510000</v>
      </c>
      <c r="L249" s="34">
        <f>+IFERROR(Tableau2[[#This Row],[MONTANT HT FACTURE]]/Tableau2[[#This Row],[MONTANT HT VALIDE]],0)</f>
        <v>0</v>
      </c>
      <c r="M24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49" t="str">
        <f>+IFERROR(INDEX(Tableau6[[ENTITE]:[N° BC]],MATCH(Tableau2[[#This Row],[ID BC UNIQUE]],Tableau6[N° BC],0),7),"")</f>
        <v>742RCA01</v>
      </c>
      <c r="O249" t="str">
        <f>+IFERROR(INDEX(Tableau24[],MATCH(Tableau2[[#This Row],[CODE PROJET]],Tableau24[CODE PROJET],0),2),"")</f>
        <v>CARRIERE ODIENNE INSTALLATIONS CARR</v>
      </c>
    </row>
    <row r="250" spans="3:15" x14ac:dyDescent="0.2">
      <c r="C250" s="3">
        <v>45979</v>
      </c>
      <c r="D250" s="253" t="s">
        <v>343</v>
      </c>
      <c r="E250" s="253" t="s">
        <v>60</v>
      </c>
      <c r="F250" s="58" t="s">
        <v>138</v>
      </c>
      <c r="G250">
        <v>30</v>
      </c>
      <c r="H250" s="392">
        <v>12600000</v>
      </c>
      <c r="I250" s="156">
        <v>12600000</v>
      </c>
      <c r="J250" s="90">
        <f>+SUMIFS(Tableau6[MONTANT HT],Tableau6[CLIENT],Tableau2[[#This Row],[NOM CLIENT]],Tableau6[N° BC],Tableau2[[#This Row],[ID BC UNIQUE]])-SUMIFS(Tableau6[MONTANT HT],Tableau6[CLIENT],Tableau2[[#This Row],[NOM CLIENT]],Tableau6[N° BC],Tableau2[[#This Row],[ID BC UNIQUE]])</f>
        <v>0</v>
      </c>
      <c r="K250" s="90">
        <f>Tableau2[[#This Row],[MONTANT HT VALIDE]]-Tableau2[[#This Row],[MONTANT HT FACTURE]]</f>
        <v>12600000</v>
      </c>
      <c r="L250" s="34">
        <f>+IFERROR(Tableau2[[#This Row],[MONTANT HT FACTURE]]/Tableau2[[#This Row],[MONTANT HT VALIDE]],0)</f>
        <v>0</v>
      </c>
      <c r="M25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50" t="str">
        <f>+IFERROR(INDEX(Tableau6[[ENTITE]:[N° BC]],MATCH(Tableau2[[#This Row],[ID BC UNIQUE]],Tableau6[N° BC],0),7),"")</f>
        <v>742RCA01</v>
      </c>
      <c r="O250" t="str">
        <f>+IFERROR(INDEX(Tableau24[],MATCH(Tableau2[[#This Row],[CODE PROJET]],Tableau24[CODE PROJET],0),2),"")</f>
        <v>CARRIERE ODIENNE INSTALLATIONS CARR</v>
      </c>
    </row>
    <row r="251" spans="3:15" x14ac:dyDescent="0.2">
      <c r="C251" s="3">
        <v>45980</v>
      </c>
      <c r="D251" s="253" t="s">
        <v>353</v>
      </c>
      <c r="E251" s="253" t="s">
        <v>60</v>
      </c>
      <c r="F251" s="58" t="s">
        <v>138</v>
      </c>
      <c r="G251">
        <v>30</v>
      </c>
      <c r="H251" s="392">
        <v>2160000</v>
      </c>
      <c r="I251" s="156">
        <v>2160000</v>
      </c>
      <c r="J251" s="90">
        <f>+SUMIFS(Tableau6[MONTANT HT],Tableau6[CLIENT],Tableau2[[#This Row],[NOM CLIENT]],Tableau6[N° BC],Tableau2[[#This Row],[ID BC UNIQUE]])-SUMIFS(Tableau6[MONTANT HT],Tableau6[CLIENT],Tableau2[[#This Row],[NOM CLIENT]],Tableau6[N° BC],Tableau2[[#This Row],[ID BC UNIQUE]])</f>
        <v>0</v>
      </c>
      <c r="K251" s="90">
        <f>Tableau2[[#This Row],[MONTANT HT VALIDE]]-Tableau2[[#This Row],[MONTANT HT FACTURE]]</f>
        <v>2160000</v>
      </c>
      <c r="L251" s="34">
        <f>+IFERROR(Tableau2[[#This Row],[MONTANT HT FACTURE]]/Tableau2[[#This Row],[MONTANT HT VALIDE]],0)</f>
        <v>0</v>
      </c>
      <c r="M25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51" t="str">
        <f>+IFERROR(INDEX(Tableau6[[ENTITE]:[N° BC]],MATCH(Tableau2[[#This Row],[ID BC UNIQUE]],Tableau6[N° BC],0),7),"")</f>
        <v>348R8002</v>
      </c>
      <c r="O251" t="str">
        <f>+IFERROR(INDEX(Tableau24[],MATCH(Tableau2[[#This Row],[CODE PROJET]],Tableau24[CODE PROJET],0),2),"")</f>
        <v>TX BITUMAGE PETIT NASSIAN-KAFOLO-TEHINI-MAD ENGIN</v>
      </c>
    </row>
    <row r="252" spans="3:15" x14ac:dyDescent="0.2">
      <c r="C252" s="3">
        <v>45981</v>
      </c>
      <c r="D252" s="253" t="s">
        <v>359</v>
      </c>
      <c r="E252" s="253" t="s">
        <v>60</v>
      </c>
      <c r="F252" s="58" t="s">
        <v>138</v>
      </c>
      <c r="G252">
        <v>30</v>
      </c>
      <c r="H252" s="392">
        <v>2520000</v>
      </c>
      <c r="I252" s="156">
        <v>2520000</v>
      </c>
      <c r="J252" s="90">
        <f>+SUMIFS(Tableau6[MONTANT HT],Tableau6[CLIENT],Tableau2[[#This Row],[NOM CLIENT]],Tableau6[N° BC],Tableau2[[#This Row],[ID BC UNIQUE]])-SUMIFS(Tableau6[MONTANT HT],Tableau6[CLIENT],Tableau2[[#This Row],[NOM CLIENT]],Tableau6[N° BC],Tableau2[[#This Row],[ID BC UNIQUE]])</f>
        <v>0</v>
      </c>
      <c r="K252" s="90">
        <f>Tableau2[[#This Row],[MONTANT HT VALIDE]]-Tableau2[[#This Row],[MONTANT HT FACTURE]]</f>
        <v>2520000</v>
      </c>
      <c r="L252" s="34">
        <f>+IFERROR(Tableau2[[#This Row],[MONTANT HT FACTURE]]/Tableau2[[#This Row],[MONTANT HT VALIDE]],0)</f>
        <v>0</v>
      </c>
      <c r="M25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52" t="str">
        <f>+IFERROR(INDEX(Tableau6[[ENTITE]:[N° BC]],MATCH(Tableau2[[#This Row],[ID BC UNIQUE]],Tableau6[N° BC],0),7),"")</f>
        <v>009G4101</v>
      </c>
      <c r="O252" t="str">
        <f>+IFERROR(INDEX(Tableau24[],MATCH(Tableau2[[#This Row],[CODE PROJET]],Tableau24[CODE PROJET],0),2),"")</f>
        <v>ATELIER BOUAKE CHARGE ACT LOCAT° EXT</v>
      </c>
    </row>
    <row r="253" spans="3:15" x14ac:dyDescent="0.2">
      <c r="C253" s="3">
        <v>45981</v>
      </c>
      <c r="D253" s="253" t="s">
        <v>311</v>
      </c>
      <c r="E253" s="253" t="s">
        <v>60</v>
      </c>
      <c r="F253" s="58" t="s">
        <v>138</v>
      </c>
      <c r="G253">
        <v>30</v>
      </c>
      <c r="H253" s="392">
        <v>770000</v>
      </c>
      <c r="I253" s="156">
        <v>770000</v>
      </c>
      <c r="J253" s="90">
        <f>+SUMIFS(Tableau6[MONTANT HT],Tableau6[CLIENT],Tableau2[[#This Row],[NOM CLIENT]],Tableau6[N° BC],Tableau2[[#This Row],[ID BC UNIQUE]])-SUMIFS(Tableau6[MONTANT HT],Tableau6[CLIENT],Tableau2[[#This Row],[NOM CLIENT]],Tableau6[N° BC],Tableau2[[#This Row],[ID BC UNIQUE]])</f>
        <v>0</v>
      </c>
      <c r="K253" s="90">
        <f>Tableau2[[#This Row],[MONTANT HT VALIDE]]-Tableau2[[#This Row],[MONTANT HT FACTURE]]</f>
        <v>770000</v>
      </c>
      <c r="L253" s="34">
        <f>+IFERROR(Tableau2[[#This Row],[MONTANT HT FACTURE]]/Tableau2[[#This Row],[MONTANT HT VALIDE]],0)</f>
        <v>0</v>
      </c>
      <c r="M25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53" t="str">
        <f>+IFERROR(INDEX(Tableau6[[ENTITE]:[N° BC]],MATCH(Tableau2[[#This Row],[ID BC UNIQUE]],Tableau6[N° BC],0),7),"")</f>
        <v>019G4101</v>
      </c>
      <c r="O253" t="str">
        <f>+IFERROR(INDEX(Tableau24[],MATCH(Tableau2[[#This Row],[CODE PROJET]],Tableau24[CODE PROJET],0),2),"")</f>
        <v>ATELIER ODIENNE CHARGE ACT LOC EXT</v>
      </c>
    </row>
    <row r="254" spans="3:15" x14ac:dyDescent="0.2">
      <c r="C254" s="3">
        <v>45982</v>
      </c>
      <c r="D254" s="253" t="s">
        <v>310</v>
      </c>
      <c r="E254" s="253" t="s">
        <v>60</v>
      </c>
      <c r="F254" s="58" t="s">
        <v>138</v>
      </c>
      <c r="G254">
        <v>30</v>
      </c>
      <c r="H254" s="392">
        <v>3220000</v>
      </c>
      <c r="I254" s="156">
        <v>3220000</v>
      </c>
      <c r="J254" s="90">
        <f>+SUMIFS(Tableau6[MONTANT HT],Tableau6[CLIENT],Tableau2[[#This Row],[NOM CLIENT]],Tableau6[N° BC],Tableau2[[#This Row],[ID BC UNIQUE]])-SUMIFS(Tableau6[MONTANT HT],Tableau6[CLIENT],Tableau2[[#This Row],[NOM CLIENT]],Tableau6[N° BC],Tableau2[[#This Row],[ID BC UNIQUE]])</f>
        <v>0</v>
      </c>
      <c r="K254" s="90">
        <f>Tableau2[[#This Row],[MONTANT HT VALIDE]]-Tableau2[[#This Row],[MONTANT HT FACTURE]]</f>
        <v>3220000</v>
      </c>
      <c r="L254" s="34">
        <f>+IFERROR(Tableau2[[#This Row],[MONTANT HT FACTURE]]/Tableau2[[#This Row],[MONTANT HT VALIDE]],0)</f>
        <v>0</v>
      </c>
      <c r="M25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54" t="str">
        <f>+IFERROR(INDEX(Tableau6[[ENTITE]:[N° BC]],MATCH(Tableau2[[#This Row],[ID BC UNIQUE]],Tableau6[N° BC],0),7),"")</f>
        <v>016G4101</v>
      </c>
      <c r="O254" t="str">
        <f>+IFERROR(INDEX(Tableau24[],MATCH(Tableau2[[#This Row],[CODE PROJET]],Tableau24[CODE PROJET],0),2),"")</f>
        <v>ATELIER BINGERVILLE SM LOCATION EXTERNES</v>
      </c>
    </row>
    <row r="255" spans="3:15" x14ac:dyDescent="0.2">
      <c r="C255" s="3">
        <v>45982</v>
      </c>
      <c r="D255" s="253" t="s">
        <v>309</v>
      </c>
      <c r="E255" s="253" t="s">
        <v>60</v>
      </c>
      <c r="F255" s="58" t="s">
        <v>138</v>
      </c>
      <c r="G255">
        <v>30</v>
      </c>
      <c r="H255" s="392">
        <v>8265000</v>
      </c>
      <c r="I255" s="156">
        <v>8265000</v>
      </c>
      <c r="J255" s="90">
        <f>+SUMIFS(Tableau6[MONTANT HT],Tableau6[CLIENT],Tableau2[[#This Row],[NOM CLIENT]],Tableau6[N° BC],Tableau2[[#This Row],[ID BC UNIQUE]])-SUMIFS(Tableau6[MONTANT HT],Tableau6[CLIENT],Tableau2[[#This Row],[NOM CLIENT]],Tableau6[N° BC],Tableau2[[#This Row],[ID BC UNIQUE]])</f>
        <v>0</v>
      </c>
      <c r="K255" s="90">
        <f>Tableau2[[#This Row],[MONTANT HT VALIDE]]-Tableau2[[#This Row],[MONTANT HT FACTURE]]</f>
        <v>8265000</v>
      </c>
      <c r="L255" s="34">
        <f>+IFERROR(Tableau2[[#This Row],[MONTANT HT FACTURE]]/Tableau2[[#This Row],[MONTANT HT VALIDE]],0)</f>
        <v>0</v>
      </c>
      <c r="M25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55" t="str">
        <f>+IFERROR(INDEX(Tableau6[[ENTITE]:[N° BC]],MATCH(Tableau2[[#This Row],[ID BC UNIQUE]],Tableau6[N° BC],0),7),"")</f>
        <v>018G4101</v>
      </c>
      <c r="O255" t="str">
        <f>+IFERROR(INDEX(Tableau24[],MATCH(Tableau2[[#This Row],[CODE PROJET]],Tableau24[CODE PROJET],0),2),"")</f>
        <v>ATELIER KORHOGO SM LOCATION EXTERNES</v>
      </c>
    </row>
    <row r="256" spans="3:15" x14ac:dyDescent="0.2">
      <c r="C256" s="3">
        <v>45982</v>
      </c>
      <c r="D256" s="253" t="s">
        <v>308</v>
      </c>
      <c r="E256" s="253" t="s">
        <v>60</v>
      </c>
      <c r="F256" s="58" t="s">
        <v>138</v>
      </c>
      <c r="G256">
        <v>30</v>
      </c>
      <c r="H256" s="392">
        <v>1300000</v>
      </c>
      <c r="I256" s="156">
        <v>1300000</v>
      </c>
      <c r="J256" s="90">
        <f>+SUMIFS(Tableau6[MONTANT HT],Tableau6[CLIENT],Tableau2[[#This Row],[NOM CLIENT]],Tableau6[N° BC],Tableau2[[#This Row],[ID BC UNIQUE]])-SUMIFS(Tableau6[MONTANT HT],Tableau6[CLIENT],Tableau2[[#This Row],[NOM CLIENT]],Tableau6[N° BC],Tableau2[[#This Row],[ID BC UNIQUE]])</f>
        <v>0</v>
      </c>
      <c r="K256" s="90">
        <f>Tableau2[[#This Row],[MONTANT HT VALIDE]]-Tableau2[[#This Row],[MONTANT HT FACTURE]]</f>
        <v>1300000</v>
      </c>
      <c r="L256" s="34">
        <f>+IFERROR(Tableau2[[#This Row],[MONTANT HT FACTURE]]/Tableau2[[#This Row],[MONTANT HT VALIDE]],0)</f>
        <v>0</v>
      </c>
      <c r="M25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56" t="str">
        <f>+IFERROR(INDEX(Tableau6[[ENTITE]:[N° BC]],MATCH(Tableau2[[#This Row],[ID BC UNIQUE]],Tableau6[N° BC],0),7),"")</f>
        <v>019G4101</v>
      </c>
      <c r="O256" t="str">
        <f>+IFERROR(INDEX(Tableau24[],MATCH(Tableau2[[#This Row],[CODE PROJET]],Tableau24[CODE PROJET],0),2),"")</f>
        <v>ATELIER ODIENNE CHARGE ACT LOC EXT</v>
      </c>
    </row>
    <row r="257" spans="3:15" x14ac:dyDescent="0.2">
      <c r="C257" s="3">
        <v>45982</v>
      </c>
      <c r="D257" s="253" t="s">
        <v>322</v>
      </c>
      <c r="E257" s="253" t="s">
        <v>60</v>
      </c>
      <c r="F257" s="58" t="s">
        <v>138</v>
      </c>
      <c r="G257">
        <v>30</v>
      </c>
      <c r="H257" s="392">
        <v>1350000</v>
      </c>
      <c r="I257" s="156">
        <v>1350000</v>
      </c>
      <c r="J257" s="90">
        <f>+SUMIFS(Tableau6[MONTANT HT],Tableau6[CLIENT],Tableau2[[#This Row],[NOM CLIENT]],Tableau6[N° BC],Tableau2[[#This Row],[ID BC UNIQUE]])-SUMIFS(Tableau6[MONTANT HT],Tableau6[CLIENT],Tableau2[[#This Row],[NOM CLIENT]],Tableau6[N° BC],Tableau2[[#This Row],[ID BC UNIQUE]])</f>
        <v>0</v>
      </c>
      <c r="K257" s="90">
        <f>Tableau2[[#This Row],[MONTANT HT VALIDE]]-Tableau2[[#This Row],[MONTANT HT FACTURE]]</f>
        <v>1350000</v>
      </c>
      <c r="L257" s="34">
        <f>+IFERROR(Tableau2[[#This Row],[MONTANT HT FACTURE]]/Tableau2[[#This Row],[MONTANT HT VALIDE]],0)</f>
        <v>0</v>
      </c>
      <c r="M25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57" t="str">
        <f>+IFERROR(INDEX(Tableau6[[ENTITE]:[N° BC]],MATCH(Tableau2[[#This Row],[ID BC UNIQUE]],Tableau6[N° BC],0),7),"")</f>
        <v>010G4101</v>
      </c>
      <c r="O257" t="str">
        <f>+IFERROR(INDEX(Tableau24[],MATCH(Tableau2[[#This Row],[CODE PROJET]],Tableau24[CODE PROJET],0),2),"")</f>
        <v>ATELIER COTIERE CHARGES ACT LOCAT° EXT</v>
      </c>
    </row>
    <row r="258" spans="3:15" x14ac:dyDescent="0.2">
      <c r="C258" s="3">
        <v>45983</v>
      </c>
      <c r="D258" s="253" t="s">
        <v>307</v>
      </c>
      <c r="E258" s="253" t="s">
        <v>60</v>
      </c>
      <c r="F258" s="58" t="s">
        <v>138</v>
      </c>
      <c r="G258">
        <v>30</v>
      </c>
      <c r="H258" s="392">
        <v>1495000</v>
      </c>
      <c r="I258" s="156">
        <v>1495000</v>
      </c>
      <c r="J258" s="90">
        <f>+SUMIFS(Tableau6[MONTANT HT],Tableau6[CLIENT],Tableau2[[#This Row],[NOM CLIENT]],Tableau6[N° BC],Tableau2[[#This Row],[ID BC UNIQUE]])-SUMIFS(Tableau6[MONTANT HT],Tableau6[CLIENT],Tableau2[[#This Row],[NOM CLIENT]],Tableau6[N° BC],Tableau2[[#This Row],[ID BC UNIQUE]])</f>
        <v>0</v>
      </c>
      <c r="K258" s="90">
        <f>Tableau2[[#This Row],[MONTANT HT VALIDE]]-Tableau2[[#This Row],[MONTANT HT FACTURE]]</f>
        <v>1495000</v>
      </c>
      <c r="L258" s="34">
        <f>+IFERROR(Tableau2[[#This Row],[MONTANT HT FACTURE]]/Tableau2[[#This Row],[MONTANT HT VALIDE]],0)</f>
        <v>0</v>
      </c>
      <c r="M25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58" t="str">
        <f>+IFERROR(INDEX(Tableau6[[ENTITE]:[N° BC]],MATCH(Tableau2[[#This Row],[ID BC UNIQUE]],Tableau6[N° BC],0),7),"")</f>
        <v>010G4101</v>
      </c>
      <c r="O258" t="str">
        <f>+IFERROR(INDEX(Tableau24[],MATCH(Tableau2[[#This Row],[CODE PROJET]],Tableau24[CODE PROJET],0),2),"")</f>
        <v>ATELIER COTIERE CHARGES ACT LOCAT° EXT</v>
      </c>
    </row>
    <row r="259" spans="3:15" x14ac:dyDescent="0.2">
      <c r="C259" s="3">
        <v>45983</v>
      </c>
      <c r="D259" s="6" t="s">
        <v>399</v>
      </c>
      <c r="E259" s="253" t="s">
        <v>60</v>
      </c>
      <c r="F259" s="58" t="s">
        <v>138</v>
      </c>
      <c r="G259">
        <v>30</v>
      </c>
      <c r="H259" s="392">
        <v>1980000</v>
      </c>
      <c r="I259" s="156">
        <v>1980000</v>
      </c>
      <c r="J259" s="90">
        <f>+SUMIFS(Tableau6[MONTANT HT],Tableau6[CLIENT],Tableau2[[#This Row],[NOM CLIENT]],Tableau6[N° BC],Tableau2[[#This Row],[ID BC UNIQUE]])-SUMIFS(Tableau6[MONTANT HT],Tableau6[CLIENT],Tableau2[[#This Row],[NOM CLIENT]],Tableau6[N° BC],Tableau2[[#This Row],[ID BC UNIQUE]])</f>
        <v>0</v>
      </c>
      <c r="K259" s="90">
        <f>Tableau2[[#This Row],[MONTANT HT VALIDE]]-Tableau2[[#This Row],[MONTANT HT FACTURE]]</f>
        <v>1980000</v>
      </c>
      <c r="L259" s="34">
        <f>+IFERROR(Tableau2[[#This Row],[MONTANT HT FACTURE]]/Tableau2[[#This Row],[MONTANT HT VALIDE]],0)</f>
        <v>0</v>
      </c>
      <c r="M25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59" t="str">
        <f>+IFERROR(INDEX(Tableau6[[ENTITE]:[N° BC]],MATCH(Tableau2[[#This Row],[ID BC UNIQUE]],Tableau6[N° BC],0),7),"")</f>
        <v>009G4101</v>
      </c>
      <c r="O259" t="str">
        <f>+IFERROR(INDEX(Tableau24[],MATCH(Tableau2[[#This Row],[CODE PROJET]],Tableau24[CODE PROJET],0),2),"")</f>
        <v>ATELIER BOUAKE CHARGE ACT LOCAT° EXT</v>
      </c>
    </row>
    <row r="260" spans="3:15" x14ac:dyDescent="0.2">
      <c r="C260" s="3">
        <v>45983</v>
      </c>
      <c r="D260" s="253" t="s">
        <v>312</v>
      </c>
      <c r="E260" s="253" t="s">
        <v>60</v>
      </c>
      <c r="F260" s="58" t="s">
        <v>138</v>
      </c>
      <c r="G260">
        <v>30</v>
      </c>
      <c r="H260" s="392">
        <v>3700000</v>
      </c>
      <c r="I260" s="156">
        <v>3700000</v>
      </c>
      <c r="J260" s="90">
        <f>+SUMIFS(Tableau6[MONTANT HT],Tableau6[CLIENT],Tableau2[[#This Row],[NOM CLIENT]],Tableau6[N° BC],Tableau2[[#This Row],[ID BC UNIQUE]])-SUMIFS(Tableau6[MONTANT HT],Tableau6[CLIENT],Tableau2[[#This Row],[NOM CLIENT]],Tableau6[N° BC],Tableau2[[#This Row],[ID BC UNIQUE]])</f>
        <v>0</v>
      </c>
      <c r="K260" s="90">
        <f>Tableau2[[#This Row],[MONTANT HT VALIDE]]-Tableau2[[#This Row],[MONTANT HT FACTURE]]</f>
        <v>3700000</v>
      </c>
      <c r="L260" s="34">
        <f>+IFERROR(Tableau2[[#This Row],[MONTANT HT FACTURE]]/Tableau2[[#This Row],[MONTANT HT VALIDE]],0)</f>
        <v>0</v>
      </c>
      <c r="M26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60" t="str">
        <f>+IFERROR(INDEX(Tableau6[[ENTITE]:[N° BC]],MATCH(Tableau2[[#This Row],[ID BC UNIQUE]],Tableau6[N° BC],0),7),"")</f>
        <v>016G4101</v>
      </c>
      <c r="O260" t="str">
        <f>+IFERROR(INDEX(Tableau24[],MATCH(Tableau2[[#This Row],[CODE PROJET]],Tableau24[CODE PROJET],0),2),"")</f>
        <v>ATELIER BINGERVILLE SM LOCATION EXTERNES</v>
      </c>
    </row>
    <row r="261" spans="3:15" x14ac:dyDescent="0.2">
      <c r="C261" s="3">
        <v>45983</v>
      </c>
      <c r="D261" s="253" t="s">
        <v>313</v>
      </c>
      <c r="E261" s="253" t="s">
        <v>60</v>
      </c>
      <c r="F261" s="58" t="s">
        <v>138</v>
      </c>
      <c r="G261">
        <v>30</v>
      </c>
      <c r="H261" s="392">
        <v>770000</v>
      </c>
      <c r="I261" s="156">
        <v>770000</v>
      </c>
      <c r="J261" s="90">
        <f>+SUMIFS(Tableau6[MONTANT HT],Tableau6[CLIENT],Tableau2[[#This Row],[NOM CLIENT]],Tableau6[N° BC],Tableau2[[#This Row],[ID BC UNIQUE]])-SUMIFS(Tableau6[MONTANT HT],Tableau6[CLIENT],Tableau2[[#This Row],[NOM CLIENT]],Tableau6[N° BC],Tableau2[[#This Row],[ID BC UNIQUE]])</f>
        <v>0</v>
      </c>
      <c r="K261" s="90">
        <f>Tableau2[[#This Row],[MONTANT HT VALIDE]]-Tableau2[[#This Row],[MONTANT HT FACTURE]]</f>
        <v>770000</v>
      </c>
      <c r="L261" s="34">
        <f>+IFERROR(Tableau2[[#This Row],[MONTANT HT FACTURE]]/Tableau2[[#This Row],[MONTANT HT VALIDE]],0)</f>
        <v>0</v>
      </c>
      <c r="M26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61" t="str">
        <f>+IFERROR(INDEX(Tableau6[[ENTITE]:[N° BC]],MATCH(Tableau2[[#This Row],[ID BC UNIQUE]],Tableau6[N° BC],0),7),"")</f>
        <v>019G4101</v>
      </c>
      <c r="O261" t="str">
        <f>+IFERROR(INDEX(Tableau24[],MATCH(Tableau2[[#This Row],[CODE PROJET]],Tableau24[CODE PROJET],0),2),"")</f>
        <v>ATELIER ODIENNE CHARGE ACT LOC EXT</v>
      </c>
    </row>
    <row r="262" spans="3:15" x14ac:dyDescent="0.2">
      <c r="C262" s="3">
        <v>45985</v>
      </c>
      <c r="D262" s="253" t="s">
        <v>316</v>
      </c>
      <c r="E262" s="253" t="s">
        <v>60</v>
      </c>
      <c r="F262" s="58" t="s">
        <v>138</v>
      </c>
      <c r="G262">
        <v>30</v>
      </c>
      <c r="H262" s="392">
        <v>2000000</v>
      </c>
      <c r="I262" s="156">
        <v>2000000</v>
      </c>
      <c r="J262" s="90">
        <f>+SUMIFS(Tableau6[MONTANT HT],Tableau6[CLIENT],Tableau2[[#This Row],[NOM CLIENT]],Tableau6[N° BC],Tableau2[[#This Row],[ID BC UNIQUE]])-SUMIFS(Tableau6[MONTANT HT],Tableau6[CLIENT],Tableau2[[#This Row],[NOM CLIENT]],Tableau6[N° BC],Tableau2[[#This Row],[ID BC UNIQUE]])</f>
        <v>0</v>
      </c>
      <c r="K262" s="90">
        <f>Tableau2[[#This Row],[MONTANT HT VALIDE]]-Tableau2[[#This Row],[MONTANT HT FACTURE]]</f>
        <v>2000000</v>
      </c>
      <c r="L262" s="34">
        <f>+IFERROR(Tableau2[[#This Row],[MONTANT HT FACTURE]]/Tableau2[[#This Row],[MONTANT HT VALIDE]],0)</f>
        <v>0</v>
      </c>
      <c r="M26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62" t="str">
        <f>+IFERROR(INDEX(Tableau6[[ENTITE]:[N° BC]],MATCH(Tableau2[[#This Row],[ID BC UNIQUE]],Tableau6[N° BC],0),7),"")</f>
        <v>016G4101</v>
      </c>
      <c r="O262" t="str">
        <f>+IFERROR(INDEX(Tableau24[],MATCH(Tableau2[[#This Row],[CODE PROJET]],Tableau24[CODE PROJET],0),2),"")</f>
        <v>ATELIER BINGERVILLE SM LOCATION EXTERNES</v>
      </c>
    </row>
    <row r="263" spans="3:15" x14ac:dyDescent="0.2">
      <c r="C263" s="3">
        <v>45985</v>
      </c>
      <c r="D263" s="253" t="s">
        <v>317</v>
      </c>
      <c r="E263" s="253" t="s">
        <v>60</v>
      </c>
      <c r="F263" s="58" t="s">
        <v>138</v>
      </c>
      <c r="G263">
        <v>30</v>
      </c>
      <c r="H263" s="392">
        <v>1080000</v>
      </c>
      <c r="I263" s="156">
        <v>1080000</v>
      </c>
      <c r="J263" s="90">
        <f>+SUMIFS(Tableau6[MONTANT HT],Tableau6[CLIENT],Tableau2[[#This Row],[NOM CLIENT]],Tableau6[N° BC],Tableau2[[#This Row],[ID BC UNIQUE]])-SUMIFS(Tableau6[MONTANT HT],Tableau6[CLIENT],Tableau2[[#This Row],[NOM CLIENT]],Tableau6[N° BC],Tableau2[[#This Row],[ID BC UNIQUE]])</f>
        <v>0</v>
      </c>
      <c r="K263" s="90">
        <f>Tableau2[[#This Row],[MONTANT HT VALIDE]]-Tableau2[[#This Row],[MONTANT HT FACTURE]]</f>
        <v>1080000</v>
      </c>
      <c r="L263" s="34">
        <f>+IFERROR(Tableau2[[#This Row],[MONTANT HT FACTURE]]/Tableau2[[#This Row],[MONTANT HT VALIDE]],0)</f>
        <v>0</v>
      </c>
      <c r="M26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63" t="str">
        <f>+IFERROR(INDEX(Tableau6[[ENTITE]:[N° BC]],MATCH(Tableau2[[#This Row],[ID BC UNIQUE]],Tableau6[N° BC],0),7),"")</f>
        <v>016G4101</v>
      </c>
      <c r="O263" t="str">
        <f>+IFERROR(INDEX(Tableau24[],MATCH(Tableau2[[#This Row],[CODE PROJET]],Tableau24[CODE PROJET],0),2),"")</f>
        <v>ATELIER BINGERVILLE SM LOCATION EXTERNES</v>
      </c>
    </row>
    <row r="264" spans="3:15" x14ac:dyDescent="0.2">
      <c r="C264" s="3">
        <v>45985</v>
      </c>
      <c r="D264" s="253" t="s">
        <v>318</v>
      </c>
      <c r="E264" s="253" t="s">
        <v>60</v>
      </c>
      <c r="F264" s="58" t="s">
        <v>138</v>
      </c>
      <c r="G264">
        <v>30</v>
      </c>
      <c r="H264" s="392">
        <v>16250001</v>
      </c>
      <c r="I264" s="156">
        <v>16250001</v>
      </c>
      <c r="J264" s="90">
        <f>+SUMIFS(Tableau6[MONTANT HT],Tableau6[CLIENT],Tableau2[[#This Row],[NOM CLIENT]],Tableau6[N° BC],Tableau2[[#This Row],[ID BC UNIQUE]])-SUMIFS(Tableau6[MONTANT HT],Tableau6[CLIENT],Tableau2[[#This Row],[NOM CLIENT]],Tableau6[N° BC],Tableau2[[#This Row],[ID BC UNIQUE]])</f>
        <v>0</v>
      </c>
      <c r="K264" s="90">
        <f>Tableau2[[#This Row],[MONTANT HT VALIDE]]-Tableau2[[#This Row],[MONTANT HT FACTURE]]</f>
        <v>16250001</v>
      </c>
      <c r="L264" s="34">
        <f>+IFERROR(Tableau2[[#This Row],[MONTANT HT FACTURE]]/Tableau2[[#This Row],[MONTANT HT VALIDE]],0)</f>
        <v>0</v>
      </c>
      <c r="M26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64" t="str">
        <f>+IFERROR(INDEX(Tableau6[[ENTITE]:[N° BC]],MATCH(Tableau2[[#This Row],[ID BC UNIQUE]],Tableau6[N° BC],0),7),"")</f>
        <v>019G4101</v>
      </c>
      <c r="O264" t="str">
        <f>+IFERROR(INDEX(Tableau24[],MATCH(Tableau2[[#This Row],[CODE PROJET]],Tableau24[CODE PROJET],0),2),"")</f>
        <v>ATELIER ODIENNE CHARGE ACT LOC EXT</v>
      </c>
    </row>
    <row r="265" spans="3:15" x14ac:dyDescent="0.2">
      <c r="C265" s="3">
        <v>45985</v>
      </c>
      <c r="D265" s="253" t="s">
        <v>323</v>
      </c>
      <c r="E265" s="253" t="s">
        <v>60</v>
      </c>
      <c r="F265" s="58" t="s">
        <v>138</v>
      </c>
      <c r="G265">
        <v>30</v>
      </c>
      <c r="H265" s="392">
        <v>21034000</v>
      </c>
      <c r="I265" s="156">
        <v>21034000</v>
      </c>
      <c r="J265" s="90">
        <f>+SUMIFS(Tableau6[MONTANT HT],Tableau6[CLIENT],Tableau2[[#This Row],[NOM CLIENT]],Tableau6[N° BC],Tableau2[[#This Row],[ID BC UNIQUE]])-SUMIFS(Tableau6[MONTANT HT],Tableau6[CLIENT],Tableau2[[#This Row],[NOM CLIENT]],Tableau6[N° BC],Tableau2[[#This Row],[ID BC UNIQUE]])</f>
        <v>0</v>
      </c>
      <c r="K265" s="90">
        <f>Tableau2[[#This Row],[MONTANT HT VALIDE]]-Tableau2[[#This Row],[MONTANT HT FACTURE]]</f>
        <v>21034000</v>
      </c>
      <c r="L265" s="34">
        <f>+IFERROR(Tableau2[[#This Row],[MONTANT HT FACTURE]]/Tableau2[[#This Row],[MONTANT HT VALIDE]],0)</f>
        <v>0</v>
      </c>
      <c r="M26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65" t="str">
        <f>+IFERROR(INDEX(Tableau6[[ENTITE]:[N° BC]],MATCH(Tableau2[[#This Row],[ID BC UNIQUE]],Tableau6[N° BC],0),7),"")</f>
        <v>019G4101</v>
      </c>
      <c r="O265" t="str">
        <f>+IFERROR(INDEX(Tableau24[],MATCH(Tableau2[[#This Row],[CODE PROJET]],Tableau24[CODE PROJET],0),2),"")</f>
        <v>ATELIER ODIENNE CHARGE ACT LOC EXT</v>
      </c>
    </row>
    <row r="266" spans="3:15" x14ac:dyDescent="0.2">
      <c r="C266" s="3">
        <v>45985</v>
      </c>
      <c r="D266" s="253" t="s">
        <v>319</v>
      </c>
      <c r="E266" s="253" t="s">
        <v>60</v>
      </c>
      <c r="F266" s="58" t="s">
        <v>138</v>
      </c>
      <c r="G266">
        <v>30</v>
      </c>
      <c r="H266" s="392">
        <v>26889880</v>
      </c>
      <c r="I266" s="156">
        <v>26889880</v>
      </c>
      <c r="J266" s="90">
        <f>+SUMIFS(Tableau6[MONTANT HT],Tableau6[CLIENT],Tableau2[[#This Row],[NOM CLIENT]],Tableau6[N° BC],Tableau2[[#This Row],[ID BC UNIQUE]])-SUMIFS(Tableau6[MONTANT HT],Tableau6[CLIENT],Tableau2[[#This Row],[NOM CLIENT]],Tableau6[N° BC],Tableau2[[#This Row],[ID BC UNIQUE]])</f>
        <v>0</v>
      </c>
      <c r="K266" s="90">
        <f>Tableau2[[#This Row],[MONTANT HT VALIDE]]-Tableau2[[#This Row],[MONTANT HT FACTURE]]</f>
        <v>26889880</v>
      </c>
      <c r="L266" s="34">
        <f>+IFERROR(Tableau2[[#This Row],[MONTANT HT FACTURE]]/Tableau2[[#This Row],[MONTANT HT VALIDE]],0)</f>
        <v>0</v>
      </c>
      <c r="M26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66" t="str">
        <f>+IFERROR(INDEX(Tableau6[[ENTITE]:[N° BC]],MATCH(Tableau2[[#This Row],[ID BC UNIQUE]],Tableau6[N° BC],0),7),"")</f>
        <v>017G4101</v>
      </c>
      <c r="O266" t="str">
        <f>+IFERROR(INDEX(Tableau24[],MATCH(Tableau2[[#This Row],[CODE PROJET]],Tableau24[CODE PROJET],0),2),"")</f>
        <v>ATELIER PETIT NASS. KT SM LOCAT°</v>
      </c>
    </row>
    <row r="267" spans="3:15" x14ac:dyDescent="0.2">
      <c r="C267" s="3">
        <v>45985</v>
      </c>
      <c r="D267" s="253" t="s">
        <v>314</v>
      </c>
      <c r="E267" s="253" t="s">
        <v>60</v>
      </c>
      <c r="F267" s="58" t="s">
        <v>138</v>
      </c>
      <c r="G267">
        <v>30</v>
      </c>
      <c r="H267" s="392">
        <v>7500016</v>
      </c>
      <c r="I267" s="156">
        <v>7500016</v>
      </c>
      <c r="J267" s="90">
        <f>+SUMIFS(Tableau6[MONTANT HT],Tableau6[CLIENT],Tableau2[[#This Row],[NOM CLIENT]],Tableau6[N° BC],Tableau2[[#This Row],[ID BC UNIQUE]])-SUMIFS(Tableau6[MONTANT HT],Tableau6[CLIENT],Tableau2[[#This Row],[NOM CLIENT]],Tableau6[N° BC],Tableau2[[#This Row],[ID BC UNIQUE]])</f>
        <v>0</v>
      </c>
      <c r="K267" s="90">
        <f>Tableau2[[#This Row],[MONTANT HT VALIDE]]-Tableau2[[#This Row],[MONTANT HT FACTURE]]</f>
        <v>7500016</v>
      </c>
      <c r="L267" s="34">
        <f>+IFERROR(Tableau2[[#This Row],[MONTANT HT FACTURE]]/Tableau2[[#This Row],[MONTANT HT VALIDE]],0)</f>
        <v>0</v>
      </c>
      <c r="M26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67" t="str">
        <f>+IFERROR(INDEX(Tableau6[[ENTITE]:[N° BC]],MATCH(Tableau2[[#This Row],[ID BC UNIQUE]],Tableau6[N° BC],0),7),"")</f>
        <v>015G4101</v>
      </c>
      <c r="O267" t="str">
        <f>+IFERROR(INDEX(Tableau24[],MATCH(Tableau2[[#This Row],[CODE PROJET]],Tableau24[CODE PROJET],0),2),"")</f>
        <v>ATELIER KONG CHARGE ACT LOCAT° EXT</v>
      </c>
    </row>
    <row r="268" spans="3:15" x14ac:dyDescent="0.2">
      <c r="C268" s="3">
        <v>45986</v>
      </c>
      <c r="D268" s="253" t="s">
        <v>315</v>
      </c>
      <c r="E268" s="253" t="s">
        <v>60</v>
      </c>
      <c r="F268" s="58" t="s">
        <v>138</v>
      </c>
      <c r="G268">
        <v>30</v>
      </c>
      <c r="H268" s="392">
        <v>15995384</v>
      </c>
      <c r="I268" s="156">
        <v>15995384</v>
      </c>
      <c r="J268" s="90">
        <f>+SUMIFS(Tableau6[MONTANT HT],Tableau6[CLIENT],Tableau2[[#This Row],[NOM CLIENT]],Tableau6[N° BC],Tableau2[[#This Row],[ID BC UNIQUE]])-SUMIFS(Tableau6[MONTANT HT],Tableau6[CLIENT],Tableau2[[#This Row],[NOM CLIENT]],Tableau6[N° BC],Tableau2[[#This Row],[ID BC UNIQUE]])</f>
        <v>0</v>
      </c>
      <c r="K268" s="90">
        <f>Tableau2[[#This Row],[MONTANT HT VALIDE]]-Tableau2[[#This Row],[MONTANT HT FACTURE]]</f>
        <v>15995384</v>
      </c>
      <c r="L268" s="34">
        <f>+IFERROR(Tableau2[[#This Row],[MONTANT HT FACTURE]]/Tableau2[[#This Row],[MONTANT HT VALIDE]],0)</f>
        <v>0</v>
      </c>
      <c r="M26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68" t="str">
        <f>+IFERROR(INDEX(Tableau6[[ENTITE]:[N° BC]],MATCH(Tableau2[[#This Row],[ID BC UNIQUE]],Tableau6[N° BC],0),7),"")</f>
        <v>019G4101</v>
      </c>
      <c r="O268" t="str">
        <f>+IFERROR(INDEX(Tableau24[],MATCH(Tableau2[[#This Row],[CODE PROJET]],Tableau24[CODE PROJET],0),2),"")</f>
        <v>ATELIER ODIENNE CHARGE ACT LOC EXT</v>
      </c>
    </row>
    <row r="269" spans="3:15" x14ac:dyDescent="0.2">
      <c r="C269" s="3">
        <v>45986</v>
      </c>
      <c r="D269" s="253" t="s">
        <v>320</v>
      </c>
      <c r="E269" s="253" t="s">
        <v>60</v>
      </c>
      <c r="F269" s="58" t="s">
        <v>138</v>
      </c>
      <c r="G269">
        <v>30</v>
      </c>
      <c r="H269" s="392">
        <v>11300000</v>
      </c>
      <c r="I269" s="156">
        <v>11300000</v>
      </c>
      <c r="J269" s="90">
        <f>+SUMIFS(Tableau6[MONTANT HT],Tableau6[CLIENT],Tableau2[[#This Row],[NOM CLIENT]],Tableau6[N° BC],Tableau2[[#This Row],[ID BC UNIQUE]])-SUMIFS(Tableau6[MONTANT HT],Tableau6[CLIENT],Tableau2[[#This Row],[NOM CLIENT]],Tableau6[N° BC],Tableau2[[#This Row],[ID BC UNIQUE]])</f>
        <v>0</v>
      </c>
      <c r="K269" s="90">
        <f>Tableau2[[#This Row],[MONTANT HT VALIDE]]-Tableau2[[#This Row],[MONTANT HT FACTURE]]</f>
        <v>11300000</v>
      </c>
      <c r="L269" s="34">
        <f>+IFERROR(Tableau2[[#This Row],[MONTANT HT FACTURE]]/Tableau2[[#This Row],[MONTANT HT VALIDE]],0)</f>
        <v>0</v>
      </c>
      <c r="M26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69" t="str">
        <f>+IFERROR(INDEX(Tableau6[[ENTITE]:[N° BC]],MATCH(Tableau2[[#This Row],[ID BC UNIQUE]],Tableau6[N° BC],0),7),"")</f>
        <v>019G4101</v>
      </c>
      <c r="O269" t="str">
        <f>+IFERROR(INDEX(Tableau24[],MATCH(Tableau2[[#This Row],[CODE PROJET]],Tableau24[CODE PROJET],0),2),"")</f>
        <v>ATELIER ODIENNE CHARGE ACT LOC EXT</v>
      </c>
    </row>
    <row r="270" spans="3:15" x14ac:dyDescent="0.2">
      <c r="C270" s="3">
        <v>45986</v>
      </c>
      <c r="D270" s="253" t="s">
        <v>324</v>
      </c>
      <c r="E270" s="253" t="s">
        <v>60</v>
      </c>
      <c r="F270" s="58" t="s">
        <v>138</v>
      </c>
      <c r="G270">
        <v>30</v>
      </c>
      <c r="H270" s="392">
        <v>12950000</v>
      </c>
      <c r="I270" s="156">
        <v>12950000</v>
      </c>
      <c r="J270" s="90">
        <f>+SUMIFS(Tableau6[MONTANT HT],Tableau6[CLIENT],Tableau2[[#This Row],[NOM CLIENT]],Tableau6[N° BC],Tableau2[[#This Row],[ID BC UNIQUE]])-SUMIFS(Tableau6[MONTANT HT],Tableau6[CLIENT],Tableau2[[#This Row],[NOM CLIENT]],Tableau6[N° BC],Tableau2[[#This Row],[ID BC UNIQUE]])</f>
        <v>0</v>
      </c>
      <c r="K270" s="90">
        <f>Tableau2[[#This Row],[MONTANT HT VALIDE]]-Tableau2[[#This Row],[MONTANT HT FACTURE]]</f>
        <v>12950000</v>
      </c>
      <c r="L270" s="34">
        <f>+IFERROR(Tableau2[[#This Row],[MONTANT HT FACTURE]]/Tableau2[[#This Row],[MONTANT HT VALIDE]],0)</f>
        <v>0</v>
      </c>
      <c r="M27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70" t="str">
        <f>+IFERROR(INDEX(Tableau6[[ENTITE]:[N° BC]],MATCH(Tableau2[[#This Row],[ID BC UNIQUE]],Tableau6[N° BC],0),7),"")</f>
        <v>011G4101</v>
      </c>
      <c r="O270" t="str">
        <f>+IFERROR(INDEX(Tableau24[],MATCH(Tableau2[[#This Row],[CODE PROJET]],Tableau24[CODE PROJET],0),2),"")</f>
        <v>ATELIER DABAKALA CHARGRES ACT LOC E</v>
      </c>
    </row>
    <row r="271" spans="3:15" x14ac:dyDescent="0.2">
      <c r="C271" s="3">
        <v>45987</v>
      </c>
      <c r="D271" s="253" t="s">
        <v>325</v>
      </c>
      <c r="E271" s="253" t="s">
        <v>60</v>
      </c>
      <c r="F271" s="58" t="s">
        <v>138</v>
      </c>
      <c r="G271">
        <v>30</v>
      </c>
      <c r="H271" s="392">
        <v>2040000</v>
      </c>
      <c r="I271" s="156">
        <v>2040000</v>
      </c>
      <c r="J271" s="90">
        <f>+SUMIFS(Tableau6[MONTANT HT],Tableau6[CLIENT],Tableau2[[#This Row],[NOM CLIENT]],Tableau6[N° BC],Tableau2[[#This Row],[ID BC UNIQUE]])-SUMIFS(Tableau6[MONTANT HT],Tableau6[CLIENT],Tableau2[[#This Row],[NOM CLIENT]],Tableau6[N° BC],Tableau2[[#This Row],[ID BC UNIQUE]])</f>
        <v>0</v>
      </c>
      <c r="K271" s="90">
        <f>Tableau2[[#This Row],[MONTANT HT VALIDE]]-Tableau2[[#This Row],[MONTANT HT FACTURE]]</f>
        <v>2040000</v>
      </c>
      <c r="L271" s="34">
        <f>+IFERROR(Tableau2[[#This Row],[MONTANT HT FACTURE]]/Tableau2[[#This Row],[MONTANT HT VALIDE]],0)</f>
        <v>0</v>
      </c>
      <c r="M27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71" t="str">
        <f>+IFERROR(INDEX(Tableau6[[ENTITE]:[N° BC]],MATCH(Tableau2[[#This Row],[ID BC UNIQUE]],Tableau6[N° BC],0),7),"")</f>
        <v>015G4101</v>
      </c>
      <c r="O271" t="str">
        <f>+IFERROR(INDEX(Tableau24[],MATCH(Tableau2[[#This Row],[CODE PROJET]],Tableau24[CODE PROJET],0),2),"")</f>
        <v>ATELIER KONG CHARGE ACT LOCAT° EXT</v>
      </c>
    </row>
    <row r="272" spans="3:15" x14ac:dyDescent="0.2">
      <c r="C272" s="3">
        <v>45988</v>
      </c>
      <c r="D272" s="253" t="s">
        <v>354</v>
      </c>
      <c r="E272" s="253" t="s">
        <v>60</v>
      </c>
      <c r="F272" s="58" t="s">
        <v>138</v>
      </c>
      <c r="G272">
        <v>30</v>
      </c>
      <c r="H272" s="392">
        <v>9160000</v>
      </c>
      <c r="I272" s="156">
        <v>9160000</v>
      </c>
      <c r="J272" s="90">
        <f>+SUMIFS(Tableau6[MONTANT HT],Tableau6[CLIENT],Tableau2[[#This Row],[NOM CLIENT]],Tableau6[N° BC],Tableau2[[#This Row],[ID BC UNIQUE]])-SUMIFS(Tableau6[MONTANT HT],Tableau6[CLIENT],Tableau2[[#This Row],[NOM CLIENT]],Tableau6[N° BC],Tableau2[[#This Row],[ID BC UNIQUE]])</f>
        <v>0</v>
      </c>
      <c r="K272" s="90">
        <f>Tableau2[[#This Row],[MONTANT HT VALIDE]]-Tableau2[[#This Row],[MONTANT HT FACTURE]]</f>
        <v>9160000</v>
      </c>
      <c r="L272" s="34">
        <f>+IFERROR(Tableau2[[#This Row],[MONTANT HT FACTURE]]/Tableau2[[#This Row],[MONTANT HT VALIDE]],0)</f>
        <v>0</v>
      </c>
      <c r="M27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72" t="str">
        <f>+IFERROR(INDEX(Tableau6[[ENTITE]:[N° BC]],MATCH(Tableau2[[#This Row],[ID BC UNIQUE]],Tableau6[N° BC],0),7),"")</f>
        <v>007G4101</v>
      </c>
      <c r="O272" t="str">
        <f>+IFERROR(INDEX(Tableau24[],MATCH(Tableau2[[#This Row],[CODE PROJET]],Tableau24[CODE PROJET],0),2),"")</f>
        <v>ATELIER DIVO CHARGE ACT LOC EXT</v>
      </c>
    </row>
    <row r="273" spans="3:15" x14ac:dyDescent="0.2">
      <c r="C273" s="3">
        <v>45989</v>
      </c>
      <c r="D273" s="253" t="s">
        <v>355</v>
      </c>
      <c r="E273" s="253" t="s">
        <v>60</v>
      </c>
      <c r="F273" s="58" t="s">
        <v>138</v>
      </c>
      <c r="G273">
        <v>30</v>
      </c>
      <c r="H273" s="392">
        <v>1346400</v>
      </c>
      <c r="I273" s="156">
        <v>1346400</v>
      </c>
      <c r="J273" s="90">
        <f>+SUMIFS(Tableau6[MONTANT HT],Tableau6[CLIENT],Tableau2[[#This Row],[NOM CLIENT]],Tableau6[N° BC],Tableau2[[#This Row],[ID BC UNIQUE]])-SUMIFS(Tableau6[MONTANT HT],Tableau6[CLIENT],Tableau2[[#This Row],[NOM CLIENT]],Tableau6[N° BC],Tableau2[[#This Row],[ID BC UNIQUE]])</f>
        <v>0</v>
      </c>
      <c r="K273" s="90">
        <f>Tableau2[[#This Row],[MONTANT HT VALIDE]]-Tableau2[[#This Row],[MONTANT HT FACTURE]]</f>
        <v>1346400</v>
      </c>
      <c r="L273" s="34">
        <f>+IFERROR(Tableau2[[#This Row],[MONTANT HT FACTURE]]/Tableau2[[#This Row],[MONTANT HT VALIDE]],0)</f>
        <v>0</v>
      </c>
      <c r="M27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73" t="str">
        <f>+IFERROR(INDEX(Tableau6[[ENTITE]:[N° BC]],MATCH(Tableau2[[#This Row],[ID BC UNIQUE]],Tableau6[N° BC],0),7),"")</f>
        <v>335R8002</v>
      </c>
      <c r="O273" t="str">
        <f>+IFERROR(INDEX(Tableau24[],MATCH(Tableau2[[#This Row],[CODE PROJET]],Tableau24[CODE PROJET],0),2),"")</f>
        <v>COT GB LOT 5 TX ENGIN LOCATION</v>
      </c>
    </row>
    <row r="274" spans="3:15" x14ac:dyDescent="0.2">
      <c r="C274" s="3">
        <v>45992</v>
      </c>
      <c r="D274" s="253" t="s">
        <v>340</v>
      </c>
      <c r="E274" s="253" t="s">
        <v>60</v>
      </c>
      <c r="F274" s="58" t="s">
        <v>102</v>
      </c>
      <c r="G274">
        <v>30</v>
      </c>
      <c r="H274" s="392">
        <v>1955000</v>
      </c>
      <c r="I274" s="156">
        <v>1955000</v>
      </c>
      <c r="J274" s="90">
        <f>+SUMIFS(Tableau6[MONTANT HT],Tableau6[CLIENT],Tableau2[[#This Row],[NOM CLIENT]],Tableau6[N° BC],Tableau2[[#This Row],[ID BC UNIQUE]])-SUMIFS(Tableau6[MONTANT HT],Tableau6[CLIENT],Tableau2[[#This Row],[NOM CLIENT]],Tableau6[N° BC],Tableau2[[#This Row],[ID BC UNIQUE]])</f>
        <v>0</v>
      </c>
      <c r="K274" s="90">
        <f>Tableau2[[#This Row],[MONTANT HT VALIDE]]-Tableau2[[#This Row],[MONTANT HT FACTURE]]</f>
        <v>1955000</v>
      </c>
      <c r="L274" s="34">
        <f>+IFERROR(Tableau2[[#This Row],[MONTANT HT FACTURE]]/Tableau2[[#This Row],[MONTANT HT VALIDE]],0)</f>
        <v>0</v>
      </c>
      <c r="M27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74" t="str">
        <f>+IFERROR(INDEX(Tableau6[[ENTITE]:[N° BC]],MATCH(Tableau2[[#This Row],[ID BC UNIQUE]],Tableau6[N° BC],0),7),"")</f>
        <v>211R3002</v>
      </c>
      <c r="O274" t="str">
        <f>+IFERROR(INDEX(Tableau24[],MATCH(Tableau2[[#This Row],[CODE PROJET]],Tableau24[CODE PROJET],0),2),"")</f>
        <v>KOUTO-NIELLE-NBEMGUE_LOCATION EXTERNE</v>
      </c>
    </row>
    <row r="275" spans="3:15" x14ac:dyDescent="0.2">
      <c r="C275" s="3">
        <v>45992</v>
      </c>
      <c r="D275" s="253" t="s">
        <v>341</v>
      </c>
      <c r="E275" s="253" t="s">
        <v>60</v>
      </c>
      <c r="F275" s="58" t="s">
        <v>102</v>
      </c>
      <c r="G275">
        <v>30</v>
      </c>
      <c r="H275" s="392">
        <v>850000</v>
      </c>
      <c r="I275" s="156">
        <v>850000</v>
      </c>
      <c r="J275" s="90">
        <f>+SUMIFS(Tableau6[MONTANT HT],Tableau6[CLIENT],Tableau2[[#This Row],[NOM CLIENT]],Tableau6[N° BC],Tableau2[[#This Row],[ID BC UNIQUE]])-SUMIFS(Tableau6[MONTANT HT],Tableau6[CLIENT],Tableau2[[#This Row],[NOM CLIENT]],Tableau6[N° BC],Tableau2[[#This Row],[ID BC UNIQUE]])</f>
        <v>0</v>
      </c>
      <c r="K275" s="90">
        <f>Tableau2[[#This Row],[MONTANT HT VALIDE]]-Tableau2[[#This Row],[MONTANT HT FACTURE]]</f>
        <v>850000</v>
      </c>
      <c r="L275" s="34">
        <f>+IFERROR(Tableau2[[#This Row],[MONTANT HT FACTURE]]/Tableau2[[#This Row],[MONTANT HT VALIDE]],0)</f>
        <v>0</v>
      </c>
      <c r="M27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75" t="str">
        <f>+IFERROR(INDEX(Tableau6[[ENTITE]:[N° BC]],MATCH(Tableau2[[#This Row],[ID BC UNIQUE]],Tableau6[N° BC],0),7),"")</f>
        <v>211R3002</v>
      </c>
      <c r="O275" t="str">
        <f>+IFERROR(INDEX(Tableau24[],MATCH(Tableau2[[#This Row],[CODE PROJET]],Tableau24[CODE PROJET],0),2),"")</f>
        <v>KOUTO-NIELLE-NBEMGUE_LOCATION EXTERNE</v>
      </c>
    </row>
    <row r="276" spans="3:15" x14ac:dyDescent="0.2">
      <c r="C276" s="3">
        <v>45994</v>
      </c>
      <c r="D276" s="253" t="s">
        <v>356</v>
      </c>
      <c r="E276" s="253" t="s">
        <v>60</v>
      </c>
      <c r="F276" s="58" t="s">
        <v>138</v>
      </c>
      <c r="G276">
        <v>30</v>
      </c>
      <c r="H276" s="392">
        <v>1500000</v>
      </c>
      <c r="I276" s="156">
        <v>1500000</v>
      </c>
      <c r="J276" s="90">
        <f>+SUMIFS(Tableau6[MONTANT HT],Tableau6[CLIENT],Tableau2[[#This Row],[NOM CLIENT]],Tableau6[N° BC],Tableau2[[#This Row],[ID BC UNIQUE]])-SUMIFS(Tableau6[MONTANT HT],Tableau6[CLIENT],Tableau2[[#This Row],[NOM CLIENT]],Tableau6[N° BC],Tableau2[[#This Row],[ID BC UNIQUE]])</f>
        <v>0</v>
      </c>
      <c r="K276" s="90">
        <f>Tableau2[[#This Row],[MONTANT HT VALIDE]]-Tableau2[[#This Row],[MONTANT HT FACTURE]]</f>
        <v>1500000</v>
      </c>
      <c r="L276" s="34">
        <f>+IFERROR(Tableau2[[#This Row],[MONTANT HT FACTURE]]/Tableau2[[#This Row],[MONTANT HT VALIDE]],0)</f>
        <v>0</v>
      </c>
      <c r="M27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76" t="str">
        <f>+IFERROR(INDEX(Tableau6[[ENTITE]:[N° BC]],MATCH(Tableau2[[#This Row],[ID BC UNIQUE]],Tableau6[N° BC],0),7),"")</f>
        <v>015G3114</v>
      </c>
      <c r="O276" t="str">
        <f>+IFERROR(INDEX(Tableau24[],MATCH(Tableau2[[#This Row],[CODE PROJET]],Tableau24[CODE PROJET],0),2),"")</f>
        <v>ATELIER KONG CHARGE ACT LOCATION</v>
      </c>
    </row>
    <row r="277" spans="3:15" x14ac:dyDescent="0.2">
      <c r="C277" s="3">
        <v>45994</v>
      </c>
      <c r="D277" s="101" t="s">
        <v>357</v>
      </c>
      <c r="E277" s="253" t="s">
        <v>60</v>
      </c>
      <c r="F277" s="58" t="s">
        <v>138</v>
      </c>
      <c r="G277">
        <v>30</v>
      </c>
      <c r="H277" s="392">
        <v>1500000</v>
      </c>
      <c r="I277" s="156">
        <v>1500000</v>
      </c>
      <c r="J277" s="90">
        <f>+SUMIFS(Tableau6[MONTANT HT],Tableau6[CLIENT],Tableau2[[#This Row],[NOM CLIENT]],Tableau6[N° BC],Tableau2[[#This Row],[ID BC UNIQUE]])-SUMIFS(Tableau6[MONTANT HT],Tableau6[CLIENT],Tableau2[[#This Row],[NOM CLIENT]],Tableau6[N° BC],Tableau2[[#This Row],[ID BC UNIQUE]])</f>
        <v>0</v>
      </c>
      <c r="K277" s="90">
        <f>Tableau2[[#This Row],[MONTANT HT VALIDE]]-Tableau2[[#This Row],[MONTANT HT FACTURE]]</f>
        <v>1500000</v>
      </c>
      <c r="L277" s="34">
        <f>+IFERROR(Tableau2[[#This Row],[MONTANT HT FACTURE]]/Tableau2[[#This Row],[MONTANT HT VALIDE]],0)</f>
        <v>0</v>
      </c>
      <c r="M27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77" t="str">
        <f>+IFERROR(INDEX(Tableau6[[ENTITE]:[N° BC]],MATCH(Tableau2[[#This Row],[ID BC UNIQUE]],Tableau6[N° BC],0),7),"")</f>
        <v>015G3114</v>
      </c>
      <c r="O277" t="str">
        <f>+IFERROR(INDEX(Tableau24[],MATCH(Tableau2[[#This Row],[CODE PROJET]],Tableau24[CODE PROJET],0),2),"")</f>
        <v>ATELIER KONG CHARGE ACT LOCATION</v>
      </c>
    </row>
    <row r="278" spans="3:15" x14ac:dyDescent="0.2">
      <c r="C278" s="3">
        <v>45996</v>
      </c>
      <c r="D278" s="253" t="s">
        <v>360</v>
      </c>
      <c r="E278" s="253" t="s">
        <v>60</v>
      </c>
      <c r="F278" s="58" t="s">
        <v>138</v>
      </c>
      <c r="G278">
        <v>30</v>
      </c>
      <c r="H278" s="392">
        <v>6285000</v>
      </c>
      <c r="I278" s="156">
        <v>6285000</v>
      </c>
      <c r="J278" s="90">
        <f>+SUMIFS(Tableau6[MONTANT HT],Tableau6[CLIENT],Tableau2[[#This Row],[NOM CLIENT]],Tableau6[N° BC],Tableau2[[#This Row],[ID BC UNIQUE]])-SUMIFS(Tableau6[MONTANT HT],Tableau6[CLIENT],Tableau2[[#This Row],[NOM CLIENT]],Tableau6[N° BC],Tableau2[[#This Row],[ID BC UNIQUE]])</f>
        <v>0</v>
      </c>
      <c r="K278" s="90">
        <f>Tableau2[[#This Row],[MONTANT HT VALIDE]]-Tableau2[[#This Row],[MONTANT HT FACTURE]]</f>
        <v>6285000</v>
      </c>
      <c r="L278" s="34">
        <f>+IFERROR(Tableau2[[#This Row],[MONTANT HT FACTURE]]/Tableau2[[#This Row],[MONTANT HT VALIDE]],0)</f>
        <v>0</v>
      </c>
      <c r="M27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78" t="str">
        <f>+IFERROR(INDEX(Tableau6[[ENTITE]:[N° BC]],MATCH(Tableau2[[#This Row],[ID BC UNIQUE]],Tableau6[N° BC],0),7),"")</f>
        <v>018G4101</v>
      </c>
      <c r="O278" t="str">
        <f>+IFERROR(INDEX(Tableau24[],MATCH(Tableau2[[#This Row],[CODE PROJET]],Tableau24[CODE PROJET],0),2),"")</f>
        <v>ATELIER KORHOGO SM LOCATION EXTERNES</v>
      </c>
    </row>
    <row r="279" spans="3:15" x14ac:dyDescent="0.2">
      <c r="C279" s="3">
        <v>45996</v>
      </c>
      <c r="D279" s="253" t="s">
        <v>362</v>
      </c>
      <c r="E279" s="253" t="s">
        <v>60</v>
      </c>
      <c r="F279" s="58" t="s">
        <v>138</v>
      </c>
      <c r="G279">
        <v>30</v>
      </c>
      <c r="H279" s="392">
        <v>23504700</v>
      </c>
      <c r="I279" s="156">
        <v>23504700</v>
      </c>
      <c r="J279" s="90">
        <f>+SUMIFS(Tableau6[MONTANT HT],Tableau6[CLIENT],Tableau2[[#This Row],[NOM CLIENT]],Tableau6[N° BC],Tableau2[[#This Row],[ID BC UNIQUE]])-SUMIFS(Tableau6[MONTANT HT],Tableau6[CLIENT],Tableau2[[#This Row],[NOM CLIENT]],Tableau6[N° BC],Tableau2[[#This Row],[ID BC UNIQUE]])</f>
        <v>0</v>
      </c>
      <c r="K279" s="90">
        <f>Tableau2[[#This Row],[MONTANT HT VALIDE]]-Tableau2[[#This Row],[MONTANT HT FACTURE]]</f>
        <v>23504700</v>
      </c>
      <c r="L279" s="34">
        <f>+IFERROR(Tableau2[[#This Row],[MONTANT HT FACTURE]]/Tableau2[[#This Row],[MONTANT HT VALIDE]],0)</f>
        <v>0</v>
      </c>
      <c r="M27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79" t="str">
        <f>+IFERROR(INDEX(Tableau6[[ENTITE]:[N° BC]],MATCH(Tableau2[[#This Row],[ID BC UNIQUE]],Tableau6[N° BC],0),7),"")</f>
        <v>018G4101</v>
      </c>
      <c r="O279" t="str">
        <f>+IFERROR(INDEX(Tableau24[],MATCH(Tableau2[[#This Row],[CODE PROJET]],Tableau24[CODE PROJET],0),2),"")</f>
        <v>ATELIER KORHOGO SM LOCATION EXTERNES</v>
      </c>
    </row>
    <row r="280" spans="3:15" x14ac:dyDescent="0.2">
      <c r="C280" s="3">
        <v>46001</v>
      </c>
      <c r="D280" s="6" t="s">
        <v>703</v>
      </c>
      <c r="E280" s="253" t="s">
        <v>60</v>
      </c>
      <c r="F280" s="58" t="s">
        <v>138</v>
      </c>
      <c r="G280">
        <v>30</v>
      </c>
      <c r="H280" s="392">
        <v>22925800</v>
      </c>
      <c r="I280" s="392">
        <v>22925800</v>
      </c>
      <c r="J280" s="90">
        <f>+SUMIFS(Tableau6[MONTANT HT],Tableau6[CLIENT],Tableau2[[#This Row],[NOM CLIENT]],Tableau6[N° BC],Tableau2[[#This Row],[ID BC UNIQUE]])-SUMIFS(Tableau6[MONTANT HT],Tableau6[CLIENT],Tableau2[[#This Row],[NOM CLIENT]],Tableau6[N° BC],Tableau2[[#This Row],[ID BC UNIQUE]])</f>
        <v>0</v>
      </c>
      <c r="K280" s="90">
        <f>Tableau2[[#This Row],[MONTANT HT VALIDE]]-Tableau2[[#This Row],[MONTANT HT FACTURE]]</f>
        <v>22925800</v>
      </c>
      <c r="L280" s="34">
        <f>+IFERROR(Tableau2[[#This Row],[MONTANT HT FACTURE]]/Tableau2[[#This Row],[MONTANT HT VALIDE]],0)</f>
        <v>0</v>
      </c>
      <c r="M28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80" t="str">
        <f>+IFERROR(INDEX(Tableau6[[ENTITE]:[N° BC]],MATCH(Tableau2[[#This Row],[ID BC UNIQUE]],Tableau6[N° BC],0),7),"")</f>
        <v>017G4101</v>
      </c>
      <c r="O280" t="str">
        <f>+IFERROR(INDEX(Tableau24[],MATCH(Tableau2[[#This Row],[CODE PROJET]],Tableau24[CODE PROJET],0),2),"")</f>
        <v>ATELIER PETIT NASS. KT SM LOCAT°</v>
      </c>
    </row>
    <row r="281" spans="3:15" x14ac:dyDescent="0.2">
      <c r="C281" s="3">
        <v>46001</v>
      </c>
      <c r="D281" s="6" t="s">
        <v>716</v>
      </c>
      <c r="E281" s="253" t="s">
        <v>60</v>
      </c>
      <c r="F281" s="58" t="s">
        <v>138</v>
      </c>
      <c r="G281">
        <v>30</v>
      </c>
      <c r="H281" s="392">
        <v>7570000</v>
      </c>
      <c r="I281" s="392">
        <v>7570000</v>
      </c>
      <c r="J281" s="90">
        <f>+SUMIFS(Tableau6[MONTANT HT],Tableau6[CLIENT],Tableau2[[#This Row],[NOM CLIENT]],Tableau6[N° BC],Tableau2[[#This Row],[ID BC UNIQUE]])-SUMIFS(Tableau6[MONTANT HT],Tableau6[CLIENT],Tableau2[[#This Row],[NOM CLIENT]],Tableau6[N° BC],Tableau2[[#This Row],[ID BC UNIQUE]])</f>
        <v>0</v>
      </c>
      <c r="K281" s="90">
        <f>Tableau2[[#This Row],[MONTANT HT VALIDE]]-Tableau2[[#This Row],[MONTANT HT FACTURE]]</f>
        <v>7570000</v>
      </c>
      <c r="L281" s="34">
        <f>+IFERROR(Tableau2[[#This Row],[MONTANT HT FACTURE]]/Tableau2[[#This Row],[MONTANT HT VALIDE]],0)</f>
        <v>0</v>
      </c>
      <c r="M28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81" t="str">
        <f>+IFERROR(INDEX(Tableau6[[ENTITE]:[N° BC]],MATCH(Tableau2[[#This Row],[ID BC UNIQUE]],Tableau6[N° BC],0),7),"")</f>
        <v>015G4101</v>
      </c>
      <c r="O281" t="str">
        <f>+IFERROR(INDEX(Tableau24[],MATCH(Tableau2[[#This Row],[CODE PROJET]],Tableau24[CODE PROJET],0),2),"")</f>
        <v>ATELIER KONG CHARGE ACT LOCAT° EXT</v>
      </c>
    </row>
    <row r="282" spans="3:15" x14ac:dyDescent="0.2">
      <c r="C282" s="3">
        <v>46006</v>
      </c>
      <c r="D282" s="253" t="s">
        <v>373</v>
      </c>
      <c r="E282" s="253" t="s">
        <v>60</v>
      </c>
      <c r="F282" s="58" t="s">
        <v>138</v>
      </c>
      <c r="G282">
        <v>30</v>
      </c>
      <c r="H282" s="392">
        <v>200000</v>
      </c>
      <c r="I282" s="156">
        <v>200000</v>
      </c>
      <c r="J282" s="90">
        <f>+SUMIFS(Tableau6[MONTANT HT],Tableau6[CLIENT],Tableau2[[#This Row],[NOM CLIENT]],Tableau6[N° BC],Tableau2[[#This Row],[ID BC UNIQUE]])-SUMIFS(Tableau6[MONTANT HT],Tableau6[CLIENT],Tableau2[[#This Row],[NOM CLIENT]],Tableau6[N° BC],Tableau2[[#This Row],[ID BC UNIQUE]])</f>
        <v>0</v>
      </c>
      <c r="K282" s="90">
        <f>Tableau2[[#This Row],[MONTANT HT VALIDE]]-Tableau2[[#This Row],[MONTANT HT FACTURE]]</f>
        <v>200000</v>
      </c>
      <c r="L282" s="34">
        <f>+IFERROR(Tableau2[[#This Row],[MONTANT HT FACTURE]]/Tableau2[[#This Row],[MONTANT HT VALIDE]],0)</f>
        <v>0</v>
      </c>
      <c r="M28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82" t="str">
        <f>+IFERROR(INDEX(Tableau6[[ENTITE]:[N° BC]],MATCH(Tableau2[[#This Row],[ID BC UNIQUE]],Tableau6[N° BC],0),7),"")</f>
        <v>009G4101</v>
      </c>
      <c r="O282" t="str">
        <f>+IFERROR(INDEX(Tableau24[],MATCH(Tableau2[[#This Row],[CODE PROJET]],Tableau24[CODE PROJET],0),2),"")</f>
        <v>ATELIER BOUAKE CHARGE ACT LOCAT° EXT</v>
      </c>
    </row>
    <row r="283" spans="3:15" x14ac:dyDescent="0.2">
      <c r="C283" s="3">
        <v>46009</v>
      </c>
      <c r="D283" s="101" t="s">
        <v>374</v>
      </c>
      <c r="E283" s="253" t="s">
        <v>60</v>
      </c>
      <c r="F283" s="58" t="s">
        <v>138</v>
      </c>
      <c r="G283">
        <v>30</v>
      </c>
      <c r="H283" s="392">
        <v>1435000</v>
      </c>
      <c r="I283" s="156">
        <v>1435000</v>
      </c>
      <c r="J283" s="90">
        <f>+SUMIFS(Tableau6[MONTANT HT],Tableau6[CLIENT],Tableau2[[#This Row],[NOM CLIENT]],Tableau6[N° BC],Tableau2[[#This Row],[ID BC UNIQUE]])-SUMIFS(Tableau6[MONTANT HT],Tableau6[CLIENT],Tableau2[[#This Row],[NOM CLIENT]],Tableau6[N° BC],Tableau2[[#This Row],[ID BC UNIQUE]])</f>
        <v>0</v>
      </c>
      <c r="K283" s="90">
        <f>Tableau2[[#This Row],[MONTANT HT VALIDE]]-Tableau2[[#This Row],[MONTANT HT FACTURE]]</f>
        <v>1435000</v>
      </c>
      <c r="L283" s="34">
        <f>+IFERROR(Tableau2[[#This Row],[MONTANT HT FACTURE]]/Tableau2[[#This Row],[MONTANT HT VALIDE]],0)</f>
        <v>0</v>
      </c>
      <c r="M28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83" t="str">
        <f>+IFERROR(INDEX(Tableau6[[ENTITE]:[N° BC]],MATCH(Tableau2[[#This Row],[ID BC UNIQUE]],Tableau6[N° BC],0),7),"")</f>
        <v>019G4101</v>
      </c>
      <c r="O283" t="str">
        <f>+IFERROR(INDEX(Tableau24[],MATCH(Tableau2[[#This Row],[CODE PROJET]],Tableau24[CODE PROJET],0),2),"")</f>
        <v>ATELIER ODIENNE CHARGE ACT LOC EXT</v>
      </c>
    </row>
    <row r="284" spans="3:15" x14ac:dyDescent="0.2">
      <c r="C284" s="3">
        <v>46010</v>
      </c>
      <c r="D284" s="101" t="s">
        <v>377</v>
      </c>
      <c r="E284" s="253" t="s">
        <v>60</v>
      </c>
      <c r="F284" s="58" t="s">
        <v>138</v>
      </c>
      <c r="G284">
        <v>30</v>
      </c>
      <c r="H284" s="392">
        <v>1300000</v>
      </c>
      <c r="I284" s="156">
        <v>1300000</v>
      </c>
      <c r="J284" s="90">
        <f>+SUMIFS(Tableau6[MONTANT HT],Tableau6[CLIENT],Tableau2[[#This Row],[NOM CLIENT]],Tableau6[N° BC],Tableau2[[#This Row],[ID BC UNIQUE]])-SUMIFS(Tableau6[MONTANT HT],Tableau6[CLIENT],Tableau2[[#This Row],[NOM CLIENT]],Tableau6[N° BC],Tableau2[[#This Row],[ID BC UNIQUE]])</f>
        <v>0</v>
      </c>
      <c r="K284" s="90">
        <f>Tableau2[[#This Row],[MONTANT HT VALIDE]]-Tableau2[[#This Row],[MONTANT HT FACTURE]]</f>
        <v>1300000</v>
      </c>
      <c r="L284" s="34">
        <f>+IFERROR(Tableau2[[#This Row],[MONTANT HT FACTURE]]/Tableau2[[#This Row],[MONTANT HT VALIDE]],0)</f>
        <v>0</v>
      </c>
      <c r="M28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84" t="str">
        <f>+IFERROR(INDEX(Tableau6[[ENTITE]:[N° BC]],MATCH(Tableau2[[#This Row],[ID BC UNIQUE]],Tableau6[N° BC],0),7),"")</f>
        <v>019G4101</v>
      </c>
      <c r="O284" t="str">
        <f>+IFERROR(INDEX(Tableau24[],MATCH(Tableau2[[#This Row],[CODE PROJET]],Tableau24[CODE PROJET],0),2),"")</f>
        <v>ATELIER ODIENNE CHARGE ACT LOC EXT</v>
      </c>
    </row>
    <row r="285" spans="3:15" x14ac:dyDescent="0.2">
      <c r="C285" s="3">
        <v>46010</v>
      </c>
      <c r="D285" s="101" t="s">
        <v>378</v>
      </c>
      <c r="E285" s="253" t="s">
        <v>60</v>
      </c>
      <c r="F285" s="58" t="s">
        <v>138</v>
      </c>
      <c r="G285">
        <v>30</v>
      </c>
      <c r="H285" s="392">
        <v>105000</v>
      </c>
      <c r="I285" s="156">
        <v>105000</v>
      </c>
      <c r="J285" s="90">
        <f>+SUMIFS(Tableau6[MONTANT HT],Tableau6[CLIENT],Tableau2[[#This Row],[NOM CLIENT]],Tableau6[N° BC],Tableau2[[#This Row],[ID BC UNIQUE]])-SUMIFS(Tableau6[MONTANT HT],Tableau6[CLIENT],Tableau2[[#This Row],[NOM CLIENT]],Tableau6[N° BC],Tableau2[[#This Row],[ID BC UNIQUE]])</f>
        <v>0</v>
      </c>
      <c r="K285" s="90">
        <f>Tableau2[[#This Row],[MONTANT HT VALIDE]]-Tableau2[[#This Row],[MONTANT HT FACTURE]]</f>
        <v>105000</v>
      </c>
      <c r="L285" s="34">
        <f>+IFERROR(Tableau2[[#This Row],[MONTANT HT FACTURE]]/Tableau2[[#This Row],[MONTANT HT VALIDE]],0)</f>
        <v>0</v>
      </c>
      <c r="M28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85" t="str">
        <f>+IFERROR(INDEX(Tableau6[[ENTITE]:[N° BC]],MATCH(Tableau2[[#This Row],[ID BC UNIQUE]],Tableau6[N° BC],0),7),"")</f>
        <v>019G4101</v>
      </c>
      <c r="O285" t="str">
        <f>+IFERROR(INDEX(Tableau24[],MATCH(Tableau2[[#This Row],[CODE PROJET]],Tableau24[CODE PROJET],0),2),"")</f>
        <v>ATELIER ODIENNE CHARGE ACT LOC EXT</v>
      </c>
    </row>
    <row r="286" spans="3:15" x14ac:dyDescent="0.2">
      <c r="C286" s="3">
        <v>46013</v>
      </c>
      <c r="D286" s="101" t="s">
        <v>379</v>
      </c>
      <c r="E286" s="253" t="s">
        <v>60</v>
      </c>
      <c r="F286" s="58" t="s">
        <v>138</v>
      </c>
      <c r="G286">
        <v>30</v>
      </c>
      <c r="H286" s="392">
        <v>3010000</v>
      </c>
      <c r="I286" s="156">
        <v>3010000</v>
      </c>
      <c r="J286" s="90">
        <f>+SUMIFS(Tableau6[MONTANT HT],Tableau6[CLIENT],Tableau2[[#This Row],[NOM CLIENT]],Tableau6[N° BC],Tableau2[[#This Row],[ID BC UNIQUE]])-SUMIFS(Tableau6[MONTANT HT],Tableau6[CLIENT],Tableau2[[#This Row],[NOM CLIENT]],Tableau6[N° BC],Tableau2[[#This Row],[ID BC UNIQUE]])</f>
        <v>0</v>
      </c>
      <c r="K286" s="90">
        <f>Tableau2[[#This Row],[MONTANT HT VALIDE]]-Tableau2[[#This Row],[MONTANT HT FACTURE]]</f>
        <v>3010000</v>
      </c>
      <c r="L286" s="34">
        <f>+IFERROR(Tableau2[[#This Row],[MONTANT HT FACTURE]]/Tableau2[[#This Row],[MONTANT HT VALIDE]],0)</f>
        <v>0</v>
      </c>
      <c r="M28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86" t="str">
        <f>+IFERROR(INDEX(Tableau6[[ENTITE]:[N° BC]],MATCH(Tableau2[[#This Row],[ID BC UNIQUE]],Tableau6[N° BC],0),7),"")</f>
        <v>016G4101</v>
      </c>
      <c r="O286" t="str">
        <f>+IFERROR(INDEX(Tableau24[],MATCH(Tableau2[[#This Row],[CODE PROJET]],Tableau24[CODE PROJET],0),2),"")</f>
        <v>ATELIER BINGERVILLE SM LOCATION EXTERNES</v>
      </c>
    </row>
    <row r="287" spans="3:15" x14ac:dyDescent="0.2">
      <c r="C287" s="3">
        <v>46017</v>
      </c>
      <c r="D287" s="101" t="s">
        <v>380</v>
      </c>
      <c r="E287" s="253" t="s">
        <v>60</v>
      </c>
      <c r="F287" s="58" t="s">
        <v>138</v>
      </c>
      <c r="G287">
        <v>30</v>
      </c>
      <c r="H287" s="392">
        <v>900000</v>
      </c>
      <c r="I287" s="156">
        <v>900000</v>
      </c>
      <c r="J287" s="90">
        <f>+SUMIFS(Tableau6[MONTANT HT],Tableau6[CLIENT],Tableau2[[#This Row],[NOM CLIENT]],Tableau6[N° BC],Tableau2[[#This Row],[ID BC UNIQUE]])-SUMIFS(Tableau6[MONTANT HT],Tableau6[CLIENT],Tableau2[[#This Row],[NOM CLIENT]],Tableau6[N° BC],Tableau2[[#This Row],[ID BC UNIQUE]])</f>
        <v>0</v>
      </c>
      <c r="K287" s="90">
        <f>Tableau2[[#This Row],[MONTANT HT VALIDE]]-Tableau2[[#This Row],[MONTANT HT FACTURE]]</f>
        <v>900000</v>
      </c>
      <c r="L287" s="34">
        <f>+IFERROR(Tableau2[[#This Row],[MONTANT HT FACTURE]]/Tableau2[[#This Row],[MONTANT HT VALIDE]],0)</f>
        <v>0</v>
      </c>
      <c r="M28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87" t="str">
        <f>+IFERROR(INDEX(Tableau6[[ENTITE]:[N° BC]],MATCH(Tableau2[[#This Row],[ID BC UNIQUE]],Tableau6[N° BC],0),7),"")</f>
        <v>006G4101</v>
      </c>
      <c r="O287" t="str">
        <f>+IFERROR(INDEX(Tableau24[],MATCH(Tableau2[[#This Row],[CODE PROJET]],Tableau24[CODE PROJET],0),2),"")</f>
        <v>ATELIER SONGON CHARGES ACT LOCAT°</v>
      </c>
    </row>
    <row r="288" spans="3:15" x14ac:dyDescent="0.2">
      <c r="C288" s="3">
        <v>46020</v>
      </c>
      <c r="D288" s="101" t="s">
        <v>396</v>
      </c>
      <c r="E288" s="253" t="s">
        <v>60</v>
      </c>
      <c r="F288" s="58" t="s">
        <v>138</v>
      </c>
      <c r="G288">
        <v>30</v>
      </c>
      <c r="H288" s="392">
        <v>1300000</v>
      </c>
      <c r="I288" s="156">
        <v>1300000</v>
      </c>
      <c r="J288" s="90">
        <f>+SUMIFS(Tableau6[MONTANT HT],Tableau6[CLIENT],Tableau2[[#This Row],[NOM CLIENT]],Tableau6[N° BC],Tableau2[[#This Row],[ID BC UNIQUE]])-SUMIFS(Tableau6[MONTANT HT],Tableau6[CLIENT],Tableau2[[#This Row],[NOM CLIENT]],Tableau6[N° BC],Tableau2[[#This Row],[ID BC UNIQUE]])</f>
        <v>0</v>
      </c>
      <c r="K288" s="90">
        <f>Tableau2[[#This Row],[MONTANT HT VALIDE]]-Tableau2[[#This Row],[MONTANT HT FACTURE]]</f>
        <v>1300000</v>
      </c>
      <c r="L288" s="34">
        <f>+IFERROR(Tableau2[[#This Row],[MONTANT HT FACTURE]]/Tableau2[[#This Row],[MONTANT HT VALIDE]],0)</f>
        <v>0</v>
      </c>
      <c r="M28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88" t="str">
        <f>+IFERROR(INDEX(Tableau6[[ENTITE]:[N° BC]],MATCH(Tableau2[[#This Row],[ID BC UNIQUE]],Tableau6[N° BC],0),7),"")</f>
        <v>019G4101</v>
      </c>
      <c r="O288" t="str">
        <f>+IFERROR(INDEX(Tableau24[],MATCH(Tableau2[[#This Row],[CODE PROJET]],Tableau24[CODE PROJET],0),2),"")</f>
        <v>ATELIER ODIENNE CHARGE ACT LOC EXT</v>
      </c>
    </row>
    <row r="289" spans="3:15" x14ac:dyDescent="0.2">
      <c r="C289" s="3">
        <v>46021</v>
      </c>
      <c r="D289" s="6" t="s">
        <v>397</v>
      </c>
      <c r="E289" s="253" t="s">
        <v>60</v>
      </c>
      <c r="F289" s="58" t="s">
        <v>138</v>
      </c>
      <c r="G289">
        <v>30</v>
      </c>
      <c r="H289" s="392">
        <v>8700016</v>
      </c>
      <c r="I289" s="156">
        <v>8700016</v>
      </c>
      <c r="J289" s="90">
        <f>+SUMIFS(Tableau6[MONTANT HT],Tableau6[CLIENT],Tableau2[[#This Row],[NOM CLIENT]],Tableau6[N° BC],Tableau2[[#This Row],[ID BC UNIQUE]])-SUMIFS(Tableau6[MONTANT HT],Tableau6[CLIENT],Tableau2[[#This Row],[NOM CLIENT]],Tableau6[N° BC],Tableau2[[#This Row],[ID BC UNIQUE]])</f>
        <v>0</v>
      </c>
      <c r="K289" s="90">
        <f>Tableau2[[#This Row],[MONTANT HT VALIDE]]-Tableau2[[#This Row],[MONTANT HT FACTURE]]</f>
        <v>8700016</v>
      </c>
      <c r="L289" s="34">
        <f>+IFERROR(Tableau2[[#This Row],[MONTANT HT FACTURE]]/Tableau2[[#This Row],[MONTANT HT VALIDE]],0)</f>
        <v>0</v>
      </c>
      <c r="M28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89" t="str">
        <f>+IFERROR(INDEX(Tableau6[[ENTITE]:[N° BC]],MATCH(Tableau2[[#This Row],[ID BC UNIQUE]],Tableau6[N° BC],0),7),"")</f>
        <v>015G4101</v>
      </c>
      <c r="O289" t="str">
        <f>+IFERROR(INDEX(Tableau24[],MATCH(Tableau2[[#This Row],[CODE PROJET]],Tableau24[CODE PROJET],0),2),"")</f>
        <v>ATELIER KONG CHARGE ACT LOCAT° EXT</v>
      </c>
    </row>
    <row r="290" spans="3:15" x14ac:dyDescent="0.2">
      <c r="C290" s="3">
        <v>46027</v>
      </c>
      <c r="D290" s="6" t="s">
        <v>400</v>
      </c>
      <c r="E290" s="253" t="s">
        <v>60</v>
      </c>
      <c r="F290" s="58" t="s">
        <v>138</v>
      </c>
      <c r="G290">
        <v>30</v>
      </c>
      <c r="H290" s="392">
        <v>1400000</v>
      </c>
      <c r="I290" s="156">
        <v>1400000</v>
      </c>
      <c r="J290" s="90">
        <f>+SUMIFS(Tableau6[MONTANT HT],Tableau6[CLIENT],Tableau2[[#This Row],[NOM CLIENT]],Tableau6[N° BC],Tableau2[[#This Row],[ID BC UNIQUE]])-SUMIFS(Tableau6[MONTANT HT],Tableau6[CLIENT],Tableau2[[#This Row],[NOM CLIENT]],Tableau6[N° BC],Tableau2[[#This Row],[ID BC UNIQUE]])</f>
        <v>0</v>
      </c>
      <c r="K290" s="90">
        <f>Tableau2[[#This Row],[MONTANT HT VALIDE]]-Tableau2[[#This Row],[MONTANT HT FACTURE]]</f>
        <v>1400000</v>
      </c>
      <c r="L290" s="34">
        <f>+IFERROR(Tableau2[[#This Row],[MONTANT HT FACTURE]]/Tableau2[[#This Row],[MONTANT HT VALIDE]],0)</f>
        <v>0</v>
      </c>
      <c r="M29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90" t="str">
        <f>+IFERROR(INDEX(Tableau6[[ENTITE]:[N° BC]],MATCH(Tableau2[[#This Row],[ID BC UNIQUE]],Tableau6[N° BC],0),7),"")</f>
        <v>017G4101</v>
      </c>
      <c r="O290" t="str">
        <f>+IFERROR(INDEX(Tableau24[],MATCH(Tableau2[[#This Row],[CODE PROJET]],Tableau24[CODE PROJET],0),2),"")</f>
        <v>ATELIER PETIT NASS. KT SM LOCAT°</v>
      </c>
    </row>
    <row r="291" spans="3:15" x14ac:dyDescent="0.2">
      <c r="C291" s="3">
        <v>46027</v>
      </c>
      <c r="D291" s="6" t="s">
        <v>401</v>
      </c>
      <c r="E291" s="253" t="s">
        <v>60</v>
      </c>
      <c r="F291" s="58" t="s">
        <v>138</v>
      </c>
      <c r="G291">
        <v>30</v>
      </c>
      <c r="H291" s="392">
        <v>1500000</v>
      </c>
      <c r="I291" s="156">
        <v>1500000</v>
      </c>
      <c r="J291" s="90">
        <f>+SUMIFS(Tableau6[MONTANT HT],Tableau6[CLIENT],Tableau2[[#This Row],[NOM CLIENT]],Tableau6[N° BC],Tableau2[[#This Row],[ID BC UNIQUE]])-SUMIFS(Tableau6[MONTANT HT],Tableau6[CLIENT],Tableau2[[#This Row],[NOM CLIENT]],Tableau6[N° BC],Tableau2[[#This Row],[ID BC UNIQUE]])</f>
        <v>0</v>
      </c>
      <c r="K291" s="90">
        <f>Tableau2[[#This Row],[MONTANT HT VALIDE]]-Tableau2[[#This Row],[MONTANT HT FACTURE]]</f>
        <v>1500000</v>
      </c>
      <c r="L291" s="34">
        <f>+IFERROR(Tableau2[[#This Row],[MONTANT HT FACTURE]]/Tableau2[[#This Row],[MONTANT HT VALIDE]],0)</f>
        <v>0</v>
      </c>
      <c r="M29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91" t="str">
        <f>+IFERROR(INDEX(Tableau6[[ENTITE]:[N° BC]],MATCH(Tableau2[[#This Row],[ID BC UNIQUE]],Tableau6[N° BC],0),7),"")</f>
        <v>015G4101</v>
      </c>
      <c r="O291" t="str">
        <f>+IFERROR(INDEX(Tableau24[],MATCH(Tableau2[[#This Row],[CODE PROJET]],Tableau24[CODE PROJET],0),2),"")</f>
        <v>ATELIER KONG CHARGE ACT LOCAT° EXT</v>
      </c>
    </row>
    <row r="292" spans="3:15" x14ac:dyDescent="0.2">
      <c r="C292" s="3">
        <v>46027</v>
      </c>
      <c r="D292" s="6" t="s">
        <v>406</v>
      </c>
      <c r="E292" s="253" t="s">
        <v>60</v>
      </c>
      <c r="F292" s="58" t="s">
        <v>138</v>
      </c>
      <c r="G292">
        <v>30</v>
      </c>
      <c r="H292" s="392">
        <v>10600000</v>
      </c>
      <c r="I292" s="156">
        <v>10600000</v>
      </c>
      <c r="J292" s="90">
        <f>+SUMIFS(Tableau6[MONTANT HT],Tableau6[CLIENT],Tableau2[[#This Row],[NOM CLIENT]],Tableau6[N° BC],Tableau2[[#This Row],[ID BC UNIQUE]])-SUMIFS(Tableau6[MONTANT HT],Tableau6[CLIENT],Tableau2[[#This Row],[NOM CLIENT]],Tableau6[N° BC],Tableau2[[#This Row],[ID BC UNIQUE]])</f>
        <v>0</v>
      </c>
      <c r="K292" s="90">
        <f>Tableau2[[#This Row],[MONTANT HT VALIDE]]-Tableau2[[#This Row],[MONTANT HT FACTURE]]</f>
        <v>10600000</v>
      </c>
      <c r="L292" s="34">
        <f>+IFERROR(Tableau2[[#This Row],[MONTANT HT FACTURE]]/Tableau2[[#This Row],[MONTANT HT VALIDE]],0)</f>
        <v>0</v>
      </c>
      <c r="M29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92" t="str">
        <f>+IFERROR(INDEX(Tableau6[[ENTITE]:[N° BC]],MATCH(Tableau2[[#This Row],[ID BC UNIQUE]],Tableau6[N° BC],0),7),"")</f>
        <v>011G4101</v>
      </c>
      <c r="O292" t="str">
        <f>+IFERROR(INDEX(Tableau24[],MATCH(Tableau2[[#This Row],[CODE PROJET]],Tableau24[CODE PROJET],0),2),"")</f>
        <v>ATELIER DABAKALA CHARGRES ACT LOC E</v>
      </c>
    </row>
    <row r="293" spans="3:15" x14ac:dyDescent="0.2">
      <c r="C293" s="3">
        <v>46027</v>
      </c>
      <c r="D293" s="6" t="s">
        <v>438</v>
      </c>
      <c r="E293" s="253" t="s">
        <v>60</v>
      </c>
      <c r="F293" s="58" t="s">
        <v>138</v>
      </c>
      <c r="G293">
        <v>30</v>
      </c>
      <c r="H293" s="392">
        <v>175000</v>
      </c>
      <c r="I293" s="392">
        <v>175000</v>
      </c>
      <c r="J293" s="90">
        <f>+SUMIFS(Tableau6[MONTANT HT],Tableau6[CLIENT],Tableau2[[#This Row],[NOM CLIENT]],Tableau6[N° BC],Tableau2[[#This Row],[ID BC UNIQUE]])-SUMIFS(Tableau6[MONTANT HT],Tableau6[CLIENT],Tableau2[[#This Row],[NOM CLIENT]],Tableau6[N° BC],Tableau2[[#This Row],[ID BC UNIQUE]])</f>
        <v>0</v>
      </c>
      <c r="K293" s="90">
        <f>Tableau2[[#This Row],[MONTANT HT VALIDE]]-Tableau2[[#This Row],[MONTANT HT FACTURE]]</f>
        <v>175000</v>
      </c>
      <c r="L293" s="34">
        <f>+IFERROR(Tableau2[[#This Row],[MONTANT HT FACTURE]]/Tableau2[[#This Row],[MONTANT HT VALIDE]],0)</f>
        <v>0</v>
      </c>
      <c r="M29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93" t="str">
        <f>+IFERROR(INDEX(Tableau6[[ENTITE]:[N° BC]],MATCH(Tableau2[[#This Row],[ID BC UNIQUE]],Tableau6[N° BC],0),7),"")</f>
        <v>252B0209</v>
      </c>
      <c r="O293" t="str">
        <f>+IFERROR(INDEX(Tableau24[],MATCH(Tableau2[[#This Row],[CODE PROJET]],Tableau24[CODE PROJET],0),2),"")</f>
        <v>REHAB. TOUR C GROS ŒUVRE M. OE</v>
      </c>
    </row>
    <row r="294" spans="3:15" x14ac:dyDescent="0.2">
      <c r="C294" s="3">
        <v>46029</v>
      </c>
      <c r="D294" s="101" t="s">
        <v>402</v>
      </c>
      <c r="E294" s="253" t="s">
        <v>60</v>
      </c>
      <c r="F294" s="58" t="s">
        <v>138</v>
      </c>
      <c r="G294">
        <v>30</v>
      </c>
      <c r="H294" s="392">
        <v>7500016</v>
      </c>
      <c r="I294" s="156">
        <v>7500016</v>
      </c>
      <c r="J294" s="90">
        <f>+SUMIFS(Tableau6[MONTANT HT],Tableau6[CLIENT],Tableau2[[#This Row],[NOM CLIENT]],Tableau6[N° BC],Tableau2[[#This Row],[ID BC UNIQUE]])-SUMIFS(Tableau6[MONTANT HT],Tableau6[CLIENT],Tableau2[[#This Row],[NOM CLIENT]],Tableau6[N° BC],Tableau2[[#This Row],[ID BC UNIQUE]])</f>
        <v>0</v>
      </c>
      <c r="K294" s="90">
        <f>Tableau2[[#This Row],[MONTANT HT VALIDE]]-Tableau2[[#This Row],[MONTANT HT FACTURE]]</f>
        <v>7500016</v>
      </c>
      <c r="L294" s="34">
        <f>+IFERROR(Tableau2[[#This Row],[MONTANT HT FACTURE]]/Tableau2[[#This Row],[MONTANT HT VALIDE]],0)</f>
        <v>0</v>
      </c>
      <c r="M29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94" t="str">
        <f>+IFERROR(INDEX(Tableau6[[ENTITE]:[N° BC]],MATCH(Tableau2[[#This Row],[ID BC UNIQUE]],Tableau6[N° BC],0),7),"")</f>
        <v>015G4101</v>
      </c>
      <c r="O294" t="str">
        <f>+IFERROR(INDEX(Tableau24[],MATCH(Tableau2[[#This Row],[CODE PROJET]],Tableau24[CODE PROJET],0),2),"")</f>
        <v>ATELIER KONG CHARGE ACT LOCAT° EXT</v>
      </c>
    </row>
    <row r="295" spans="3:15" x14ac:dyDescent="0.2">
      <c r="C295" s="3">
        <v>46029</v>
      </c>
      <c r="D295" s="101" t="s">
        <v>403</v>
      </c>
      <c r="E295" s="253" t="s">
        <v>60</v>
      </c>
      <c r="F295" s="58" t="s">
        <v>138</v>
      </c>
      <c r="G295">
        <v>30</v>
      </c>
      <c r="H295" s="392">
        <v>20660000</v>
      </c>
      <c r="I295" s="156">
        <v>20660000</v>
      </c>
      <c r="J295" s="90">
        <f>+SUMIFS(Tableau6[MONTANT HT],Tableau6[CLIENT],Tableau2[[#This Row],[NOM CLIENT]],Tableau6[N° BC],Tableau2[[#This Row],[ID BC UNIQUE]])-SUMIFS(Tableau6[MONTANT HT],Tableau6[CLIENT],Tableau2[[#This Row],[NOM CLIENT]],Tableau6[N° BC],Tableau2[[#This Row],[ID BC UNIQUE]])</f>
        <v>0</v>
      </c>
      <c r="K295" s="90">
        <f>Tableau2[[#This Row],[MONTANT HT VALIDE]]-Tableau2[[#This Row],[MONTANT HT FACTURE]]</f>
        <v>20660000</v>
      </c>
      <c r="L295" s="34">
        <f>+IFERROR(Tableau2[[#This Row],[MONTANT HT FACTURE]]/Tableau2[[#This Row],[MONTANT HT VALIDE]],0)</f>
        <v>0</v>
      </c>
      <c r="M29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95" t="str">
        <f>+IFERROR(INDEX(Tableau6[[ENTITE]:[N° BC]],MATCH(Tableau2[[#This Row],[ID BC UNIQUE]],Tableau6[N° BC],0),7),"")</f>
        <v>015G4101</v>
      </c>
      <c r="O295" t="str">
        <f>+IFERROR(INDEX(Tableau24[],MATCH(Tableau2[[#This Row],[CODE PROJET]],Tableau24[CODE PROJET],0),2),"")</f>
        <v>ATELIER KONG CHARGE ACT LOCAT° EXT</v>
      </c>
    </row>
    <row r="296" spans="3:15" x14ac:dyDescent="0.2">
      <c r="C296" s="3">
        <v>46029</v>
      </c>
      <c r="D296" s="101" t="s">
        <v>398</v>
      </c>
      <c r="E296" s="253" t="s">
        <v>60</v>
      </c>
      <c r="F296" s="58" t="s">
        <v>138</v>
      </c>
      <c r="G296">
        <v>30</v>
      </c>
      <c r="H296" s="392">
        <v>24100000</v>
      </c>
      <c r="I296" s="156">
        <v>24100000</v>
      </c>
      <c r="J296" s="90">
        <f>+SUMIFS(Tableau6[MONTANT HT],Tableau6[CLIENT],Tableau2[[#This Row],[NOM CLIENT]],Tableau6[N° BC],Tableau2[[#This Row],[ID BC UNIQUE]])-SUMIFS(Tableau6[MONTANT HT],Tableau6[CLIENT],Tableau2[[#This Row],[NOM CLIENT]],Tableau6[N° BC],Tableau2[[#This Row],[ID BC UNIQUE]])</f>
        <v>0</v>
      </c>
      <c r="K296" s="90">
        <f>Tableau2[[#This Row],[MONTANT HT VALIDE]]-Tableau2[[#This Row],[MONTANT HT FACTURE]]</f>
        <v>24100000</v>
      </c>
      <c r="L296" s="34">
        <f>+IFERROR(Tableau2[[#This Row],[MONTANT HT FACTURE]]/Tableau2[[#This Row],[MONTANT HT VALIDE]],0)</f>
        <v>0</v>
      </c>
      <c r="M29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96" t="str">
        <f>+IFERROR(INDEX(Tableau6[[ENTITE]:[N° BC]],MATCH(Tableau2[[#This Row],[ID BC UNIQUE]],Tableau6[N° BC],0),7),"")</f>
        <v>017G4101</v>
      </c>
      <c r="O296" t="str">
        <f>+IFERROR(INDEX(Tableau24[],MATCH(Tableau2[[#This Row],[CODE PROJET]],Tableau24[CODE PROJET],0),2),"")</f>
        <v>ATELIER PETIT NASS. KT SM LOCAT°</v>
      </c>
    </row>
    <row r="297" spans="3:15" x14ac:dyDescent="0.2">
      <c r="C297" s="3">
        <v>46030</v>
      </c>
      <c r="D297" s="6" t="s">
        <v>404</v>
      </c>
      <c r="E297" s="253" t="s">
        <v>60</v>
      </c>
      <c r="F297" s="58" t="s">
        <v>138</v>
      </c>
      <c r="G297">
        <v>30</v>
      </c>
      <c r="H297" s="392">
        <v>6120000</v>
      </c>
      <c r="I297" s="156">
        <v>6120000</v>
      </c>
      <c r="J297" s="90">
        <f>+SUMIFS(Tableau6[MONTANT HT],Tableau6[CLIENT],Tableau2[[#This Row],[NOM CLIENT]],Tableau6[N° BC],Tableau2[[#This Row],[ID BC UNIQUE]])-SUMIFS(Tableau6[MONTANT HT],Tableau6[CLIENT],Tableau2[[#This Row],[NOM CLIENT]],Tableau6[N° BC],Tableau2[[#This Row],[ID BC UNIQUE]])</f>
        <v>0</v>
      </c>
      <c r="K297" s="90">
        <f>Tableau2[[#This Row],[MONTANT HT VALIDE]]-Tableau2[[#This Row],[MONTANT HT FACTURE]]</f>
        <v>6120000</v>
      </c>
      <c r="L297" s="34">
        <f>+IFERROR(Tableau2[[#This Row],[MONTANT HT FACTURE]]/Tableau2[[#This Row],[MONTANT HT VALIDE]],0)</f>
        <v>0</v>
      </c>
      <c r="M29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97" t="str">
        <f>+IFERROR(INDEX(Tableau6[[ENTITE]:[N° BC]],MATCH(Tableau2[[#This Row],[ID BC UNIQUE]],Tableau6[N° BC],0),7),"")</f>
        <v>018G4101</v>
      </c>
      <c r="O297" t="str">
        <f>+IFERROR(INDEX(Tableau24[],MATCH(Tableau2[[#This Row],[CODE PROJET]],Tableau24[CODE PROJET],0),2),"")</f>
        <v>ATELIER KORHOGO SM LOCATION EXTERNES</v>
      </c>
    </row>
    <row r="298" spans="3:15" x14ac:dyDescent="0.2">
      <c r="C298" s="3">
        <v>46030</v>
      </c>
      <c r="D298" s="6" t="s">
        <v>405</v>
      </c>
      <c r="E298" s="253" t="s">
        <v>60</v>
      </c>
      <c r="F298" s="58" t="s">
        <v>138</v>
      </c>
      <c r="G298">
        <v>30</v>
      </c>
      <c r="H298" s="392">
        <v>20495652</v>
      </c>
      <c r="I298" s="156">
        <v>20495652</v>
      </c>
      <c r="J298" s="90">
        <f>+SUMIFS(Tableau6[MONTANT HT],Tableau6[CLIENT],Tableau2[[#This Row],[NOM CLIENT]],Tableau6[N° BC],Tableau2[[#This Row],[ID BC UNIQUE]])-SUMIFS(Tableau6[MONTANT HT],Tableau6[CLIENT],Tableau2[[#This Row],[NOM CLIENT]],Tableau6[N° BC],Tableau2[[#This Row],[ID BC UNIQUE]])</f>
        <v>0</v>
      </c>
      <c r="K298" s="90">
        <f>Tableau2[[#This Row],[MONTANT HT VALIDE]]-Tableau2[[#This Row],[MONTANT HT FACTURE]]</f>
        <v>20495652</v>
      </c>
      <c r="L298" s="34">
        <f>+IFERROR(Tableau2[[#This Row],[MONTANT HT FACTURE]]/Tableau2[[#This Row],[MONTANT HT VALIDE]],0)</f>
        <v>0</v>
      </c>
      <c r="M29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98" t="str">
        <f>+IFERROR(INDEX(Tableau6[[ENTITE]:[N° BC]],MATCH(Tableau2[[#This Row],[ID BC UNIQUE]],Tableau6[N° BC],0),7),"")</f>
        <v>019G4101</v>
      </c>
      <c r="O298" t="str">
        <f>+IFERROR(INDEX(Tableau24[],MATCH(Tableau2[[#This Row],[CODE PROJET]],Tableau24[CODE PROJET],0),2),"")</f>
        <v>ATELIER ODIENNE CHARGE ACT LOC EXT</v>
      </c>
    </row>
    <row r="299" spans="3:15" x14ac:dyDescent="0.2">
      <c r="C299" s="3">
        <v>46030</v>
      </c>
      <c r="D299" s="6" t="s">
        <v>701</v>
      </c>
      <c r="E299" s="253" t="s">
        <v>60</v>
      </c>
      <c r="F299" s="58" t="s">
        <v>138</v>
      </c>
      <c r="G299">
        <v>30</v>
      </c>
      <c r="H299" s="392">
        <v>506000</v>
      </c>
      <c r="I299" s="392">
        <v>506000</v>
      </c>
      <c r="J299" s="90">
        <f>+SUMIFS(Tableau6[MONTANT HT],Tableau6[CLIENT],Tableau2[[#This Row],[NOM CLIENT]],Tableau6[N° BC],Tableau2[[#This Row],[ID BC UNIQUE]])-SUMIFS(Tableau6[MONTANT HT],Tableau6[CLIENT],Tableau2[[#This Row],[NOM CLIENT]],Tableau6[N° BC],Tableau2[[#This Row],[ID BC UNIQUE]])</f>
        <v>0</v>
      </c>
      <c r="K299" s="90">
        <f>Tableau2[[#This Row],[MONTANT HT VALIDE]]-Tableau2[[#This Row],[MONTANT HT FACTURE]]</f>
        <v>506000</v>
      </c>
      <c r="L299" s="34">
        <f>+IFERROR(Tableau2[[#This Row],[MONTANT HT FACTURE]]/Tableau2[[#This Row],[MONTANT HT VALIDE]],0)</f>
        <v>0</v>
      </c>
      <c r="M29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299" t="str">
        <f>+IFERROR(INDEX(Tableau6[[ENTITE]:[N° BC]],MATCH(Tableau2[[#This Row],[ID BC UNIQUE]],Tableau6[N° BC],0),7),"")</f>
        <v>016G4101</v>
      </c>
      <c r="O299" t="str">
        <f>+IFERROR(INDEX(Tableau24[],MATCH(Tableau2[[#This Row],[CODE PROJET]],Tableau24[CODE PROJET],0),2),"")</f>
        <v>ATELIER BINGERVILLE SM LOCATION EXTERNES</v>
      </c>
    </row>
    <row r="300" spans="3:15" x14ac:dyDescent="0.2">
      <c r="C300" s="3">
        <v>46035</v>
      </c>
      <c r="D300" s="6" t="s">
        <v>434</v>
      </c>
      <c r="E300" s="253" t="s">
        <v>61</v>
      </c>
      <c r="F300" s="58" t="s">
        <v>435</v>
      </c>
      <c r="G300">
        <v>0</v>
      </c>
      <c r="H300" s="392">
        <v>1645000</v>
      </c>
      <c r="I300" s="392">
        <v>1645000</v>
      </c>
      <c r="J300" s="90">
        <f>+SUMIFS(Tableau6[MONTANT HT],Tableau6[CLIENT],Tableau2[[#This Row],[NOM CLIENT]],Tableau6[N° BC],Tableau2[[#This Row],[ID BC UNIQUE]])-SUMIFS(Tableau6[MONTANT HT],Tableau6[CLIENT],Tableau2[[#This Row],[NOM CLIENT]],Tableau6[N° BC],Tableau2[[#This Row],[ID BC UNIQUE]])</f>
        <v>0</v>
      </c>
      <c r="K300" s="90">
        <f>Tableau2[[#This Row],[MONTANT HT VALIDE]]-Tableau2[[#This Row],[MONTANT HT FACTURE]]</f>
        <v>1645000</v>
      </c>
      <c r="L300" s="34">
        <f>+IFERROR(Tableau2[[#This Row],[MONTANT HT FACTURE]]/Tableau2[[#This Row],[MONTANT HT VALIDE]],0)</f>
        <v>0</v>
      </c>
      <c r="M30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00">
        <f>+IFERROR(INDEX(Tableau6[[ENTITE]:[N° BC]],MATCH(Tableau2[[#This Row],[ID BC UNIQUE]],Tableau6[N° BC],0),7),"")</f>
        <v>0</v>
      </c>
      <c r="O300" t="str">
        <f>+IFERROR(INDEX(Tableau24[],MATCH(Tableau2[[#This Row],[CODE PROJET]],Tableau24[CODE PROJET],0),2),"")</f>
        <v/>
      </c>
    </row>
    <row r="301" spans="3:15" x14ac:dyDescent="0.2">
      <c r="C301" s="3">
        <v>46038</v>
      </c>
      <c r="D301" s="6" t="s">
        <v>704</v>
      </c>
      <c r="E301" s="253" t="s">
        <v>60</v>
      </c>
      <c r="F301" s="58" t="s">
        <v>138</v>
      </c>
      <c r="G301">
        <v>30</v>
      </c>
      <c r="H301" s="392">
        <v>800000</v>
      </c>
      <c r="I301" s="392">
        <v>800000</v>
      </c>
      <c r="J301" s="90">
        <f>+SUMIFS(Tableau6[MONTANT HT],Tableau6[CLIENT],Tableau2[[#This Row],[NOM CLIENT]],Tableau6[N° BC],Tableau2[[#This Row],[ID BC UNIQUE]])-SUMIFS(Tableau6[MONTANT HT],Tableau6[CLIENT],Tableau2[[#This Row],[NOM CLIENT]],Tableau6[N° BC],Tableau2[[#This Row],[ID BC UNIQUE]])</f>
        <v>0</v>
      </c>
      <c r="K301" s="90">
        <f>Tableau2[[#This Row],[MONTANT HT VALIDE]]-Tableau2[[#This Row],[MONTANT HT FACTURE]]</f>
        <v>800000</v>
      </c>
      <c r="L301" s="34">
        <f>+IFERROR(Tableau2[[#This Row],[MONTANT HT FACTURE]]/Tableau2[[#This Row],[MONTANT HT VALIDE]],0)</f>
        <v>0</v>
      </c>
      <c r="M30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01" t="str">
        <f>+IFERROR(INDEX(Tableau6[[ENTITE]:[N° BC]],MATCH(Tableau2[[#This Row],[ID BC UNIQUE]],Tableau6[N° BC],0),7),"")</f>
        <v>006G4101</v>
      </c>
      <c r="O301" t="str">
        <f>+IFERROR(INDEX(Tableau24[],MATCH(Tableau2[[#This Row],[CODE PROJET]],Tableau24[CODE PROJET],0),2),"")</f>
        <v>ATELIER SONGON CHARGES ACT LOCAT°</v>
      </c>
    </row>
    <row r="302" spans="3:15" x14ac:dyDescent="0.2">
      <c r="C302" s="3">
        <v>46048</v>
      </c>
      <c r="D302" s="6" t="s">
        <v>715</v>
      </c>
      <c r="E302" s="253" t="s">
        <v>60</v>
      </c>
      <c r="F302" s="58" t="s">
        <v>138</v>
      </c>
      <c r="G302">
        <v>30</v>
      </c>
      <c r="H302" s="392">
        <v>1300000</v>
      </c>
      <c r="I302" s="392">
        <v>1300000</v>
      </c>
      <c r="J302" s="90">
        <f>+SUMIFS(Tableau6[MONTANT HT],Tableau6[CLIENT],Tableau2[[#This Row],[NOM CLIENT]],Tableau6[N° BC],Tableau2[[#This Row],[ID BC UNIQUE]])-SUMIFS(Tableau6[MONTANT HT],Tableau6[CLIENT],Tableau2[[#This Row],[NOM CLIENT]],Tableau6[N° BC],Tableau2[[#This Row],[ID BC UNIQUE]])</f>
        <v>0</v>
      </c>
      <c r="K302" s="90">
        <f>Tableau2[[#This Row],[MONTANT HT VALIDE]]-Tableau2[[#This Row],[MONTANT HT FACTURE]]</f>
        <v>1300000</v>
      </c>
      <c r="L302" s="34">
        <f>+IFERROR(Tableau2[[#This Row],[MONTANT HT FACTURE]]/Tableau2[[#This Row],[MONTANT HT VALIDE]],0)</f>
        <v>0</v>
      </c>
      <c r="M30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02" t="str">
        <f>+IFERROR(INDEX(Tableau6[[ENTITE]:[N° BC]],MATCH(Tableau2[[#This Row],[ID BC UNIQUE]],Tableau6[N° BC],0),7),"")</f>
        <v>019G3110</v>
      </c>
      <c r="O302" t="str">
        <f>+IFERROR(INDEX(Tableau24[],MATCH(Tableau2[[#This Row],[CODE PROJET]],Tableau24[CODE PROJET],0),2),"")</f>
        <v>ATELIER ODIENNE CHARGE FG PRESTATAIRE</v>
      </c>
    </row>
    <row r="303" spans="3:15" x14ac:dyDescent="0.2">
      <c r="C303" s="3">
        <v>46050</v>
      </c>
      <c r="D303" s="6" t="s">
        <v>707</v>
      </c>
      <c r="E303" s="253" t="s">
        <v>60</v>
      </c>
      <c r="F303" s="58" t="s">
        <v>138</v>
      </c>
      <c r="G303">
        <v>30</v>
      </c>
      <c r="H303" s="392">
        <v>23646154</v>
      </c>
      <c r="I303" s="392">
        <v>23646154</v>
      </c>
      <c r="J303" s="90">
        <f>+SUMIFS(Tableau6[MONTANT HT],Tableau6[CLIENT],Tableau2[[#This Row],[NOM CLIENT]],Tableau6[N° BC],Tableau2[[#This Row],[ID BC UNIQUE]])-SUMIFS(Tableau6[MONTANT HT],Tableau6[CLIENT],Tableau2[[#This Row],[NOM CLIENT]],Tableau6[N° BC],Tableau2[[#This Row],[ID BC UNIQUE]])</f>
        <v>0</v>
      </c>
      <c r="K303" s="90">
        <f>Tableau2[[#This Row],[MONTANT HT VALIDE]]-Tableau2[[#This Row],[MONTANT HT FACTURE]]</f>
        <v>23646154</v>
      </c>
      <c r="L303" s="34">
        <f>+IFERROR(Tableau2[[#This Row],[MONTANT HT FACTURE]]/Tableau2[[#This Row],[MONTANT HT VALIDE]],0)</f>
        <v>0</v>
      </c>
      <c r="M30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03" t="str">
        <f>+IFERROR(INDEX(Tableau6[[ENTITE]:[N° BC]],MATCH(Tableau2[[#This Row],[ID BC UNIQUE]],Tableau6[N° BC],0),7),"")</f>
        <v>019G3110</v>
      </c>
      <c r="O303" t="str">
        <f>+IFERROR(INDEX(Tableau24[],MATCH(Tableau2[[#This Row],[CODE PROJET]],Tableau24[CODE PROJET],0),2),"")</f>
        <v>ATELIER ODIENNE CHARGE FG PRESTATAIRE</v>
      </c>
    </row>
    <row r="304" spans="3:15" x14ac:dyDescent="0.2">
      <c r="C304" s="3">
        <v>46052</v>
      </c>
      <c r="D304" s="6" t="s">
        <v>708</v>
      </c>
      <c r="E304" s="253" t="s">
        <v>60</v>
      </c>
      <c r="F304" s="58" t="s">
        <v>138</v>
      </c>
      <c r="G304">
        <v>30</v>
      </c>
      <c r="H304" s="392">
        <v>18705000</v>
      </c>
      <c r="I304" s="392">
        <v>18705000</v>
      </c>
      <c r="J304" s="90">
        <f>+SUMIFS(Tableau6[MONTANT HT],Tableau6[CLIENT],Tableau2[[#This Row],[NOM CLIENT]],Tableau6[N° BC],Tableau2[[#This Row],[ID BC UNIQUE]])-SUMIFS(Tableau6[MONTANT HT],Tableau6[CLIENT],Tableau2[[#This Row],[NOM CLIENT]],Tableau6[N° BC],Tableau2[[#This Row],[ID BC UNIQUE]])</f>
        <v>0</v>
      </c>
      <c r="K304" s="90">
        <f>Tableau2[[#This Row],[MONTANT HT VALIDE]]-Tableau2[[#This Row],[MONTANT HT FACTURE]]</f>
        <v>18705000</v>
      </c>
      <c r="L304" s="34">
        <f>+IFERROR(Tableau2[[#This Row],[MONTANT HT FACTURE]]/Tableau2[[#This Row],[MONTANT HT VALIDE]],0)</f>
        <v>0</v>
      </c>
      <c r="M30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04" t="str">
        <f>+IFERROR(INDEX(Tableau6[[ENTITE]:[N° BC]],MATCH(Tableau2[[#This Row],[ID BC UNIQUE]],Tableau6[N° BC],0),7),"")</f>
        <v>017G4101</v>
      </c>
      <c r="O304" t="str">
        <f>+IFERROR(INDEX(Tableau24[],MATCH(Tableau2[[#This Row],[CODE PROJET]],Tableau24[CODE PROJET],0),2),"")</f>
        <v>ATELIER PETIT NASS. KT SM LOCAT°</v>
      </c>
    </row>
    <row r="305" spans="3:15" x14ac:dyDescent="0.2">
      <c r="C305" s="3">
        <v>46056</v>
      </c>
      <c r="D305" s="6" t="s">
        <v>714</v>
      </c>
      <c r="E305" s="253" t="s">
        <v>60</v>
      </c>
      <c r="F305" s="58" t="s">
        <v>138</v>
      </c>
      <c r="G305">
        <v>30</v>
      </c>
      <c r="H305" s="392">
        <v>22534960</v>
      </c>
      <c r="I305" s="392">
        <v>22534960</v>
      </c>
      <c r="J305" s="90">
        <f>+SUMIFS(Tableau6[MONTANT HT],Tableau6[CLIENT],Tableau2[[#This Row],[NOM CLIENT]],Tableau6[N° BC],Tableau2[[#This Row],[ID BC UNIQUE]])-SUMIFS(Tableau6[MONTANT HT],Tableau6[CLIENT],Tableau2[[#This Row],[NOM CLIENT]],Tableau6[N° BC],Tableau2[[#This Row],[ID BC UNIQUE]])</f>
        <v>0</v>
      </c>
      <c r="K305" s="90">
        <f>Tableau2[[#This Row],[MONTANT HT VALIDE]]-Tableau2[[#This Row],[MONTANT HT FACTURE]]</f>
        <v>22534960</v>
      </c>
      <c r="L305" s="34">
        <f>+IFERROR(Tableau2[[#This Row],[MONTANT HT FACTURE]]/Tableau2[[#This Row],[MONTANT HT VALIDE]],0)</f>
        <v>0</v>
      </c>
      <c r="M30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05" t="str">
        <f>+IFERROR(INDEX(Tableau6[[ENTITE]:[N° BC]],MATCH(Tableau2[[#This Row],[ID BC UNIQUE]],Tableau6[N° BC],0),7),"")</f>
        <v>015G4101</v>
      </c>
      <c r="O305" t="str">
        <f>+IFERROR(INDEX(Tableau24[],MATCH(Tableau2[[#This Row],[CODE PROJET]],Tableau24[CODE PROJET],0),2),"")</f>
        <v>ATELIER KONG CHARGE ACT LOCAT° EXT</v>
      </c>
    </row>
    <row r="306" spans="3:15" x14ac:dyDescent="0.2">
      <c r="C306" s="3">
        <v>46057</v>
      </c>
      <c r="D306" s="6" t="s">
        <v>709</v>
      </c>
      <c r="E306" s="253" t="s">
        <v>60</v>
      </c>
      <c r="F306" s="58" t="s">
        <v>138</v>
      </c>
      <c r="G306">
        <v>30</v>
      </c>
      <c r="H306" s="392">
        <v>6650000</v>
      </c>
      <c r="I306" s="392">
        <v>6650000</v>
      </c>
      <c r="J306" s="90">
        <f>+SUMIFS(Tableau6[MONTANT HT],Tableau6[CLIENT],Tableau2[[#This Row],[NOM CLIENT]],Tableau6[N° BC],Tableau2[[#This Row],[ID BC UNIQUE]])-SUMIFS(Tableau6[MONTANT HT],Tableau6[CLIENT],Tableau2[[#This Row],[NOM CLIENT]],Tableau6[N° BC],Tableau2[[#This Row],[ID BC UNIQUE]])</f>
        <v>0</v>
      </c>
      <c r="K306" s="90">
        <f>Tableau2[[#This Row],[MONTANT HT VALIDE]]-Tableau2[[#This Row],[MONTANT HT FACTURE]]</f>
        <v>6650000</v>
      </c>
      <c r="L306" s="34">
        <f>+IFERROR(Tableau2[[#This Row],[MONTANT HT FACTURE]]/Tableau2[[#This Row],[MONTANT HT VALIDE]],0)</f>
        <v>0</v>
      </c>
      <c r="M30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06" t="str">
        <f>+IFERROR(INDEX(Tableau6[[ENTITE]:[N° BC]],MATCH(Tableau2[[#This Row],[ID BC UNIQUE]],Tableau6[N° BC],0),7),"")</f>
        <v>017G4101</v>
      </c>
      <c r="O306" t="str">
        <f>+IFERROR(INDEX(Tableau24[],MATCH(Tableau2[[#This Row],[CODE PROJET]],Tableau24[CODE PROJET],0),2),"")</f>
        <v>ATELIER PETIT NASS. KT SM LOCAT°</v>
      </c>
    </row>
    <row r="307" spans="3:15" x14ac:dyDescent="0.2">
      <c r="C307" s="7">
        <v>46057</v>
      </c>
      <c r="D307" s="11" t="s">
        <v>710</v>
      </c>
      <c r="E307" s="32" t="s">
        <v>60</v>
      </c>
      <c r="F307" s="58" t="s">
        <v>138</v>
      </c>
      <c r="G307" s="2">
        <v>30</v>
      </c>
      <c r="H307" s="391">
        <v>6780000</v>
      </c>
      <c r="I307" s="391">
        <v>6780000</v>
      </c>
      <c r="J307" s="90">
        <f>+SUMIFS(Tableau6[MONTANT HT],Tableau6[CLIENT],Tableau2[[#This Row],[NOM CLIENT]],Tableau6[N° BC],Tableau2[[#This Row],[ID BC UNIQUE]])-SUMIFS(Tableau6[MONTANT HT],Tableau6[CLIENT],Tableau2[[#This Row],[NOM CLIENT]],Tableau6[N° BC],Tableau2[[#This Row],[ID BC UNIQUE]])</f>
        <v>0</v>
      </c>
      <c r="K307" s="90">
        <f>Tableau2[[#This Row],[MONTANT HT VALIDE]]-Tableau2[[#This Row],[MONTANT HT FACTURE]]</f>
        <v>6780000</v>
      </c>
      <c r="L307" s="34">
        <f>+IFERROR(Tableau2[[#This Row],[MONTANT HT FACTURE]]/Tableau2[[#This Row],[MONTANT HT VALIDE]],0)</f>
        <v>0</v>
      </c>
      <c r="M30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07" t="str">
        <f>+IFERROR(INDEX(Tableau6[[ENTITE]:[N° BC]],MATCH(Tableau2[[#This Row],[ID BC UNIQUE]],Tableau6[N° BC],0),7),"")</f>
        <v>018G4101</v>
      </c>
      <c r="O307" t="str">
        <f>+IFERROR(INDEX(Tableau24[],MATCH(Tableau2[[#This Row],[CODE PROJET]],Tableau24[CODE PROJET],0),2),"")</f>
        <v>ATELIER KORHOGO SM LOCATION EXTERNES</v>
      </c>
    </row>
    <row r="308" spans="3:15" x14ac:dyDescent="0.2">
      <c r="C308" s="7">
        <v>46057</v>
      </c>
      <c r="D308" s="11" t="s">
        <v>717</v>
      </c>
      <c r="E308" s="32" t="s">
        <v>60</v>
      </c>
      <c r="F308" s="58" t="s">
        <v>138</v>
      </c>
      <c r="G308" s="2">
        <v>30</v>
      </c>
      <c r="H308" s="391">
        <v>39016050</v>
      </c>
      <c r="I308" s="391">
        <v>39016050</v>
      </c>
      <c r="J308" s="90">
        <f>+SUMIFS(Tableau6[MONTANT HT],Tableau6[CLIENT],Tableau2[[#This Row],[NOM CLIENT]],Tableau6[N° BC],Tableau2[[#This Row],[ID BC UNIQUE]])-SUMIFS(Tableau6[MONTANT HT],Tableau6[CLIENT],Tableau2[[#This Row],[NOM CLIENT]],Tableau6[N° BC],Tableau2[[#This Row],[ID BC UNIQUE]])</f>
        <v>0</v>
      </c>
      <c r="K308" s="90">
        <f>Tableau2[[#This Row],[MONTANT HT VALIDE]]-Tableau2[[#This Row],[MONTANT HT FACTURE]]</f>
        <v>39016050</v>
      </c>
      <c r="L308" s="34">
        <f>+IFERROR(Tableau2[[#This Row],[MONTANT HT FACTURE]]/Tableau2[[#This Row],[MONTANT HT VALIDE]],0)</f>
        <v>0</v>
      </c>
      <c r="M30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08" t="str">
        <f>+IFERROR(INDEX(Tableau6[[ENTITE]:[N° BC]],MATCH(Tableau2[[#This Row],[ID BC UNIQUE]],Tableau6[N° BC],0),7),"")</f>
        <v>018G4101</v>
      </c>
      <c r="O308" t="str">
        <f>+IFERROR(INDEX(Tableau24[],MATCH(Tableau2[[#This Row],[CODE PROJET]],Tableau24[CODE PROJET],0),2),"")</f>
        <v>ATELIER KORHOGO SM LOCATION EXTERNES</v>
      </c>
    </row>
    <row r="309" spans="3:15" x14ac:dyDescent="0.2">
      <c r="C309" s="7">
        <v>46060</v>
      </c>
      <c r="D309" s="11" t="s">
        <v>711</v>
      </c>
      <c r="E309" s="32" t="s">
        <v>60</v>
      </c>
      <c r="F309" s="58" t="s">
        <v>138</v>
      </c>
      <c r="G309" s="2">
        <v>30</v>
      </c>
      <c r="H309" s="391">
        <v>1500000</v>
      </c>
      <c r="I309" s="391">
        <v>1500000</v>
      </c>
      <c r="J309" s="90">
        <f>+SUMIFS(Tableau6[MONTANT HT],Tableau6[CLIENT],Tableau2[[#This Row],[NOM CLIENT]],Tableau6[N° BC],Tableau2[[#This Row],[ID BC UNIQUE]])-SUMIFS(Tableau6[MONTANT HT],Tableau6[CLIENT],Tableau2[[#This Row],[NOM CLIENT]],Tableau6[N° BC],Tableau2[[#This Row],[ID BC UNIQUE]])</f>
        <v>0</v>
      </c>
      <c r="K309" s="90">
        <f>Tableau2[[#This Row],[MONTANT HT VALIDE]]-Tableau2[[#This Row],[MONTANT HT FACTURE]]</f>
        <v>1500000</v>
      </c>
      <c r="L309" s="34">
        <f>+IFERROR(Tableau2[[#This Row],[MONTANT HT FACTURE]]/Tableau2[[#This Row],[MONTANT HT VALIDE]],0)</f>
        <v>0</v>
      </c>
      <c r="M30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09" t="str">
        <f>+IFERROR(INDEX(Tableau6[[ENTITE]:[N° BC]],MATCH(Tableau2[[#This Row],[ID BC UNIQUE]],Tableau6[N° BC],0),7),"")</f>
        <v>015G4101</v>
      </c>
      <c r="O309" t="str">
        <f>+IFERROR(INDEX(Tableau24[],MATCH(Tableau2[[#This Row],[CODE PROJET]],Tableau24[CODE PROJET],0),2),"")</f>
        <v>ATELIER KONG CHARGE ACT LOCAT° EXT</v>
      </c>
    </row>
    <row r="310" spans="3:15" x14ac:dyDescent="0.2">
      <c r="C310" s="7">
        <v>46064</v>
      </c>
      <c r="D310" s="11" t="s">
        <v>712</v>
      </c>
      <c r="E310" s="32" t="s">
        <v>60</v>
      </c>
      <c r="F310" s="58" t="s">
        <v>138</v>
      </c>
      <c r="G310" s="2">
        <v>30</v>
      </c>
      <c r="H310" s="391">
        <v>7500000</v>
      </c>
      <c r="I310" s="391">
        <v>7500000</v>
      </c>
      <c r="J310" s="90">
        <f>+SUMIFS(Tableau6[MONTANT HT],Tableau6[CLIENT],Tableau2[[#This Row],[NOM CLIENT]],Tableau6[N° BC],Tableau2[[#This Row],[ID BC UNIQUE]])-SUMIFS(Tableau6[MONTANT HT],Tableau6[CLIENT],Tableau2[[#This Row],[NOM CLIENT]],Tableau6[N° BC],Tableau2[[#This Row],[ID BC UNIQUE]])</f>
        <v>0</v>
      </c>
      <c r="K310" s="90">
        <f>Tableau2[[#This Row],[MONTANT HT VALIDE]]-Tableau2[[#This Row],[MONTANT HT FACTURE]]</f>
        <v>7500000</v>
      </c>
      <c r="L310" s="34">
        <f>+IFERROR(Tableau2[[#This Row],[MONTANT HT FACTURE]]/Tableau2[[#This Row],[MONTANT HT VALIDE]],0)</f>
        <v>0</v>
      </c>
      <c r="M31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10" t="str">
        <f>+IFERROR(INDEX(Tableau6[[ENTITE]:[N° BC]],MATCH(Tableau2[[#This Row],[ID BC UNIQUE]],Tableau6[N° BC],0),7),"")</f>
        <v>015G4101</v>
      </c>
      <c r="O310" t="str">
        <f>+IFERROR(INDEX(Tableau24[],MATCH(Tableau2[[#This Row],[CODE PROJET]],Tableau24[CODE PROJET],0),2),"")</f>
        <v>ATELIER KONG CHARGE ACT LOCAT° EXT</v>
      </c>
    </row>
    <row r="311" spans="3:15" x14ac:dyDescent="0.2">
      <c r="C311" s="7">
        <v>46064</v>
      </c>
      <c r="D311" s="11" t="s">
        <v>713</v>
      </c>
      <c r="E311" s="32" t="s">
        <v>60</v>
      </c>
      <c r="F311" s="58" t="s">
        <v>138</v>
      </c>
      <c r="G311" s="2">
        <v>30</v>
      </c>
      <c r="H311" s="391">
        <v>23845000</v>
      </c>
      <c r="I311" s="391">
        <v>23845000</v>
      </c>
      <c r="J311" s="90">
        <f>+SUMIFS(Tableau6[MONTANT HT],Tableau6[CLIENT],Tableau2[[#This Row],[NOM CLIENT]],Tableau6[N° BC],Tableau2[[#This Row],[ID BC UNIQUE]])-SUMIFS(Tableau6[MONTANT HT],Tableau6[CLIENT],Tableau2[[#This Row],[NOM CLIENT]],Tableau6[N° BC],Tableau2[[#This Row],[ID BC UNIQUE]])</f>
        <v>0</v>
      </c>
      <c r="K311" s="90">
        <f>Tableau2[[#This Row],[MONTANT HT VALIDE]]-Tableau2[[#This Row],[MONTANT HT FACTURE]]</f>
        <v>23845000</v>
      </c>
      <c r="L311" s="34">
        <f>+IFERROR(Tableau2[[#This Row],[MONTANT HT FACTURE]]/Tableau2[[#This Row],[MONTANT HT VALIDE]],0)</f>
        <v>0</v>
      </c>
      <c r="M31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11" t="str">
        <f>+IFERROR(INDEX(Tableau6[[ENTITE]:[N° BC]],MATCH(Tableau2[[#This Row],[ID BC UNIQUE]],Tableau6[N° BC],0),7),"")</f>
        <v>015G4101</v>
      </c>
      <c r="O311" t="str">
        <f>+IFERROR(INDEX(Tableau24[],MATCH(Tableau2[[#This Row],[CODE PROJET]],Tableau24[CODE PROJET],0),2),"")</f>
        <v>ATELIER KONG CHARGE ACT LOCAT° EXT</v>
      </c>
    </row>
    <row r="312" spans="3:15" x14ac:dyDescent="0.2">
      <c r="C312" s="7">
        <v>46069</v>
      </c>
      <c r="D312" s="11" t="s">
        <v>718</v>
      </c>
      <c r="E312" s="32" t="s">
        <v>60</v>
      </c>
      <c r="F312" s="58" t="s">
        <v>138</v>
      </c>
      <c r="G312" s="2">
        <v>30</v>
      </c>
      <c r="H312" s="391">
        <v>200000</v>
      </c>
      <c r="I312" s="391">
        <v>200000</v>
      </c>
      <c r="J312" s="90">
        <f>+SUMIFS(Tableau6[MONTANT HT],Tableau6[CLIENT],Tableau2[[#This Row],[NOM CLIENT]],Tableau6[N° BC],Tableau2[[#This Row],[ID BC UNIQUE]])-SUMIFS(Tableau6[MONTANT HT],Tableau6[CLIENT],Tableau2[[#This Row],[NOM CLIENT]],Tableau6[N° BC],Tableau2[[#This Row],[ID BC UNIQUE]])</f>
        <v>0</v>
      </c>
      <c r="K312" s="90">
        <f>Tableau2[[#This Row],[MONTANT HT VALIDE]]-Tableau2[[#This Row],[MONTANT HT FACTURE]]</f>
        <v>200000</v>
      </c>
      <c r="L312" s="34">
        <f>+IFERROR(Tableau2[[#This Row],[MONTANT HT FACTURE]]/Tableau2[[#This Row],[MONTANT HT VALIDE]],0)</f>
        <v>0</v>
      </c>
      <c r="M31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12" t="str">
        <f>+IFERROR(INDEX(Tableau6[[ENTITE]:[N° BC]],MATCH(Tableau2[[#This Row],[ID BC UNIQUE]],Tableau6[N° BC],0),7),"")</f>
        <v>019G4101</v>
      </c>
      <c r="O312" t="str">
        <f>+IFERROR(INDEX(Tableau24[],MATCH(Tableau2[[#This Row],[CODE PROJET]],Tableau24[CODE PROJET],0),2),"")</f>
        <v>ATELIER ODIENNE CHARGE ACT LOC EXT</v>
      </c>
    </row>
    <row r="313" spans="3:15" x14ac:dyDescent="0.2">
      <c r="C313" s="7">
        <v>46070</v>
      </c>
      <c r="D313" s="11" t="s">
        <v>720</v>
      </c>
      <c r="E313" s="32" t="s">
        <v>60</v>
      </c>
      <c r="F313" s="58" t="s">
        <v>138</v>
      </c>
      <c r="G313" s="2">
        <v>30</v>
      </c>
      <c r="H313" s="391">
        <v>12700000</v>
      </c>
      <c r="I313" s="391">
        <v>12700000</v>
      </c>
      <c r="J313" s="90">
        <f>+SUMIFS(Tableau6[MONTANT HT],Tableau6[CLIENT],Tableau2[[#This Row],[NOM CLIENT]],Tableau6[N° BC],Tableau2[[#This Row],[ID BC UNIQUE]])-SUMIFS(Tableau6[MONTANT HT],Tableau6[CLIENT],Tableau2[[#This Row],[NOM CLIENT]],Tableau6[N° BC],Tableau2[[#This Row],[ID BC UNIQUE]])</f>
        <v>0</v>
      </c>
      <c r="K313" s="90">
        <f>Tableau2[[#This Row],[MONTANT HT VALIDE]]-Tableau2[[#This Row],[MONTANT HT FACTURE]]</f>
        <v>12700000</v>
      </c>
      <c r="L313" s="34">
        <f>+IFERROR(Tableau2[[#This Row],[MONTANT HT FACTURE]]/Tableau2[[#This Row],[MONTANT HT VALIDE]],0)</f>
        <v>0</v>
      </c>
      <c r="M31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13" t="str">
        <f>+IFERROR(INDEX(Tableau6[[ENTITE]:[N° BC]],MATCH(Tableau2[[#This Row],[ID BC UNIQUE]],Tableau6[N° BC],0),7),"")</f>
        <v>019G4101</v>
      </c>
      <c r="O313" t="str">
        <f>+IFERROR(INDEX(Tableau24[],MATCH(Tableau2[[#This Row],[CODE PROJET]],Tableau24[CODE PROJET],0),2),"")</f>
        <v>ATELIER ODIENNE CHARGE ACT LOC EXT</v>
      </c>
    </row>
    <row r="314" spans="3:15" x14ac:dyDescent="0.2">
      <c r="C314" s="7">
        <v>46071</v>
      </c>
      <c r="D314" s="11" t="s">
        <v>722</v>
      </c>
      <c r="E314" s="32" t="s">
        <v>60</v>
      </c>
      <c r="F314" s="58" t="s">
        <v>138</v>
      </c>
      <c r="G314" s="2">
        <v>30</v>
      </c>
      <c r="H314" s="391">
        <v>7350000</v>
      </c>
      <c r="I314" s="391">
        <v>7350000</v>
      </c>
      <c r="J314" s="90">
        <f>+SUMIFS(Tableau6[MONTANT HT],Tableau6[CLIENT],Tableau2[[#This Row],[NOM CLIENT]],Tableau6[N° BC],Tableau2[[#This Row],[ID BC UNIQUE]])-SUMIFS(Tableau6[MONTANT HT],Tableau6[CLIENT],Tableau2[[#This Row],[NOM CLIENT]],Tableau6[N° BC],Tableau2[[#This Row],[ID BC UNIQUE]])</f>
        <v>0</v>
      </c>
      <c r="K314" s="90">
        <f>Tableau2[[#This Row],[MONTANT HT VALIDE]]-Tableau2[[#This Row],[MONTANT HT FACTURE]]</f>
        <v>7350000</v>
      </c>
      <c r="L314" s="34">
        <f>+IFERROR(Tableau2[[#This Row],[MONTANT HT FACTURE]]/Tableau2[[#This Row],[MONTANT HT VALIDE]],0)</f>
        <v>0</v>
      </c>
      <c r="M31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14" t="str">
        <f>+IFERROR(INDEX(Tableau6[[ENTITE]:[N° BC]],MATCH(Tableau2[[#This Row],[ID BC UNIQUE]],Tableau6[N° BC],0),7),"")</f>
        <v>022G4101</v>
      </c>
      <c r="O314" t="str">
        <f>+IFERROR(INDEX(Tableau24[],MATCH(Tableau2[[#This Row],[CODE PROJET]],Tableau24[CODE PROJET],0),2),"")</f>
        <v>SOUBRE LOCATION EXTERNES POUR LE SE</v>
      </c>
    </row>
    <row r="315" spans="3:15" x14ac:dyDescent="0.2">
      <c r="C315" s="7">
        <v>46075</v>
      </c>
      <c r="D315" s="11" t="s">
        <v>810</v>
      </c>
      <c r="E315" s="32" t="s">
        <v>60</v>
      </c>
      <c r="F315" s="58" t="s">
        <v>345</v>
      </c>
      <c r="G315" s="2">
        <v>30</v>
      </c>
      <c r="H315" s="391">
        <v>9920000</v>
      </c>
      <c r="I315" s="391">
        <v>9920000</v>
      </c>
      <c r="J315" s="90">
        <f>+SUMIFS(Tableau6[MONTANT HT],Tableau6[CLIENT],Tableau2[[#This Row],[NOM CLIENT]],Tableau6[N° BC],Tableau2[[#This Row],[ID BC UNIQUE]])-SUMIFS(Tableau6[MONTANT HT],Tableau6[CLIENT],Tableau2[[#This Row],[NOM CLIENT]],Tableau6[N° BC],Tableau2[[#This Row],[ID BC UNIQUE]])</f>
        <v>0</v>
      </c>
      <c r="K315" s="90">
        <f>Tableau2[[#This Row],[MONTANT HT VALIDE]]-Tableau2[[#This Row],[MONTANT HT FACTURE]]</f>
        <v>9920000</v>
      </c>
      <c r="L315" s="34">
        <f>+IFERROR(Tableau2[[#This Row],[MONTANT HT FACTURE]]/Tableau2[[#This Row],[MONTANT HT VALIDE]],0)</f>
        <v>0</v>
      </c>
      <c r="M31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15" t="str">
        <f>+IFERROR(INDEX(Tableau6[[ENTITE]:[N° BC]],MATCH(Tableau2[[#This Row],[ID BC UNIQUE]],Tableau6[N° BC],0),7),"")</f>
        <v>AGBOVILLE</v>
      </c>
      <c r="O315" t="str">
        <f>+IFERROR(INDEX(Tableau24[],MATCH(Tableau2[[#This Row],[CODE PROJET]],Tableau24[CODE PROJET],0),2),"")</f>
        <v>AGBOVILLE</v>
      </c>
    </row>
    <row r="316" spans="3:15" x14ac:dyDescent="0.2">
      <c r="C316" s="7">
        <v>46077</v>
      </c>
      <c r="D316" s="11" t="s">
        <v>724</v>
      </c>
      <c r="E316" s="32" t="s">
        <v>60</v>
      </c>
      <c r="F316" s="58" t="s">
        <v>138</v>
      </c>
      <c r="G316" s="2">
        <v>30</v>
      </c>
      <c r="H316" s="391">
        <v>2450000</v>
      </c>
      <c r="I316" s="391">
        <v>2450000</v>
      </c>
      <c r="J316" s="90">
        <f>+SUMIFS(Tableau6[MONTANT HT],Tableau6[CLIENT],Tableau2[[#This Row],[NOM CLIENT]],Tableau6[N° BC],Tableau2[[#This Row],[ID BC UNIQUE]])-SUMIFS(Tableau6[MONTANT HT],Tableau6[CLIENT],Tableau2[[#This Row],[NOM CLIENT]],Tableau6[N° BC],Tableau2[[#This Row],[ID BC UNIQUE]])</f>
        <v>0</v>
      </c>
      <c r="K316" s="90">
        <f>Tableau2[[#This Row],[MONTANT HT VALIDE]]-Tableau2[[#This Row],[MONTANT HT FACTURE]]</f>
        <v>2450000</v>
      </c>
      <c r="L316" s="34">
        <f>+IFERROR(Tableau2[[#This Row],[MONTANT HT FACTURE]]/Tableau2[[#This Row],[MONTANT HT VALIDE]],0)</f>
        <v>0</v>
      </c>
      <c r="M31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16" t="str">
        <f>+IFERROR(INDEX(Tableau6[[ENTITE]:[N° BC]],MATCH(Tableau2[[#This Row],[ID BC UNIQUE]],Tableau6[N° BC],0),7),"")</f>
        <v>022G4101</v>
      </c>
      <c r="O316" t="str">
        <f>+IFERROR(INDEX(Tableau24[],MATCH(Tableau2[[#This Row],[CODE PROJET]],Tableau24[CODE PROJET],0),2),"")</f>
        <v>SOUBRE LOCATION EXTERNES POUR LE SE</v>
      </c>
    </row>
    <row r="317" spans="3:15" x14ac:dyDescent="0.2">
      <c r="C317" s="7">
        <v>46077</v>
      </c>
      <c r="D317" s="11" t="s">
        <v>725</v>
      </c>
      <c r="E317" s="32" t="s">
        <v>60</v>
      </c>
      <c r="F317" s="58" t="s">
        <v>138</v>
      </c>
      <c r="G317" s="2">
        <v>30</v>
      </c>
      <c r="H317" s="391">
        <v>2100000</v>
      </c>
      <c r="I317" s="391">
        <v>2100000</v>
      </c>
      <c r="J317" s="90">
        <f>+SUMIFS(Tableau6[MONTANT HT],Tableau6[CLIENT],Tableau2[[#This Row],[NOM CLIENT]],Tableau6[N° BC],Tableau2[[#This Row],[ID BC UNIQUE]])-SUMIFS(Tableau6[MONTANT HT],Tableau6[CLIENT],Tableau2[[#This Row],[NOM CLIENT]],Tableau6[N° BC],Tableau2[[#This Row],[ID BC UNIQUE]])</f>
        <v>0</v>
      </c>
      <c r="K317" s="90">
        <f>Tableau2[[#This Row],[MONTANT HT VALIDE]]-Tableau2[[#This Row],[MONTANT HT FACTURE]]</f>
        <v>2100000</v>
      </c>
      <c r="L317" s="34">
        <f>+IFERROR(Tableau2[[#This Row],[MONTANT HT FACTURE]]/Tableau2[[#This Row],[MONTANT HT VALIDE]],0)</f>
        <v>0</v>
      </c>
      <c r="M31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17" t="str">
        <f>+IFERROR(INDEX(Tableau6[[ENTITE]:[N° BC]],MATCH(Tableau2[[#This Row],[ID BC UNIQUE]],Tableau6[N° BC],0),7),"")</f>
        <v>020G4101</v>
      </c>
      <c r="O317" t="str">
        <f>+IFERROR(INDEX(Tableau24[],MATCH(Tableau2[[#This Row],[CODE PROJET]],Tableau24[CODE PROJET],0),2),"")</f>
        <v>ATELIER TEHINI-BOUNA LOCATION EXTERNES PO</v>
      </c>
    </row>
    <row r="318" spans="3:15" x14ac:dyDescent="0.2">
      <c r="C318" s="7">
        <v>46078</v>
      </c>
      <c r="D318" s="11" t="s">
        <v>727</v>
      </c>
      <c r="E318" s="32" t="s">
        <v>60</v>
      </c>
      <c r="F318" s="58" t="s">
        <v>138</v>
      </c>
      <c r="G318" s="2">
        <v>30</v>
      </c>
      <c r="H318" s="391">
        <v>8985000</v>
      </c>
      <c r="I318" s="391">
        <v>8985000</v>
      </c>
      <c r="J318" s="90">
        <f>+SUMIFS(Tableau6[MONTANT HT],Tableau6[CLIENT],Tableau2[[#This Row],[NOM CLIENT]],Tableau6[N° BC],Tableau2[[#This Row],[ID BC UNIQUE]])-SUMIFS(Tableau6[MONTANT HT],Tableau6[CLIENT],Tableau2[[#This Row],[NOM CLIENT]],Tableau6[N° BC],Tableau2[[#This Row],[ID BC UNIQUE]])</f>
        <v>0</v>
      </c>
      <c r="K318" s="90">
        <f>Tableau2[[#This Row],[MONTANT HT VALIDE]]-Tableau2[[#This Row],[MONTANT HT FACTURE]]</f>
        <v>8985000</v>
      </c>
      <c r="L318" s="34">
        <f>+IFERROR(Tableau2[[#This Row],[MONTANT HT FACTURE]]/Tableau2[[#This Row],[MONTANT HT VALIDE]],0)</f>
        <v>0</v>
      </c>
      <c r="M31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18" t="str">
        <f>+IFERROR(INDEX(Tableau6[[ENTITE]:[N° BC]],MATCH(Tableau2[[#This Row],[ID BC UNIQUE]],Tableau6[N° BC],0),7),"")</f>
        <v>017G4101</v>
      </c>
      <c r="O318" t="str">
        <f>+IFERROR(INDEX(Tableau24[],MATCH(Tableau2[[#This Row],[CODE PROJET]],Tableau24[CODE PROJET],0),2),"")</f>
        <v>ATELIER PETIT NASS. KT SM LOCAT°</v>
      </c>
    </row>
    <row r="319" spans="3:15" x14ac:dyDescent="0.2">
      <c r="C319" s="7">
        <v>46078</v>
      </c>
      <c r="D319" s="11" t="s">
        <v>729</v>
      </c>
      <c r="E319" s="32" t="s">
        <v>60</v>
      </c>
      <c r="F319" s="58" t="s">
        <v>138</v>
      </c>
      <c r="G319" s="2">
        <v>30</v>
      </c>
      <c r="H319" s="391">
        <v>4375000</v>
      </c>
      <c r="I319" s="391">
        <v>4375000</v>
      </c>
      <c r="J319" s="90">
        <f>+SUMIFS(Tableau6[MONTANT HT],Tableau6[CLIENT],Tableau2[[#This Row],[NOM CLIENT]],Tableau6[N° BC],Tableau2[[#This Row],[ID BC UNIQUE]])-SUMIFS(Tableau6[MONTANT HT],Tableau6[CLIENT],Tableau2[[#This Row],[NOM CLIENT]],Tableau6[N° BC],Tableau2[[#This Row],[ID BC UNIQUE]])</f>
        <v>0</v>
      </c>
      <c r="K319" s="90">
        <f>Tableau2[[#This Row],[MONTANT HT VALIDE]]-Tableau2[[#This Row],[MONTANT HT FACTURE]]</f>
        <v>4375000</v>
      </c>
      <c r="L319" s="34">
        <f>+IFERROR(Tableau2[[#This Row],[MONTANT HT FACTURE]]/Tableau2[[#This Row],[MONTANT HT VALIDE]],0)</f>
        <v>0</v>
      </c>
      <c r="M31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19" t="str">
        <f>+IFERROR(INDEX(Tableau6[[ENTITE]:[N° BC]],MATCH(Tableau2[[#This Row],[ID BC UNIQUE]],Tableau6[N° BC],0),7),"")</f>
        <v>021G4101</v>
      </c>
      <c r="O319" t="str">
        <f>+IFERROR(INDEX(Tableau24[],MATCH(Tableau2[[#This Row],[CODE PROJET]],Tableau24[CODE PROJET],0),2),"")</f>
        <v>SNA PEDRO SOUBRE LOCATION EXTERNE</v>
      </c>
    </row>
    <row r="320" spans="3:15" x14ac:dyDescent="0.2">
      <c r="C320" s="7">
        <v>46079</v>
      </c>
      <c r="D320" s="11" t="s">
        <v>726</v>
      </c>
      <c r="E320" s="32" t="s">
        <v>60</v>
      </c>
      <c r="F320" s="58" t="s">
        <v>138</v>
      </c>
      <c r="G320" s="2">
        <v>30</v>
      </c>
      <c r="H320" s="391">
        <v>200000</v>
      </c>
      <c r="I320" s="391">
        <v>200000</v>
      </c>
      <c r="J320" s="90">
        <f>+SUMIFS(Tableau6[MONTANT HT],Tableau6[CLIENT],Tableau2[[#This Row],[NOM CLIENT]],Tableau6[N° BC],Tableau2[[#This Row],[ID BC UNIQUE]])-SUMIFS(Tableau6[MONTANT HT],Tableau6[CLIENT],Tableau2[[#This Row],[NOM CLIENT]],Tableau6[N° BC],Tableau2[[#This Row],[ID BC UNIQUE]])</f>
        <v>0</v>
      </c>
      <c r="K320" s="90">
        <f>Tableau2[[#This Row],[MONTANT HT VALIDE]]-Tableau2[[#This Row],[MONTANT HT FACTURE]]</f>
        <v>200000</v>
      </c>
      <c r="L320" s="34">
        <f>+IFERROR(Tableau2[[#This Row],[MONTANT HT FACTURE]]/Tableau2[[#This Row],[MONTANT HT VALIDE]],0)</f>
        <v>0</v>
      </c>
      <c r="M32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20" t="str">
        <f>+IFERROR(INDEX(Tableau6[[ENTITE]:[N° BC]],MATCH(Tableau2[[#This Row],[ID BC UNIQUE]],Tableau6[N° BC],0),7),"")</f>
        <v>006G4101</v>
      </c>
      <c r="O320" t="str">
        <f>+IFERROR(INDEX(Tableau24[],MATCH(Tableau2[[#This Row],[CODE PROJET]],Tableau24[CODE PROJET],0),2),"")</f>
        <v>ATELIER SONGON CHARGES ACT LOCAT°</v>
      </c>
    </row>
    <row r="321" spans="3:15" x14ac:dyDescent="0.2">
      <c r="C321" s="7">
        <v>46082</v>
      </c>
      <c r="D321" s="11" t="s">
        <v>730</v>
      </c>
      <c r="E321" s="32" t="s">
        <v>60</v>
      </c>
      <c r="F321" s="58" t="s">
        <v>138</v>
      </c>
      <c r="G321" s="2">
        <v>30</v>
      </c>
      <c r="H321" s="391">
        <v>2210000</v>
      </c>
      <c r="I321" s="391">
        <v>2210000</v>
      </c>
      <c r="J321" s="90">
        <f>+SUMIFS(Tableau6[MONTANT HT],Tableau6[CLIENT],Tableau2[[#This Row],[NOM CLIENT]],Tableau6[N° BC],Tableau2[[#This Row],[ID BC UNIQUE]])-SUMIFS(Tableau6[MONTANT HT],Tableau6[CLIENT],Tableau2[[#This Row],[NOM CLIENT]],Tableau6[N° BC],Tableau2[[#This Row],[ID BC UNIQUE]])</f>
        <v>0</v>
      </c>
      <c r="K321" s="90">
        <f>Tableau2[[#This Row],[MONTANT HT VALIDE]]-Tableau2[[#This Row],[MONTANT HT FACTURE]]</f>
        <v>2210000</v>
      </c>
      <c r="L321" s="34">
        <f>+IFERROR(Tableau2[[#This Row],[MONTANT HT FACTURE]]/Tableau2[[#This Row],[MONTANT HT VALIDE]],0)</f>
        <v>0</v>
      </c>
      <c r="M32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21" t="str">
        <f>+IFERROR(INDEX(Tableau6[[ENTITE]:[N° BC]],MATCH(Tableau2[[#This Row],[ID BC UNIQUE]],Tableau6[N° BC],0),7),"")</f>
        <v>015G4101</v>
      </c>
      <c r="O321" t="str">
        <f>+IFERROR(INDEX(Tableau24[],MATCH(Tableau2[[#This Row],[CODE PROJET]],Tableau24[CODE PROJET],0),2),"")</f>
        <v>ATELIER KONG CHARGE ACT LOCAT° EXT</v>
      </c>
    </row>
    <row r="322" spans="3:15" x14ac:dyDescent="0.2">
      <c r="C322" s="7">
        <v>46084</v>
      </c>
      <c r="D322" s="11" t="s">
        <v>731</v>
      </c>
      <c r="E322" s="32" t="s">
        <v>60</v>
      </c>
      <c r="F322" s="58" t="s">
        <v>138</v>
      </c>
      <c r="G322" s="2">
        <v>30</v>
      </c>
      <c r="H322" s="391">
        <v>5495000</v>
      </c>
      <c r="I322" s="391">
        <v>5495000</v>
      </c>
      <c r="J322" s="90">
        <f>+SUMIFS(Tableau6[MONTANT HT],Tableau6[CLIENT],Tableau2[[#This Row],[NOM CLIENT]],Tableau6[N° BC],Tableau2[[#This Row],[ID BC UNIQUE]])-SUMIFS(Tableau6[MONTANT HT],Tableau6[CLIENT],Tableau2[[#This Row],[NOM CLIENT]],Tableau6[N° BC],Tableau2[[#This Row],[ID BC UNIQUE]])</f>
        <v>0</v>
      </c>
      <c r="K322" s="90">
        <f>Tableau2[[#This Row],[MONTANT HT VALIDE]]-Tableau2[[#This Row],[MONTANT HT FACTURE]]</f>
        <v>5495000</v>
      </c>
      <c r="L322" s="34">
        <f>+IFERROR(Tableau2[[#This Row],[MONTANT HT FACTURE]]/Tableau2[[#This Row],[MONTANT HT VALIDE]],0)</f>
        <v>0</v>
      </c>
      <c r="M32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22" t="str">
        <f>+IFERROR(INDEX(Tableau6[[ENTITE]:[N° BC]],MATCH(Tableau2[[#This Row],[ID BC UNIQUE]],Tableau6[N° BC],0),7),"")</f>
        <v>011G4101</v>
      </c>
      <c r="O322" t="str">
        <f>+IFERROR(INDEX(Tableau24[],MATCH(Tableau2[[#This Row],[CODE PROJET]],Tableau24[CODE PROJET],0),2),"")</f>
        <v>ATELIER DABAKALA CHARGRES ACT LOC E</v>
      </c>
    </row>
    <row r="323" spans="3:15" x14ac:dyDescent="0.2">
      <c r="C323" s="7">
        <v>46094</v>
      </c>
      <c r="D323" s="11" t="s">
        <v>804</v>
      </c>
      <c r="E323" s="32" t="s">
        <v>60</v>
      </c>
      <c r="F323" s="58" t="s">
        <v>138</v>
      </c>
      <c r="G323" s="2">
        <v>30</v>
      </c>
      <c r="H323" s="391">
        <v>23900740</v>
      </c>
      <c r="I323" s="155">
        <v>23900740</v>
      </c>
      <c r="J323" s="90">
        <f>+SUMIFS(Tableau6[MONTANT HT],Tableau6[CLIENT],Tableau2[[#This Row],[NOM CLIENT]],Tableau6[N° BC],Tableau2[[#This Row],[ID BC UNIQUE]])-SUMIFS(Tableau6[MONTANT HT],Tableau6[CLIENT],Tableau2[[#This Row],[NOM CLIENT]],Tableau6[N° BC],Tableau2[[#This Row],[ID BC UNIQUE]])</f>
        <v>0</v>
      </c>
      <c r="K323" s="90">
        <f>Tableau2[[#This Row],[MONTANT HT VALIDE]]-Tableau2[[#This Row],[MONTANT HT FACTURE]]</f>
        <v>23900740</v>
      </c>
      <c r="L323" s="34">
        <f>+IFERROR(Tableau2[[#This Row],[MONTANT HT FACTURE]]/Tableau2[[#This Row],[MONTANT HT VALIDE]],0)</f>
        <v>0</v>
      </c>
      <c r="M32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23" t="str">
        <f>+IFERROR(INDEX(Tableau6[[ENTITE]:[N° BC]],MATCH(Tableau2[[#This Row],[ID BC UNIQUE]],Tableau6[N° BC],0),7),"")</f>
        <v>018G4101</v>
      </c>
      <c r="O323" t="str">
        <f>+IFERROR(INDEX(Tableau24[],MATCH(Tableau2[[#This Row],[CODE PROJET]],Tableau24[CODE PROJET],0),2),"")</f>
        <v>ATELIER KORHOGO SM LOCATION EXTERNES</v>
      </c>
    </row>
    <row r="324" spans="3:15" x14ac:dyDescent="0.2">
      <c r="C324" s="7">
        <v>46094</v>
      </c>
      <c r="D324" s="11" t="s">
        <v>807</v>
      </c>
      <c r="E324" s="32" t="s">
        <v>60</v>
      </c>
      <c r="F324" s="58" t="s">
        <v>138</v>
      </c>
      <c r="G324" s="2">
        <v>30</v>
      </c>
      <c r="H324" s="391">
        <v>5269500</v>
      </c>
      <c r="I324" s="155">
        <v>5269500</v>
      </c>
      <c r="J324" s="90">
        <f>+SUMIFS(Tableau6[MONTANT HT],Tableau6[CLIENT],Tableau2[[#This Row],[NOM CLIENT]],Tableau6[N° BC],Tableau2[[#This Row],[ID BC UNIQUE]])-SUMIFS(Tableau6[MONTANT HT],Tableau6[CLIENT],Tableau2[[#This Row],[NOM CLIENT]],Tableau6[N° BC],Tableau2[[#This Row],[ID BC UNIQUE]])</f>
        <v>0</v>
      </c>
      <c r="K324" s="90">
        <f>Tableau2[[#This Row],[MONTANT HT VALIDE]]-Tableau2[[#This Row],[MONTANT HT FACTURE]]</f>
        <v>5269500</v>
      </c>
      <c r="L324" s="34">
        <f>+IFERROR(Tableau2[[#This Row],[MONTANT HT FACTURE]]/Tableau2[[#This Row],[MONTANT HT VALIDE]],0)</f>
        <v>0</v>
      </c>
      <c r="M32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24" t="str">
        <f>+IFERROR(INDEX(Tableau6[[ENTITE]:[N° BC]],MATCH(Tableau2[[#This Row],[ID BC UNIQUE]],Tableau6[N° BC],0),7),"")</f>
        <v>018G4101</v>
      </c>
      <c r="O324" t="str">
        <f>+IFERROR(INDEX(Tableau24[],MATCH(Tableau2[[#This Row],[CODE PROJET]],Tableau24[CODE PROJET],0),2),"")</f>
        <v>ATELIER KORHOGO SM LOCATION EXTERNES</v>
      </c>
    </row>
    <row r="325" spans="3:15" x14ac:dyDescent="0.2">
      <c r="C325" s="7">
        <v>46094</v>
      </c>
      <c r="D325" s="11" t="s">
        <v>808</v>
      </c>
      <c r="E325" s="32" t="s">
        <v>60</v>
      </c>
      <c r="F325" s="58" t="s">
        <v>138</v>
      </c>
      <c r="G325" s="2">
        <v>30</v>
      </c>
      <c r="H325" s="391">
        <v>18023460</v>
      </c>
      <c r="I325" s="391">
        <v>18023460</v>
      </c>
      <c r="J325" s="90">
        <f>+SUMIFS(Tableau6[MONTANT HT],Tableau6[CLIENT],Tableau2[[#This Row],[NOM CLIENT]],Tableau6[N° BC],Tableau2[[#This Row],[ID BC UNIQUE]])-SUMIFS(Tableau6[MONTANT HT],Tableau6[CLIENT],Tableau2[[#This Row],[NOM CLIENT]],Tableau6[N° BC],Tableau2[[#This Row],[ID BC UNIQUE]])</f>
        <v>0</v>
      </c>
      <c r="K325" s="90">
        <f>Tableau2[[#This Row],[MONTANT HT VALIDE]]-Tableau2[[#This Row],[MONTANT HT FACTURE]]</f>
        <v>18023460</v>
      </c>
      <c r="L325" s="34">
        <f>+IFERROR(Tableau2[[#This Row],[MONTANT HT FACTURE]]/Tableau2[[#This Row],[MONTANT HT VALIDE]],0)</f>
        <v>0</v>
      </c>
      <c r="M32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25" t="str">
        <f>+IFERROR(INDEX(Tableau6[[ENTITE]:[N° BC]],MATCH(Tableau2[[#This Row],[ID BC UNIQUE]],Tableau6[N° BC],0),7),"")</f>
        <v>018G4101</v>
      </c>
      <c r="O325" t="str">
        <f>+IFERROR(INDEX(Tableau24[],MATCH(Tableau2[[#This Row],[CODE PROJET]],Tableau24[CODE PROJET],0),2),"")</f>
        <v>ATELIER KORHOGO SM LOCATION EXTERNES</v>
      </c>
    </row>
    <row r="326" spans="3:15" x14ac:dyDescent="0.2">
      <c r="C326" s="7">
        <v>46097</v>
      </c>
      <c r="D326" s="11" t="s">
        <v>805</v>
      </c>
      <c r="E326" s="32" t="s">
        <v>60</v>
      </c>
      <c r="F326" s="58" t="s">
        <v>138</v>
      </c>
      <c r="G326" s="2">
        <v>30</v>
      </c>
      <c r="H326" s="391">
        <v>13777778</v>
      </c>
      <c r="I326" s="391">
        <v>13777778</v>
      </c>
      <c r="J326" s="90">
        <f>+SUMIFS(Tableau6[MONTANT HT],Tableau6[CLIENT],Tableau2[[#This Row],[NOM CLIENT]],Tableau6[N° BC],Tableau2[[#This Row],[ID BC UNIQUE]])-SUMIFS(Tableau6[MONTANT HT],Tableau6[CLIENT],Tableau2[[#This Row],[NOM CLIENT]],Tableau6[N° BC],Tableau2[[#This Row],[ID BC UNIQUE]])</f>
        <v>0</v>
      </c>
      <c r="K326" s="90">
        <f>Tableau2[[#This Row],[MONTANT HT VALIDE]]-Tableau2[[#This Row],[MONTANT HT FACTURE]]</f>
        <v>13777778</v>
      </c>
      <c r="L326" s="34">
        <f>+IFERROR(Tableau2[[#This Row],[MONTANT HT FACTURE]]/Tableau2[[#This Row],[MONTANT HT VALIDE]],0)</f>
        <v>0</v>
      </c>
      <c r="M32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26" t="str">
        <f>+IFERROR(INDEX(Tableau6[[ENTITE]:[N° BC]],MATCH(Tableau2[[#This Row],[ID BC UNIQUE]],Tableau6[N° BC],0),7),"")</f>
        <v>019G4101</v>
      </c>
      <c r="O326" t="str">
        <f>+IFERROR(INDEX(Tableau24[],MATCH(Tableau2[[#This Row],[CODE PROJET]],Tableau24[CODE PROJET],0),2),"")</f>
        <v>ATELIER ODIENNE CHARGE ACT LOC EXT</v>
      </c>
    </row>
    <row r="327" spans="3:15" x14ac:dyDescent="0.2">
      <c r="C327" s="7">
        <v>45547</v>
      </c>
      <c r="D327" s="11" t="s">
        <v>817</v>
      </c>
      <c r="E327" s="32" t="s">
        <v>60</v>
      </c>
      <c r="F327" s="58" t="s">
        <v>138</v>
      </c>
      <c r="G327" s="2">
        <v>30</v>
      </c>
      <c r="H327" s="391">
        <v>1350000</v>
      </c>
      <c r="I327" s="155">
        <v>1350000</v>
      </c>
      <c r="J327" s="90">
        <f>+SUMIFS(Tableau6[MONTANT HT],Tableau6[CLIENT],Tableau2[[#This Row],[NOM CLIENT]],Tableau6[N° BC],Tableau2[[#This Row],[ID BC UNIQUE]])-SUMIFS(Tableau6[MONTANT HT],Tableau6[CLIENT],Tableau2[[#This Row],[NOM CLIENT]],Tableau6[N° BC],Tableau2[[#This Row],[ID BC UNIQUE]])</f>
        <v>0</v>
      </c>
      <c r="K327" s="90">
        <f>Tableau2[[#This Row],[MONTANT HT VALIDE]]-Tableau2[[#This Row],[MONTANT HT FACTURE]]</f>
        <v>1350000</v>
      </c>
      <c r="L327" s="34">
        <f>+IFERROR(Tableau2[[#This Row],[MONTANT HT FACTURE]]/Tableau2[[#This Row],[MONTANT HT VALIDE]],0)</f>
        <v>0</v>
      </c>
      <c r="M32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27" t="str">
        <f>+IFERROR(INDEX(Tableau6[[ENTITE]:[N° BC]],MATCH(Tableau2[[#This Row],[ID BC UNIQUE]],Tableau6[N° BC],0),7),"")</f>
        <v>257B0101</v>
      </c>
      <c r="O327" t="str">
        <f>+IFERROR(INDEX(Tableau24[],MATCH(Tableau2[[#This Row],[CODE PROJET]],Tableau24[CODE PROJET],0),2),"")</f>
        <v>COMPLEXE RESIDENTIEL-KONG-AMENAGEMENT EXT TERRASSEMENT</v>
      </c>
    </row>
    <row r="328" spans="3:15" x14ac:dyDescent="0.2">
      <c r="C328" s="7">
        <v>46045</v>
      </c>
      <c r="D328" s="11" t="s">
        <v>827</v>
      </c>
      <c r="E328" s="32" t="s">
        <v>60</v>
      </c>
      <c r="F328" s="58" t="s">
        <v>138</v>
      </c>
      <c r="G328" s="2">
        <v>30</v>
      </c>
      <c r="H328" s="391">
        <v>1080000</v>
      </c>
      <c r="I328" s="155">
        <v>1080000</v>
      </c>
      <c r="J328" s="90">
        <f>+SUMIFS(Tableau6[MONTANT HT],Tableau6[CLIENT],Tableau2[[#This Row],[NOM CLIENT]],Tableau6[N° BC],Tableau2[[#This Row],[ID BC UNIQUE]])-SUMIFS(Tableau6[MONTANT HT],Tableau6[CLIENT],Tableau2[[#This Row],[NOM CLIENT]],Tableau6[N° BC],Tableau2[[#This Row],[ID BC UNIQUE]])</f>
        <v>0</v>
      </c>
      <c r="K328" s="90">
        <f>Tableau2[[#This Row],[MONTANT HT VALIDE]]-Tableau2[[#This Row],[MONTANT HT FACTURE]]</f>
        <v>1080000</v>
      </c>
      <c r="L328" s="34">
        <f>+IFERROR(Tableau2[[#This Row],[MONTANT HT FACTURE]]/Tableau2[[#This Row],[MONTANT HT VALIDE]],0)</f>
        <v>0</v>
      </c>
      <c r="M32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28" t="str">
        <f>+IFERROR(INDEX(Tableau6[[ENTITE]:[N° BC]],MATCH(Tableau2[[#This Row],[ID BC UNIQUE]],Tableau6[N° BC],0),7),"")</f>
        <v>348R8002</v>
      </c>
      <c r="O328" t="str">
        <f>+IFERROR(INDEX(Tableau24[],MATCH(Tableau2[[#This Row],[CODE PROJET]],Tableau24[CODE PROJET],0),2),"")</f>
        <v>TX BITUMAGE PETIT NASSIAN-KAFOLO-TEHINI-MAD ENGIN</v>
      </c>
    </row>
    <row r="329" spans="3:15" x14ac:dyDescent="0.2">
      <c r="C329" s="7">
        <v>46047</v>
      </c>
      <c r="D329" s="11" t="s">
        <v>818</v>
      </c>
      <c r="E329" s="32" t="s">
        <v>60</v>
      </c>
      <c r="F329" s="58" t="s">
        <v>138</v>
      </c>
      <c r="G329" s="2">
        <v>30</v>
      </c>
      <c r="H329" s="391">
        <v>1080000</v>
      </c>
      <c r="I329" s="155">
        <v>1080000</v>
      </c>
      <c r="J329" s="90">
        <f>+SUMIFS(Tableau6[MONTANT HT],Tableau6[CLIENT],Tableau2[[#This Row],[NOM CLIENT]],Tableau6[N° BC],Tableau2[[#This Row],[ID BC UNIQUE]])-SUMIFS(Tableau6[MONTANT HT],Tableau6[CLIENT],Tableau2[[#This Row],[NOM CLIENT]],Tableau6[N° BC],Tableau2[[#This Row],[ID BC UNIQUE]])</f>
        <v>0</v>
      </c>
      <c r="K329" s="90">
        <f>Tableau2[[#This Row],[MONTANT HT VALIDE]]-Tableau2[[#This Row],[MONTANT HT FACTURE]]</f>
        <v>1080000</v>
      </c>
      <c r="L329" s="34">
        <f>+IFERROR(Tableau2[[#This Row],[MONTANT HT FACTURE]]/Tableau2[[#This Row],[MONTANT HT VALIDE]],0)</f>
        <v>0</v>
      </c>
      <c r="M32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29" t="str">
        <f>+IFERROR(INDEX(Tableau6[[ENTITE]:[N° BC]],MATCH(Tableau2[[#This Row],[ID BC UNIQUE]],Tableau6[N° BC],0),7),"")</f>
        <v>257B1102</v>
      </c>
      <c r="O329" t="str">
        <f>+IFERROR(INDEX(Tableau24[],MATCH(Tableau2[[#This Row],[CODE PROJET]],Tableau24[CODE PROJET],0),2),"")</f>
        <v>COMPLEXE RES. KONG REVT DUR</v>
      </c>
    </row>
    <row r="330" spans="3:15" x14ac:dyDescent="0.2">
      <c r="C330" s="7">
        <v>45750</v>
      </c>
      <c r="D330" s="11" t="s">
        <v>819</v>
      </c>
      <c r="E330" s="32" t="s">
        <v>60</v>
      </c>
      <c r="F330" s="58" t="s">
        <v>138</v>
      </c>
      <c r="G330" s="2">
        <v>30</v>
      </c>
      <c r="H330" s="391">
        <v>5120000</v>
      </c>
      <c r="I330" s="155">
        <v>5120000</v>
      </c>
      <c r="J330" s="90">
        <f>+SUMIFS(Tableau6[MONTANT HT],Tableau6[CLIENT],Tableau2[[#This Row],[NOM CLIENT]],Tableau6[N° BC],Tableau2[[#This Row],[ID BC UNIQUE]])-SUMIFS(Tableau6[MONTANT HT],Tableau6[CLIENT],Tableau2[[#This Row],[NOM CLIENT]],Tableau6[N° BC],Tableau2[[#This Row],[ID BC UNIQUE]])</f>
        <v>0</v>
      </c>
      <c r="K330" s="90">
        <f>Tableau2[[#This Row],[MONTANT HT VALIDE]]-Tableau2[[#This Row],[MONTANT HT FACTURE]]</f>
        <v>5120000</v>
      </c>
      <c r="L330" s="34">
        <f>+IFERROR(Tableau2[[#This Row],[MONTANT HT FACTURE]]/Tableau2[[#This Row],[MONTANT HT VALIDE]],0)</f>
        <v>0</v>
      </c>
      <c r="M33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30" t="str">
        <f>+IFERROR(INDEX(Tableau6[[ENTITE]:[N° BC]],MATCH(Tableau2[[#This Row],[ID BC UNIQUE]],Tableau6[N° BC],0),7),"")</f>
        <v>257B0109</v>
      </c>
      <c r="O330" t="str">
        <f>+IFERROR(INDEX(Tableau24[],MATCH(Tableau2[[#This Row],[CODE PROJET]],Tableau24[CODE PROJET],0),2),"")</f>
        <v>COMPLEXE RES. KONG AMENGT EXT P</v>
      </c>
    </row>
    <row r="331" spans="3:15" x14ac:dyDescent="0.2">
      <c r="C331" s="7">
        <v>45750</v>
      </c>
      <c r="D331" s="11" t="s">
        <v>821</v>
      </c>
      <c r="E331" s="32" t="s">
        <v>60</v>
      </c>
      <c r="F331" s="58" t="s">
        <v>138</v>
      </c>
      <c r="G331" s="2">
        <v>30</v>
      </c>
      <c r="H331" s="391">
        <v>7920000</v>
      </c>
      <c r="I331" s="155">
        <v>7920000</v>
      </c>
      <c r="J331" s="90">
        <f>+SUMIFS(Tableau6[MONTANT HT],Tableau6[CLIENT],Tableau2[[#This Row],[NOM CLIENT]],Tableau6[N° BC],Tableau2[[#This Row],[ID BC UNIQUE]])-SUMIFS(Tableau6[MONTANT HT],Tableau6[CLIENT],Tableau2[[#This Row],[NOM CLIENT]],Tableau6[N° BC],Tableau2[[#This Row],[ID BC UNIQUE]])</f>
        <v>0</v>
      </c>
      <c r="K331" s="90">
        <f>Tableau2[[#This Row],[MONTANT HT VALIDE]]-Tableau2[[#This Row],[MONTANT HT FACTURE]]</f>
        <v>7920000</v>
      </c>
      <c r="L331" s="34">
        <f>+IFERROR(Tableau2[[#This Row],[MONTANT HT FACTURE]]/Tableau2[[#This Row],[MONTANT HT VALIDE]],0)</f>
        <v>0</v>
      </c>
      <c r="M33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31" t="str">
        <f>+IFERROR(INDEX(Tableau6[[ENTITE]:[N° BC]],MATCH(Tableau2[[#This Row],[ID BC UNIQUE]],Tableau6[N° BC],0),7),"")</f>
        <v>257B0109</v>
      </c>
      <c r="O331" t="str">
        <f>+IFERROR(INDEX(Tableau24[],MATCH(Tableau2[[#This Row],[CODE PROJET]],Tableau24[CODE PROJET],0),2),"")</f>
        <v>COMPLEXE RES. KONG AMENGT EXT P</v>
      </c>
    </row>
    <row r="332" spans="3:15" x14ac:dyDescent="0.2">
      <c r="C332" s="7">
        <v>45716</v>
      </c>
      <c r="D332" s="11" t="s">
        <v>824</v>
      </c>
      <c r="E332" s="32" t="s">
        <v>60</v>
      </c>
      <c r="F332" s="58" t="s">
        <v>138</v>
      </c>
      <c r="G332" s="2">
        <v>30</v>
      </c>
      <c r="H332" s="391">
        <v>1000000</v>
      </c>
      <c r="I332" s="155">
        <v>1000000</v>
      </c>
      <c r="J332" s="90">
        <f>+SUMIFS(Tableau6[MONTANT HT],Tableau6[CLIENT],Tableau2[[#This Row],[NOM CLIENT]],Tableau6[N° BC],Tableau2[[#This Row],[ID BC UNIQUE]])-SUMIFS(Tableau6[MONTANT HT],Tableau6[CLIENT],Tableau2[[#This Row],[NOM CLIENT]],Tableau6[N° BC],Tableau2[[#This Row],[ID BC UNIQUE]])</f>
        <v>0</v>
      </c>
      <c r="K332" s="90">
        <f>Tableau2[[#This Row],[MONTANT HT VALIDE]]-Tableau2[[#This Row],[MONTANT HT FACTURE]]</f>
        <v>1000000</v>
      </c>
      <c r="L332" s="34">
        <f>+IFERROR(Tableau2[[#This Row],[MONTANT HT FACTURE]]/Tableau2[[#This Row],[MONTANT HT VALIDE]],0)</f>
        <v>0</v>
      </c>
      <c r="M33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32" t="str">
        <f>+IFERROR(INDEX(Tableau6[[ENTITE]:[N° BC]],MATCH(Tableau2[[#This Row],[ID BC UNIQUE]],Tableau6[N° BC],0),7),"")</f>
        <v>257B0209</v>
      </c>
      <c r="O332" t="str">
        <f>+IFERROR(INDEX(Tableau24[],MATCH(Tableau2[[#This Row],[CODE PROJET]],Tableau24[CODE PROJET],0),2),"")</f>
        <v>COMPLEXE RESIDENTIEL-KONG-GROS ŒUVRE DRAINAGE</v>
      </c>
    </row>
    <row r="333" spans="3:15" x14ac:dyDescent="0.2">
      <c r="C333" s="7">
        <v>45756</v>
      </c>
      <c r="D333" s="11" t="s">
        <v>823</v>
      </c>
      <c r="E333" s="32" t="s">
        <v>60</v>
      </c>
      <c r="F333" s="58" t="s">
        <v>138</v>
      </c>
      <c r="G333" s="2">
        <v>30</v>
      </c>
      <c r="H333" s="391">
        <v>4500000</v>
      </c>
      <c r="I333" s="155">
        <v>4500000</v>
      </c>
      <c r="J333" s="90">
        <f>+SUMIFS(Tableau6[MONTANT HT],Tableau6[CLIENT],Tableau2[[#This Row],[NOM CLIENT]],Tableau6[N° BC],Tableau2[[#This Row],[ID BC UNIQUE]])-SUMIFS(Tableau6[MONTANT HT],Tableau6[CLIENT],Tableau2[[#This Row],[NOM CLIENT]],Tableau6[N° BC],Tableau2[[#This Row],[ID BC UNIQUE]])</f>
        <v>0</v>
      </c>
      <c r="K333" s="90">
        <f>Tableau2[[#This Row],[MONTANT HT VALIDE]]-Tableau2[[#This Row],[MONTANT HT FACTURE]]</f>
        <v>4500000</v>
      </c>
      <c r="L333" s="34">
        <f>+IFERROR(Tableau2[[#This Row],[MONTANT HT FACTURE]]/Tableau2[[#This Row],[MONTANT HT VALIDE]],0)</f>
        <v>0</v>
      </c>
      <c r="M33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33" t="str">
        <f>+IFERROR(INDEX(Tableau6[[ENTITE]:[N° BC]],MATCH(Tableau2[[#This Row],[ID BC UNIQUE]],Tableau6[N° BC],0),7),"")</f>
        <v>257B0207</v>
      </c>
      <c r="O333" t="str">
        <f>+IFERROR(INDEX(Tableau24[],MATCH(Tableau2[[#This Row],[CODE PROJET]],Tableau24[CODE PROJET],0),2),"")</f>
        <v>COMPLEXE RESIDENTIEL KONG-GROS ŒUVRE M.O</v>
      </c>
    </row>
    <row r="334" spans="3:15" x14ac:dyDescent="0.2">
      <c r="C334" s="7">
        <v>45756</v>
      </c>
      <c r="D334" s="11" t="s">
        <v>826</v>
      </c>
      <c r="E334" s="32" t="s">
        <v>60</v>
      </c>
      <c r="F334" s="58" t="s">
        <v>138</v>
      </c>
      <c r="G334" s="2">
        <v>30</v>
      </c>
      <c r="H334" s="391">
        <v>4320000</v>
      </c>
      <c r="I334" s="155">
        <v>4320000</v>
      </c>
      <c r="J334" s="90">
        <f>+SUMIFS(Tableau6[MONTANT HT],Tableau6[CLIENT],Tableau2[[#This Row],[NOM CLIENT]],Tableau6[N° BC],Tableau2[[#This Row],[ID BC UNIQUE]])-SUMIFS(Tableau6[MONTANT HT],Tableau6[CLIENT],Tableau2[[#This Row],[NOM CLIENT]],Tableau6[N° BC],Tableau2[[#This Row],[ID BC UNIQUE]])</f>
        <v>0</v>
      </c>
      <c r="K334" s="90">
        <f>Tableau2[[#This Row],[MONTANT HT VALIDE]]-Tableau2[[#This Row],[MONTANT HT FACTURE]]</f>
        <v>4320000</v>
      </c>
      <c r="L334" s="34">
        <f>+IFERROR(Tableau2[[#This Row],[MONTANT HT FACTURE]]/Tableau2[[#This Row],[MONTANT HT VALIDE]],0)</f>
        <v>0</v>
      </c>
      <c r="M33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34" t="str">
        <f>+IFERROR(INDEX(Tableau6[[ENTITE]:[N° BC]],MATCH(Tableau2[[#This Row],[ID BC UNIQUE]],Tableau6[N° BC],0),7),"")</f>
        <v>257B0203</v>
      </c>
      <c r="O334" t="str">
        <f>+IFERROR(INDEX(Tableau24[],MATCH(Tableau2[[#This Row],[CODE PROJET]],Tableau24[CODE PROJET],0),2),"")</f>
        <v>COMPLEXE RESIDENTIEL KONG-GROS ŒUVRE FONDATION</v>
      </c>
    </row>
    <row r="335" spans="3:15" x14ac:dyDescent="0.2">
      <c r="C335" s="7">
        <v>46091</v>
      </c>
      <c r="D335" s="11" t="s">
        <v>828</v>
      </c>
      <c r="E335" s="32" t="s">
        <v>60</v>
      </c>
      <c r="F335" s="58" t="s">
        <v>138</v>
      </c>
      <c r="G335" s="2">
        <v>30</v>
      </c>
      <c r="H335" s="391">
        <v>180000</v>
      </c>
      <c r="I335" s="155">
        <v>180000</v>
      </c>
      <c r="J335" s="90">
        <f>+SUMIFS(Tableau6[MONTANT HT],Tableau6[CLIENT],Tableau2[[#This Row],[NOM CLIENT]],Tableau6[N° BC],Tableau2[[#This Row],[ID BC UNIQUE]])-SUMIFS(Tableau6[MONTANT HT],Tableau6[CLIENT],Tableau2[[#This Row],[NOM CLIENT]],Tableau6[N° BC],Tableau2[[#This Row],[ID BC UNIQUE]])</f>
        <v>0</v>
      </c>
      <c r="K335" s="90">
        <f>Tableau2[[#This Row],[MONTANT HT VALIDE]]-Tableau2[[#This Row],[MONTANT HT FACTURE]]</f>
        <v>180000</v>
      </c>
      <c r="L335" s="34">
        <f>+IFERROR(Tableau2[[#This Row],[MONTANT HT FACTURE]]/Tableau2[[#This Row],[MONTANT HT VALIDE]],0)</f>
        <v>0</v>
      </c>
      <c r="M33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35" t="str">
        <f>+IFERROR(INDEX(Tableau6[[ENTITE]:[N° BC]],MATCH(Tableau2[[#This Row],[ID BC UNIQUE]],Tableau6[N° BC],0),7),"")</f>
        <v>257B0104</v>
      </c>
      <c r="O335" t="str">
        <f>+IFERROR(INDEX(Tableau24[],MATCH(Tableau2[[#This Row],[CODE PROJET]],Tableau24[CODE PROJET],0),2),"")</f>
        <v>COMPLEXE RESIDENTIEL KONG-VRD VOIRIE CHE</v>
      </c>
    </row>
    <row r="336" spans="3:15" x14ac:dyDescent="0.2">
      <c r="C336" s="7">
        <v>46093</v>
      </c>
      <c r="D336" s="11" t="s">
        <v>829</v>
      </c>
      <c r="E336" s="32" t="s">
        <v>60</v>
      </c>
      <c r="F336" s="58" t="s">
        <v>138</v>
      </c>
      <c r="G336" s="2">
        <v>30</v>
      </c>
      <c r="H336" s="391">
        <v>640000</v>
      </c>
      <c r="I336" s="155">
        <v>640000</v>
      </c>
      <c r="J336" s="90">
        <f>+SUMIFS(Tableau6[MONTANT HT],Tableau6[CLIENT],Tableau2[[#This Row],[NOM CLIENT]],Tableau6[N° BC],Tableau2[[#This Row],[ID BC UNIQUE]])-SUMIFS(Tableau6[MONTANT HT],Tableau6[CLIENT],Tableau2[[#This Row],[NOM CLIENT]],Tableau6[N° BC],Tableau2[[#This Row],[ID BC UNIQUE]])</f>
        <v>0</v>
      </c>
      <c r="K336" s="90">
        <f>Tableau2[[#This Row],[MONTANT HT VALIDE]]-Tableau2[[#This Row],[MONTANT HT FACTURE]]</f>
        <v>640000</v>
      </c>
      <c r="L336" s="34">
        <f>+IFERROR(Tableau2[[#This Row],[MONTANT HT FACTURE]]/Tableau2[[#This Row],[MONTANT HT VALIDE]],0)</f>
        <v>0</v>
      </c>
      <c r="M33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36" t="str">
        <f>+IFERROR(INDEX(Tableau6[[ENTITE]:[N° BC]],MATCH(Tableau2[[#This Row],[ID BC UNIQUE]],Tableau6[N° BC],0),7),"")</f>
        <v>257B0109</v>
      </c>
      <c r="O336" t="str">
        <f>+IFERROR(INDEX(Tableau24[],MATCH(Tableau2[[#This Row],[CODE PROJET]],Tableau24[CODE PROJET],0),2),"")</f>
        <v>COMPLEXE RES. KONG AMENGT EXT P</v>
      </c>
    </row>
    <row r="337" spans="3:15" x14ac:dyDescent="0.2">
      <c r="C337" s="7">
        <v>46093</v>
      </c>
      <c r="D337" s="11" t="s">
        <v>831</v>
      </c>
      <c r="E337" s="32" t="s">
        <v>60</v>
      </c>
      <c r="F337" s="58" t="s">
        <v>138</v>
      </c>
      <c r="G337" s="2">
        <v>30</v>
      </c>
      <c r="H337" s="391">
        <v>800000</v>
      </c>
      <c r="I337" s="155">
        <v>800000</v>
      </c>
      <c r="J337" s="90">
        <f>+SUMIFS(Tableau6[MONTANT HT],Tableau6[CLIENT],Tableau2[[#This Row],[NOM CLIENT]],Tableau6[N° BC],Tableau2[[#This Row],[ID BC UNIQUE]])-SUMIFS(Tableau6[MONTANT HT],Tableau6[CLIENT],Tableau2[[#This Row],[NOM CLIENT]],Tableau6[N° BC],Tableau2[[#This Row],[ID BC UNIQUE]])</f>
        <v>0</v>
      </c>
      <c r="K337" s="90">
        <f>Tableau2[[#This Row],[MONTANT HT VALIDE]]-Tableau2[[#This Row],[MONTANT HT FACTURE]]</f>
        <v>800000</v>
      </c>
      <c r="L337" s="34">
        <f>+IFERROR(Tableau2[[#This Row],[MONTANT HT FACTURE]]/Tableau2[[#This Row],[MONTANT HT VALIDE]],0)</f>
        <v>0</v>
      </c>
      <c r="M33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37" t="str">
        <f>+IFERROR(INDEX(Tableau6[[ENTITE]:[N° BC]],MATCH(Tableau2[[#This Row],[ID BC UNIQUE]],Tableau6[N° BC],0),7),"")</f>
        <v>257B0109</v>
      </c>
      <c r="O337" t="str">
        <f>+IFERROR(INDEX(Tableau24[],MATCH(Tableau2[[#This Row],[CODE PROJET]],Tableau24[CODE PROJET],0),2),"")</f>
        <v>COMPLEXE RES. KONG AMENGT EXT P</v>
      </c>
    </row>
    <row r="338" spans="3:15" x14ac:dyDescent="0.2">
      <c r="C338" s="7">
        <v>46098</v>
      </c>
      <c r="D338" s="11" t="s">
        <v>832</v>
      </c>
      <c r="E338" s="32" t="s">
        <v>60</v>
      </c>
      <c r="F338" s="58" t="s">
        <v>138</v>
      </c>
      <c r="G338" s="2">
        <v>30</v>
      </c>
      <c r="H338" s="391">
        <v>600000</v>
      </c>
      <c r="I338" s="155">
        <v>600000</v>
      </c>
      <c r="J338" s="90">
        <f>+SUMIFS(Tableau6[MONTANT HT],Tableau6[CLIENT],Tableau2[[#This Row],[NOM CLIENT]],Tableau6[N° BC],Tableau2[[#This Row],[ID BC UNIQUE]])-SUMIFS(Tableau6[MONTANT HT],Tableau6[CLIENT],Tableau2[[#This Row],[NOM CLIENT]],Tableau6[N° BC],Tableau2[[#This Row],[ID BC UNIQUE]])</f>
        <v>0</v>
      </c>
      <c r="K338" s="90">
        <f>Tableau2[[#This Row],[MONTANT HT VALIDE]]-Tableau2[[#This Row],[MONTANT HT FACTURE]]</f>
        <v>600000</v>
      </c>
      <c r="L338" s="34">
        <f>+IFERROR(Tableau2[[#This Row],[MONTANT HT FACTURE]]/Tableau2[[#This Row],[MONTANT HT VALIDE]],0)</f>
        <v>0</v>
      </c>
      <c r="M33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38" t="str">
        <f>+IFERROR(INDEX(Tableau6[[ENTITE]:[N° BC]],MATCH(Tableau2[[#This Row],[ID BC UNIQUE]],Tableau6[N° BC],0),7),"")</f>
        <v>257B0109</v>
      </c>
      <c r="O338" t="str">
        <f>+IFERROR(INDEX(Tableau24[],MATCH(Tableau2[[#This Row],[CODE PROJET]],Tableau24[CODE PROJET],0),2),"")</f>
        <v>COMPLEXE RES. KONG AMENGT EXT P</v>
      </c>
    </row>
    <row r="339" spans="3:15" x14ac:dyDescent="0.2">
      <c r="C339" s="7">
        <v>45840</v>
      </c>
      <c r="D339" s="11" t="s">
        <v>838</v>
      </c>
      <c r="E339" s="32" t="s">
        <v>60</v>
      </c>
      <c r="F339" s="58" t="s">
        <v>138</v>
      </c>
      <c r="G339" s="2">
        <v>30</v>
      </c>
      <c r="H339" s="391">
        <v>11635009</v>
      </c>
      <c r="I339" s="391">
        <v>11635009</v>
      </c>
      <c r="J339" s="90">
        <f>+SUMIFS(Tableau6[MONTANT HT],Tableau6[CLIENT],Tableau2[[#This Row],[NOM CLIENT]],Tableau6[N° BC],Tableau2[[#This Row],[ID BC UNIQUE]])-SUMIFS(Tableau6[MONTANT HT],Tableau6[CLIENT],Tableau2[[#This Row],[NOM CLIENT]],Tableau6[N° BC],Tableau2[[#This Row],[ID BC UNIQUE]])</f>
        <v>0</v>
      </c>
      <c r="K339" s="90">
        <f>Tableau2[[#This Row],[MONTANT HT VALIDE]]-Tableau2[[#This Row],[MONTANT HT FACTURE]]</f>
        <v>11635009</v>
      </c>
      <c r="L339" s="34">
        <f>+IFERROR(Tableau2[[#This Row],[MONTANT HT FACTURE]]/Tableau2[[#This Row],[MONTANT HT VALIDE]],0)</f>
        <v>0</v>
      </c>
      <c r="M33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39" t="str">
        <f>+IFERROR(INDEX(Tableau6[[ENTITE]:[N° BC]],MATCH(Tableau2[[#This Row],[ID BC UNIQUE]],Tableau6[N° BC],0),7),"")</f>
        <v>011G4101</v>
      </c>
      <c r="O339" t="str">
        <f>+IFERROR(INDEX(Tableau24[],MATCH(Tableau2[[#This Row],[CODE PROJET]],Tableau24[CODE PROJET],0),2),"")</f>
        <v>ATELIER DABAKALA CHARGRES ACT LOC E</v>
      </c>
    </row>
    <row r="340" spans="3:15" x14ac:dyDescent="0.2">
      <c r="C340" s="7">
        <v>46077</v>
      </c>
      <c r="D340" s="11" t="s">
        <v>839</v>
      </c>
      <c r="E340" s="32" t="s">
        <v>60</v>
      </c>
      <c r="F340" s="58" t="s">
        <v>138</v>
      </c>
      <c r="G340" s="2">
        <v>30</v>
      </c>
      <c r="H340" s="391">
        <v>2880000</v>
      </c>
      <c r="I340" s="391">
        <v>2880000</v>
      </c>
      <c r="J340" s="90">
        <f>+SUMIFS(Tableau6[MONTANT HT],Tableau6[CLIENT],Tableau2[[#This Row],[NOM CLIENT]],Tableau6[N° BC],Tableau2[[#This Row],[ID BC UNIQUE]])-SUMIFS(Tableau6[MONTANT HT],Tableau6[CLIENT],Tableau2[[#This Row],[NOM CLIENT]],Tableau6[N° BC],Tableau2[[#This Row],[ID BC UNIQUE]])</f>
        <v>0</v>
      </c>
      <c r="K340" s="90">
        <f>Tableau2[[#This Row],[MONTANT HT VALIDE]]-Tableau2[[#This Row],[MONTANT HT FACTURE]]</f>
        <v>2880000</v>
      </c>
      <c r="L340" s="34">
        <f>+IFERROR(Tableau2[[#This Row],[MONTANT HT FACTURE]]/Tableau2[[#This Row],[MONTANT HT VALIDE]],0)</f>
        <v>0</v>
      </c>
      <c r="M340"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40" t="str">
        <f>+IFERROR(INDEX(Tableau6[[ENTITE]:[N° BC]],MATCH(Tableau2[[#This Row],[ID BC UNIQUE]],Tableau6[N° BC],0),7),"")</f>
        <v>444B1802</v>
      </c>
      <c r="O340" t="str">
        <f>+IFERROR(INDEX(Tableau24[],MATCH(Tableau2[[#This Row],[CODE PROJET]],Tableau24[CODE PROJET],0),2),"")</f>
        <v>UNIVERSITE D'ODIENNE DEBOURS CENT</v>
      </c>
    </row>
    <row r="341" spans="3:15" x14ac:dyDescent="0.2">
      <c r="C341" s="7">
        <v>46098</v>
      </c>
      <c r="D341" s="11" t="s">
        <v>836</v>
      </c>
      <c r="E341" s="32" t="s">
        <v>60</v>
      </c>
      <c r="F341" s="58" t="s">
        <v>138</v>
      </c>
      <c r="G341" s="2">
        <v>30</v>
      </c>
      <c r="H341" s="391">
        <v>1080000</v>
      </c>
      <c r="I341" s="391">
        <v>1080000</v>
      </c>
      <c r="J341" s="90">
        <f>+SUMIFS(Tableau6[MONTANT HT],Tableau6[CLIENT],Tableau2[[#This Row],[NOM CLIENT]],Tableau6[N° BC],Tableau2[[#This Row],[ID BC UNIQUE]])-SUMIFS(Tableau6[MONTANT HT],Tableau6[CLIENT],Tableau2[[#This Row],[NOM CLIENT]],Tableau6[N° BC],Tableau2[[#This Row],[ID BC UNIQUE]])</f>
        <v>0</v>
      </c>
      <c r="K341" s="90">
        <f>Tableau2[[#This Row],[MONTANT HT VALIDE]]-Tableau2[[#This Row],[MONTANT HT FACTURE]]</f>
        <v>1080000</v>
      </c>
      <c r="L341" s="34">
        <f>+IFERROR(Tableau2[[#This Row],[MONTANT HT FACTURE]]/Tableau2[[#This Row],[MONTANT HT VALIDE]],0)</f>
        <v>0</v>
      </c>
      <c r="M341"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41" t="str">
        <f>+IFERROR(INDEX(Tableau6[[ENTITE]:[N° BC]],MATCH(Tableau2[[#This Row],[ID BC UNIQUE]],Tableau6[N° BC],0),7),"")</f>
        <v>662RFC07</v>
      </c>
      <c r="O341" t="str">
        <f>+IFERROR(INDEX(Tableau24[],MATCH(Tableau2[[#This Row],[CODE PROJET]],Tableau24[CODE PROJET],0),2),"")</f>
        <v>ROUTE TEHNI-BOUNA FC-MATERIELS ET</v>
      </c>
    </row>
    <row r="342" spans="3:15" x14ac:dyDescent="0.2">
      <c r="C342" s="7">
        <v>46111</v>
      </c>
      <c r="D342" s="11" t="s">
        <v>844</v>
      </c>
      <c r="E342" s="32" t="s">
        <v>60</v>
      </c>
      <c r="F342" s="58" t="s">
        <v>138</v>
      </c>
      <c r="G342" s="2">
        <v>30</v>
      </c>
      <c r="H342" s="391">
        <v>2250000</v>
      </c>
      <c r="I342" s="391">
        <v>2250000</v>
      </c>
      <c r="J342" s="90">
        <f>+SUMIFS(Tableau6[MONTANT HT],Tableau6[CLIENT],Tableau2[[#This Row],[NOM CLIENT]],Tableau6[N° BC],Tableau2[[#This Row],[ID BC UNIQUE]])-SUMIFS(Tableau6[MONTANT HT],Tableau6[CLIENT],Tableau2[[#This Row],[NOM CLIENT]],Tableau6[N° BC],Tableau2[[#This Row],[ID BC UNIQUE]])</f>
        <v>0</v>
      </c>
      <c r="K342" s="90">
        <f>Tableau2[[#This Row],[MONTANT HT VALIDE]]-Tableau2[[#This Row],[MONTANT HT FACTURE]]</f>
        <v>2250000</v>
      </c>
      <c r="L342" s="34">
        <f>+IFERROR(Tableau2[[#This Row],[MONTANT HT FACTURE]]/Tableau2[[#This Row],[MONTANT HT VALIDE]],0)</f>
        <v>0</v>
      </c>
      <c r="M342"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42" t="str">
        <f>+IFERROR(INDEX(Tableau6[[ENTITE]:[N° BC]],MATCH(Tableau2[[#This Row],[ID BC UNIQUE]],Tableau6[N° BC],0),7),"")</f>
        <v>018G4101</v>
      </c>
      <c r="O342" t="str">
        <f>+IFERROR(INDEX(Tableau24[],MATCH(Tableau2[[#This Row],[CODE PROJET]],Tableau24[CODE PROJET],0),2),"")</f>
        <v>ATELIER KORHOGO SM LOCATION EXTERNES</v>
      </c>
    </row>
    <row r="343" spans="3:15" x14ac:dyDescent="0.2">
      <c r="C343" s="7">
        <v>46111</v>
      </c>
      <c r="D343" s="11" t="s">
        <v>845</v>
      </c>
      <c r="E343" s="32" t="s">
        <v>60</v>
      </c>
      <c r="F343" s="58" t="s">
        <v>138</v>
      </c>
      <c r="G343" s="2">
        <v>30</v>
      </c>
      <c r="H343" s="391">
        <v>12155000</v>
      </c>
      <c r="I343" s="391">
        <v>12155000</v>
      </c>
      <c r="J343" s="90">
        <f>+SUMIFS(Tableau6[MONTANT HT],Tableau6[CLIENT],Tableau2[[#This Row],[NOM CLIENT]],Tableau6[N° BC],Tableau2[[#This Row],[ID BC UNIQUE]])-SUMIFS(Tableau6[MONTANT HT],Tableau6[CLIENT],Tableau2[[#This Row],[NOM CLIENT]],Tableau6[N° BC],Tableau2[[#This Row],[ID BC UNIQUE]])</f>
        <v>0</v>
      </c>
      <c r="K343" s="90">
        <f>Tableau2[[#This Row],[MONTANT HT VALIDE]]-Tableau2[[#This Row],[MONTANT HT FACTURE]]</f>
        <v>12155000</v>
      </c>
      <c r="L343" s="34">
        <f>+IFERROR(Tableau2[[#This Row],[MONTANT HT FACTURE]]/Tableau2[[#This Row],[MONTANT HT VALIDE]],0)</f>
        <v>0</v>
      </c>
      <c r="M343"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43" t="str">
        <f>+IFERROR(INDEX(Tableau6[[ENTITE]:[N° BC]],MATCH(Tableau2[[#This Row],[ID BC UNIQUE]],Tableau6[N° BC],0),7),"")</f>
        <v>020G4101</v>
      </c>
      <c r="O343" t="str">
        <f>+IFERROR(INDEX(Tableau24[],MATCH(Tableau2[[#This Row],[CODE PROJET]],Tableau24[CODE PROJET],0),2),"")</f>
        <v>ATELIER TEHINI-BOUNA LOCATION EXTERNES PO</v>
      </c>
    </row>
    <row r="344" spans="3:15" x14ac:dyDescent="0.2">
      <c r="C344" s="7">
        <v>46111</v>
      </c>
      <c r="D344" s="11" t="s">
        <v>846</v>
      </c>
      <c r="E344" s="32" t="s">
        <v>60</v>
      </c>
      <c r="F344" s="58" t="s">
        <v>138</v>
      </c>
      <c r="G344" s="2">
        <v>30</v>
      </c>
      <c r="H344" s="391">
        <v>7500016</v>
      </c>
      <c r="I344" s="391">
        <v>7500016</v>
      </c>
      <c r="J344" s="90">
        <f>+SUMIFS(Tableau6[MONTANT HT],Tableau6[CLIENT],Tableau2[[#This Row],[NOM CLIENT]],Tableau6[N° BC],Tableau2[[#This Row],[ID BC UNIQUE]])-SUMIFS(Tableau6[MONTANT HT],Tableau6[CLIENT],Tableau2[[#This Row],[NOM CLIENT]],Tableau6[N° BC],Tableau2[[#This Row],[ID BC UNIQUE]])</f>
        <v>0</v>
      </c>
      <c r="K344" s="90">
        <f>Tableau2[[#This Row],[MONTANT HT VALIDE]]-Tableau2[[#This Row],[MONTANT HT FACTURE]]</f>
        <v>7500016</v>
      </c>
      <c r="L344" s="34">
        <f>+IFERROR(Tableau2[[#This Row],[MONTANT HT FACTURE]]/Tableau2[[#This Row],[MONTANT HT VALIDE]],0)</f>
        <v>0</v>
      </c>
      <c r="M344"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44" t="str">
        <f>+IFERROR(INDEX(Tableau6[[ENTITE]:[N° BC]],MATCH(Tableau2[[#This Row],[ID BC UNIQUE]],Tableau6[N° BC],0),7),"")</f>
        <v>015G4101</v>
      </c>
      <c r="O344" t="str">
        <f>+IFERROR(INDEX(Tableau24[],MATCH(Tableau2[[#This Row],[CODE PROJET]],Tableau24[CODE PROJET],0),2),"")</f>
        <v>ATELIER KONG CHARGE ACT LOCAT° EXT</v>
      </c>
    </row>
    <row r="345" spans="3:15" x14ac:dyDescent="0.2">
      <c r="C345" s="7">
        <v>46111</v>
      </c>
      <c r="D345" s="11" t="s">
        <v>847</v>
      </c>
      <c r="E345" s="32" t="s">
        <v>60</v>
      </c>
      <c r="F345" s="58" t="s">
        <v>138</v>
      </c>
      <c r="G345" s="2">
        <v>30</v>
      </c>
      <c r="H345" s="391">
        <v>6300000</v>
      </c>
      <c r="I345" s="391">
        <v>6300000</v>
      </c>
      <c r="J345" s="90">
        <f>+SUMIFS(Tableau6[MONTANT HT],Tableau6[CLIENT],Tableau2[[#This Row],[NOM CLIENT]],Tableau6[N° BC],Tableau2[[#This Row],[ID BC UNIQUE]])-SUMIFS(Tableau6[MONTANT HT],Tableau6[CLIENT],Tableau2[[#This Row],[NOM CLIENT]],Tableau6[N° BC],Tableau2[[#This Row],[ID BC UNIQUE]])</f>
        <v>0</v>
      </c>
      <c r="K345" s="90">
        <f>Tableau2[[#This Row],[MONTANT HT VALIDE]]-Tableau2[[#This Row],[MONTANT HT FACTURE]]</f>
        <v>6300000</v>
      </c>
      <c r="L345" s="34">
        <f>+IFERROR(Tableau2[[#This Row],[MONTANT HT FACTURE]]/Tableau2[[#This Row],[MONTANT HT VALIDE]],0)</f>
        <v>0</v>
      </c>
      <c r="M345"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EN ATTENTE</v>
      </c>
      <c r="N345" t="str">
        <f>+IFERROR(INDEX(Tableau6[[ENTITE]:[N° BC]],MATCH(Tableau2[[#This Row],[ID BC UNIQUE]],Tableau6[N° BC],0),7),"")</f>
        <v>015G4101</v>
      </c>
      <c r="O345" t="str">
        <f>+IFERROR(INDEX(Tableau24[],MATCH(Tableau2[[#This Row],[CODE PROJET]],Tableau24[CODE PROJET],0),2),"")</f>
        <v>ATELIER KONG CHARGE ACT LOCAT° EXT</v>
      </c>
    </row>
    <row r="346" spans="3:15" x14ac:dyDescent="0.2">
      <c r="C346" s="7"/>
      <c r="D346" s="11"/>
      <c r="E346" s="32"/>
      <c r="F346" s="58"/>
      <c r="G346" s="2"/>
      <c r="H346" s="391"/>
      <c r="I346" s="391"/>
      <c r="J346" s="90">
        <f>+SUMIFS(Tableau6[MONTANT HT],Tableau6[CLIENT],Tableau2[[#This Row],[NOM CLIENT]],Tableau6[N° BC],Tableau2[[#This Row],[ID BC UNIQUE]])-SUMIFS(Tableau6[MONTANT HT],Tableau6[CLIENT],Tableau2[[#This Row],[NOM CLIENT]],Tableau6[N° BC],Tableau2[[#This Row],[ID BC UNIQUE]])</f>
        <v>0</v>
      </c>
      <c r="K346" s="90">
        <f>Tableau2[[#This Row],[MONTANT HT VALIDE]]-Tableau2[[#This Row],[MONTANT HT FACTURE]]</f>
        <v>0</v>
      </c>
      <c r="L346" s="34">
        <f>+IFERROR(Tableau2[[#This Row],[MONTANT HT FACTURE]]/Tableau2[[#This Row],[MONTANT HT VALIDE]],0)</f>
        <v>0</v>
      </c>
      <c r="M346"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
      </c>
      <c r="N346" t="str">
        <f>+IFERROR(INDEX(Tableau6[[ENTITE]:[N° BC]],MATCH(Tableau2[[#This Row],[ID BC UNIQUE]],Tableau6[N° BC],0),7),"")</f>
        <v/>
      </c>
      <c r="O346" t="str">
        <f>+IFERROR(INDEX(Tableau24[],MATCH(Tableau2[[#This Row],[CODE PROJET]],Tableau24[CODE PROJET],0),2),"")</f>
        <v/>
      </c>
    </row>
    <row r="347" spans="3:15" x14ac:dyDescent="0.2">
      <c r="C347" s="7"/>
      <c r="D347" s="11"/>
      <c r="E347" s="32"/>
      <c r="F347" s="58"/>
      <c r="G347" s="2"/>
      <c r="H347" s="391"/>
      <c r="I347" s="391"/>
      <c r="J347" s="90">
        <f>+SUMIFS(Tableau6[MONTANT HT],Tableau6[CLIENT],Tableau2[[#This Row],[NOM CLIENT]],Tableau6[N° BC],Tableau2[[#This Row],[ID BC UNIQUE]])-SUMIFS(Tableau6[MONTANT HT],Tableau6[CLIENT],Tableau2[[#This Row],[NOM CLIENT]],Tableau6[N° BC],Tableau2[[#This Row],[ID BC UNIQUE]])</f>
        <v>0</v>
      </c>
      <c r="K347" s="90">
        <f>Tableau2[[#This Row],[MONTANT HT VALIDE]]-Tableau2[[#This Row],[MONTANT HT FACTURE]]</f>
        <v>0</v>
      </c>
      <c r="L347" s="34">
        <f>+IFERROR(Tableau2[[#This Row],[MONTANT HT FACTURE]]/Tableau2[[#This Row],[MONTANT HT VALIDE]],0)</f>
        <v>0</v>
      </c>
      <c r="M347"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
      </c>
      <c r="N347" t="str">
        <f>+IFERROR(INDEX(Tableau6[[ENTITE]:[N° BC]],MATCH(Tableau2[[#This Row],[ID BC UNIQUE]],Tableau6[N° BC],0),7),"")</f>
        <v/>
      </c>
      <c r="O347" t="str">
        <f>+IFERROR(INDEX(Tableau24[],MATCH(Tableau2[[#This Row],[CODE PROJET]],Tableau24[CODE PROJET],0),2),"")</f>
        <v/>
      </c>
    </row>
    <row r="348" spans="3:15" x14ac:dyDescent="0.2">
      <c r="C348" s="7"/>
      <c r="D348" s="11"/>
      <c r="E348" s="32"/>
      <c r="F348" s="58"/>
      <c r="G348" s="2"/>
      <c r="H348" s="391"/>
      <c r="I348" s="391"/>
      <c r="J348" s="90">
        <f>+SUMIFS(Tableau6[MONTANT HT],Tableau6[CLIENT],Tableau2[[#This Row],[NOM CLIENT]],Tableau6[N° BC],Tableau2[[#This Row],[ID BC UNIQUE]])-SUMIFS(Tableau6[MONTANT HT],Tableau6[CLIENT],Tableau2[[#This Row],[NOM CLIENT]],Tableau6[N° BC],Tableau2[[#This Row],[ID BC UNIQUE]])</f>
        <v>0</v>
      </c>
      <c r="K348" s="90">
        <f>Tableau2[[#This Row],[MONTANT HT VALIDE]]-Tableau2[[#This Row],[MONTANT HT FACTURE]]</f>
        <v>0</v>
      </c>
      <c r="L348" s="34">
        <f>+IFERROR(Tableau2[[#This Row],[MONTANT HT FACTURE]]/Tableau2[[#This Row],[MONTANT HT VALIDE]],0)</f>
        <v>0</v>
      </c>
      <c r="M348"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
      </c>
      <c r="N348" t="str">
        <f>+IFERROR(INDEX(Tableau6[[ENTITE]:[N° BC]],MATCH(Tableau2[[#This Row],[ID BC UNIQUE]],Tableau6[N° BC],0),7),"")</f>
        <v/>
      </c>
      <c r="O348" t="str">
        <f>+IFERROR(INDEX(Tableau24[],MATCH(Tableau2[[#This Row],[CODE PROJET]],Tableau24[CODE PROJET],0),2),"")</f>
        <v/>
      </c>
    </row>
    <row r="349" spans="3:15" x14ac:dyDescent="0.2">
      <c r="C349" s="7"/>
      <c r="D349" s="11"/>
      <c r="E349" s="32"/>
      <c r="F349" s="58"/>
      <c r="G349" s="2"/>
      <c r="H349" s="391"/>
      <c r="I349" s="155"/>
      <c r="J349" s="90">
        <f>+SUMIFS(Tableau6[MONTANT HT],Tableau6[CLIENT],Tableau2[[#This Row],[NOM CLIENT]],Tableau6[N° BC],Tableau2[[#This Row],[ID BC UNIQUE]])-SUMIFS(Tableau6[MONTANT HT],Tableau6[CLIENT],Tableau2[[#This Row],[NOM CLIENT]],Tableau6[N° BC],Tableau2[[#This Row],[ID BC UNIQUE]])</f>
        <v>0</v>
      </c>
      <c r="K349" s="90">
        <f>Tableau2[[#This Row],[MONTANT HT VALIDE]]-Tableau2[[#This Row],[MONTANT HT FACTURE]]</f>
        <v>0</v>
      </c>
      <c r="L349" s="34">
        <f>+IFERROR(Tableau2[[#This Row],[MONTANT HT FACTURE]]/Tableau2[[#This Row],[MONTANT HT VALIDE]],0)</f>
        <v>0</v>
      </c>
      <c r="M349" t="str">
        <f>IF(Tableau2[[#This Row],[MONTANT HT VALIDE]]="","",IF(AND(Tableau2[[#This Row],[TAUX D''EXECUTION]]=0%,Tableau2[[#This Row],[MONTANT HT VALIDE]]=0),"BON DE COMMANDE NON PARVENUE",IF(AND(Tableau2[[#This Row],[TAUX D''EXECUTION]]&gt;0%,Tableau2[[#This Row],[TAUX D''EXECUTION]]&lt;100%),"EN COURS",IF(Tableau2[[#This Row],[TAUX D''EXECUTION]]=100%,"TERMINEE",IF(Tableau2[[#This Row],[TAUX D''EXECUTION]]=0%,"EN ATTENTE","DEPASSEMENT")))))</f>
        <v/>
      </c>
      <c r="N349" t="str">
        <f>+IFERROR(INDEX(Tableau6[[ENTITE]:[N° BC]],MATCH(Tableau2[[#This Row],[ID BC UNIQUE]],Tableau6[N° BC],0),7),"")</f>
        <v/>
      </c>
      <c r="O349" t="str">
        <f>+IFERROR(INDEX(Tableau24[],MATCH(Tableau2[[#This Row],[CODE PROJET]],Tableau24[CODE PROJET],0),2),"")</f>
        <v/>
      </c>
    </row>
    <row r="350" spans="3:15" x14ac:dyDescent="0.2">
      <c r="C350" t="s">
        <v>2</v>
      </c>
      <c r="D350" s="17"/>
      <c r="E350" s="17"/>
      <c r="F350" s="99" t="str" cm="1">
        <f t="array" aca="1" ref="F350" ca="1">IFERROR(SUMPRODUCT(SUBTOTAL(3,OFFSET(Tableau2[[#Headers],[NOM CLIENT]],ROW(INDIRECT("1:"&amp;ROWS(Tableau2[NOM CLIENT]))),))*(1/COUNTIF(Tableau2[NOM CLIENT],Tableau2[NOM CLIENT]))),"")</f>
        <v/>
      </c>
      <c r="G350" s="17"/>
      <c r="H350" s="59">
        <f>SUBTOTAL(109,Tableau2[MONTANT HT INITIAL])</f>
        <v>2185363655.8474574</v>
      </c>
      <c r="I350" s="4">
        <f>SUBTOTAL(109,Tableau2[MONTANT HT VALIDE])</f>
        <v>2185363655.8474574</v>
      </c>
      <c r="J350" s="19">
        <f>SUBTOTAL(109,Tableau2[MONTANT HT FACTURE])</f>
        <v>0</v>
      </c>
      <c r="K350" s="19">
        <f>SUBTOTAL(109,Tableau2[RESTE A FACTURER])</f>
        <v>2185363655.8474574</v>
      </c>
    </row>
    <row r="351" spans="3:15" x14ac:dyDescent="0.2">
      <c r="E351" s="36"/>
    </row>
    <row r="352" spans="3:15" x14ac:dyDescent="0.2">
      <c r="E352" s="57"/>
    </row>
    <row r="353" spans="5:5" x14ac:dyDescent="0.2">
      <c r="E353" s="57"/>
    </row>
    <row r="376" spans="5:6" x14ac:dyDescent="0.2">
      <c r="E376"/>
    </row>
    <row r="377" spans="5:6" x14ac:dyDescent="0.2">
      <c r="E377"/>
    </row>
    <row r="378" spans="5:6" x14ac:dyDescent="0.2">
      <c r="E378"/>
    </row>
    <row r="379" spans="5:6" x14ac:dyDescent="0.2">
      <c r="E379"/>
    </row>
    <row r="380" spans="5:6" x14ac:dyDescent="0.2">
      <c r="E380"/>
    </row>
    <row r="381" spans="5:6" x14ac:dyDescent="0.2">
      <c r="E381"/>
    </row>
    <row r="382" spans="5:6" x14ac:dyDescent="0.2">
      <c r="E382"/>
    </row>
    <row r="383" spans="5:6" x14ac:dyDescent="0.2">
      <c r="E383"/>
      <c r="F383"/>
    </row>
    <row r="384" spans="5:6" x14ac:dyDescent="0.2">
      <c r="E384"/>
      <c r="F384"/>
    </row>
    <row r="385" spans="5:6" x14ac:dyDescent="0.2">
      <c r="E385"/>
      <c r="F385"/>
    </row>
    <row r="386" spans="5:6" x14ac:dyDescent="0.2">
      <c r="E386"/>
      <c r="F386"/>
    </row>
    <row r="387" spans="5:6" x14ac:dyDescent="0.2">
      <c r="E387"/>
      <c r="F387"/>
    </row>
    <row r="388" spans="5:6" x14ac:dyDescent="0.2">
      <c r="E388"/>
      <c r="F388"/>
    </row>
    <row r="389" spans="5:6" x14ac:dyDescent="0.2">
      <c r="E389"/>
      <c r="F389"/>
    </row>
    <row r="390" spans="5:6" x14ac:dyDescent="0.2">
      <c r="E390"/>
      <c r="F390"/>
    </row>
    <row r="391" spans="5:6" x14ac:dyDescent="0.2">
      <c r="E391"/>
      <c r="F391"/>
    </row>
    <row r="392" spans="5:6" x14ac:dyDescent="0.2">
      <c r="E392"/>
      <c r="F392"/>
    </row>
    <row r="393" spans="5:6" x14ac:dyDescent="0.2">
      <c r="E393"/>
      <c r="F393"/>
    </row>
    <row r="394" spans="5:6" x14ac:dyDescent="0.2">
      <c r="E394"/>
      <c r="F394"/>
    </row>
    <row r="395" spans="5:6" x14ac:dyDescent="0.2">
      <c r="E395"/>
      <c r="F395"/>
    </row>
    <row r="396" spans="5:6" x14ac:dyDescent="0.2">
      <c r="E396"/>
      <c r="F396"/>
    </row>
    <row r="397" spans="5:6" x14ac:dyDescent="0.2">
      <c r="E397"/>
      <c r="F397"/>
    </row>
    <row r="398" spans="5:6" x14ac:dyDescent="0.2">
      <c r="E398"/>
      <c r="F398"/>
    </row>
    <row r="399" spans="5:6" x14ac:dyDescent="0.2">
      <c r="E399"/>
      <c r="F399"/>
    </row>
    <row r="400" spans="5:6" x14ac:dyDescent="0.2">
      <c r="E400"/>
      <c r="F400"/>
    </row>
    <row r="401" spans="5:6" x14ac:dyDescent="0.2">
      <c r="E401"/>
      <c r="F401"/>
    </row>
    <row r="402" spans="5:6" x14ac:dyDescent="0.2">
      <c r="E402"/>
      <c r="F402"/>
    </row>
  </sheetData>
  <phoneticPr fontId="9" type="noConversion"/>
  <conditionalFormatting sqref="B6:O349">
    <cfRule type="expression" dxfId="9" priority="535">
      <formula>$M6="BON DE COMMANDE NON PARVENUE"</formula>
    </cfRule>
    <cfRule type="expression" dxfId="8" priority="536">
      <formula>AND($L6&gt;0%,$L6&lt;100%)</formula>
    </cfRule>
    <cfRule type="expression" dxfId="7" priority="537">
      <formula>$L6=100%</formula>
    </cfRule>
    <cfRule type="expression" dxfId="6" priority="538">
      <formula>$L6&gt;100%</formula>
    </cfRule>
  </conditionalFormatting>
  <conditionalFormatting sqref="D6:D349">
    <cfRule type="duplicateValues" dxfId="5" priority="546"/>
  </conditionalFormatting>
  <dataValidations count="4">
    <dataValidation type="list" allowBlank="1" showInputMessage="1" showErrorMessage="1" sqref="G351:G1048576" xr:uid="{00000000-0002-0000-0700-000000000000}">
      <formula1>Nom_TClient</formula1>
    </dataValidation>
    <dataValidation type="list" allowBlank="1" showInputMessage="1" showErrorMessage="1" sqref="B6:B349" xr:uid="{00000000-0002-0000-0700-000001000000}">
      <formula1>ENTITE</formula1>
    </dataValidation>
    <dataValidation type="list" allowBlank="1" showInputMessage="1" showErrorMessage="1" sqref="E6:E349" xr:uid="{00000000-0002-0000-0700-000002000000}">
      <formula1>"ENTREPRISE,PARTICULIER"</formula1>
    </dataValidation>
    <dataValidation type="list" allowBlank="1" showInputMessage="1" showErrorMessage="1" sqref="F6:F349" xr:uid="{CB294946-7384-457A-89DD-3E068FC0F7B7}">
      <formula1>NOM_CLIENT</formula1>
    </dataValidation>
  </dataValidations>
  <printOptions horizontalCentered="1"/>
  <pageMargins left="0.70866141732283472" right="0.70866141732283472" top="0.74803149606299213" bottom="0.74803149606299213" header="0.31496062992125984" footer="0.31496062992125984"/>
  <pageSetup paperSize="9" fitToWidth="0" fitToHeight="0" orientation="portrait" horizontalDpi="300" verticalDpi="300" r:id="rId1"/>
  <headerFooter>
    <oddHeader>&amp;LSIM GROUP</oddHeader>
    <oddFooter>&amp;CSERVICE COMPTABILITE</oddFooter>
  </headerFooter>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9AD13-962F-4138-B9EC-8A25F5E7C9B5}">
  <sheetPr>
    <tabColor theme="6" tint="0.79998168889431442"/>
  </sheetPr>
  <dimension ref="B1:L355"/>
  <sheetViews>
    <sheetView workbookViewId="0">
      <selection activeCell="F24" sqref="F24"/>
    </sheetView>
  </sheetViews>
  <sheetFormatPr baseColWidth="10" defaultRowHeight="10.199999999999999" outlineLevelCol="1" x14ac:dyDescent="0.2"/>
  <cols>
    <col min="1" max="1" width="3.625" customWidth="1"/>
    <col min="2" max="2" width="13" customWidth="1"/>
    <col min="3" max="3" width="15.875" bestFit="1" customWidth="1"/>
    <col min="4" max="4" width="13.5" style="6" bestFit="1" customWidth="1"/>
    <col min="5" max="5" width="16.125" bestFit="1" customWidth="1"/>
    <col min="6" max="6" width="22.625" style="4" bestFit="1" customWidth="1"/>
    <col min="7" max="7" width="22.75" style="487" customWidth="1" outlineLevel="1"/>
    <col min="8" max="8" width="15.75" bestFit="1" customWidth="1"/>
    <col min="9" max="9" width="70.75" bestFit="1" customWidth="1"/>
    <col min="10" max="10" width="52" bestFit="1" customWidth="1"/>
    <col min="12" max="12" width="12.125" bestFit="1" customWidth="1"/>
  </cols>
  <sheetData>
    <row r="1" spans="2:9" x14ac:dyDescent="0.2">
      <c r="G1"/>
    </row>
    <row r="2" spans="2:9" x14ac:dyDescent="0.2">
      <c r="G2"/>
    </row>
    <row r="3" spans="2:9" ht="16.5" customHeight="1" x14ac:dyDescent="0.2">
      <c r="B3" s="31"/>
      <c r="C3" s="31"/>
      <c r="D3" s="31"/>
      <c r="E3" s="31"/>
      <c r="F3" s="31"/>
      <c r="G3" s="31"/>
      <c r="H3" s="31"/>
      <c r="I3" s="31"/>
    </row>
    <row r="4" spans="2:9" x14ac:dyDescent="0.2">
      <c r="F4"/>
      <c r="G4"/>
    </row>
    <row r="5" spans="2:9" s="42" customFormat="1" x14ac:dyDescent="0.2">
      <c r="B5" s="37" t="s">
        <v>18</v>
      </c>
      <c r="C5" s="38" t="s">
        <v>0</v>
      </c>
      <c r="D5" s="485" t="s">
        <v>801</v>
      </c>
      <c r="E5" s="38" t="s">
        <v>79</v>
      </c>
      <c r="F5" s="39" t="s">
        <v>19</v>
      </c>
      <c r="G5" s="41" t="s">
        <v>27</v>
      </c>
      <c r="H5" s="41" t="s">
        <v>744</v>
      </c>
      <c r="I5" s="41" t="s">
        <v>802</v>
      </c>
    </row>
    <row r="6" spans="2:9" x14ac:dyDescent="0.2">
      <c r="B6" s="7">
        <v>45935</v>
      </c>
      <c r="C6" s="11" t="s">
        <v>267</v>
      </c>
      <c r="D6" s="390">
        <v>111</v>
      </c>
      <c r="E6" s="11" t="s">
        <v>267</v>
      </c>
      <c r="F6" s="54" t="s">
        <v>138</v>
      </c>
      <c r="G6" s="486">
        <v>1840000</v>
      </c>
      <c r="H6" t="s">
        <v>182</v>
      </c>
      <c r="I6" t="s">
        <v>785</v>
      </c>
    </row>
    <row r="7" spans="2:9" x14ac:dyDescent="0.2">
      <c r="B7" s="7">
        <v>45940</v>
      </c>
      <c r="C7" s="11" t="s">
        <v>253</v>
      </c>
      <c r="D7" s="390">
        <v>102</v>
      </c>
      <c r="E7" s="11" t="s">
        <v>253</v>
      </c>
      <c r="F7" s="54" t="s">
        <v>138</v>
      </c>
      <c r="G7" s="486">
        <v>7195000</v>
      </c>
      <c r="H7" t="s">
        <v>182</v>
      </c>
      <c r="I7" t="s">
        <v>785</v>
      </c>
    </row>
    <row r="8" spans="2:9" x14ac:dyDescent="0.2">
      <c r="B8" s="7">
        <v>45982</v>
      </c>
      <c r="C8" s="32" t="s">
        <v>310</v>
      </c>
      <c r="D8" s="390">
        <v>127</v>
      </c>
      <c r="E8" s="32" t="s">
        <v>310</v>
      </c>
      <c r="F8" s="54" t="s">
        <v>138</v>
      </c>
      <c r="G8" s="486">
        <v>3220000</v>
      </c>
      <c r="H8" t="s">
        <v>182</v>
      </c>
      <c r="I8" t="s">
        <v>785</v>
      </c>
    </row>
    <row r="9" spans="2:9" x14ac:dyDescent="0.2">
      <c r="B9" s="7">
        <v>45983</v>
      </c>
      <c r="C9" s="32" t="s">
        <v>312</v>
      </c>
      <c r="D9" s="390">
        <v>133</v>
      </c>
      <c r="E9" s="32" t="s">
        <v>312</v>
      </c>
      <c r="F9" s="54" t="s">
        <v>138</v>
      </c>
      <c r="G9" s="486">
        <v>3700000</v>
      </c>
      <c r="H9" t="s">
        <v>182</v>
      </c>
      <c r="I9" t="s">
        <v>785</v>
      </c>
    </row>
    <row r="10" spans="2:9" x14ac:dyDescent="0.2">
      <c r="B10" s="7">
        <v>45985</v>
      </c>
      <c r="C10" s="32" t="s">
        <v>316</v>
      </c>
      <c r="D10" s="390">
        <v>137</v>
      </c>
      <c r="E10" s="32" t="s">
        <v>316</v>
      </c>
      <c r="F10" s="54" t="s">
        <v>138</v>
      </c>
      <c r="G10" s="486">
        <v>2000000</v>
      </c>
      <c r="H10" t="s">
        <v>182</v>
      </c>
      <c r="I10" t="s">
        <v>785</v>
      </c>
    </row>
    <row r="11" spans="2:9" x14ac:dyDescent="0.2">
      <c r="B11" s="7">
        <v>45985</v>
      </c>
      <c r="C11" s="32" t="s">
        <v>317</v>
      </c>
      <c r="D11" s="390">
        <v>138</v>
      </c>
      <c r="E11" s="32" t="s">
        <v>317</v>
      </c>
      <c r="F11" s="54" t="s">
        <v>138</v>
      </c>
      <c r="G11" s="486">
        <v>1080000</v>
      </c>
      <c r="H11" t="s">
        <v>182</v>
      </c>
      <c r="I11" t="s">
        <v>785</v>
      </c>
    </row>
    <row r="12" spans="2:9" x14ac:dyDescent="0.2">
      <c r="B12" s="7">
        <v>46013</v>
      </c>
      <c r="C12" s="149" t="s">
        <v>379</v>
      </c>
      <c r="D12" s="390">
        <v>25000000015</v>
      </c>
      <c r="E12" s="149" t="s">
        <v>379</v>
      </c>
      <c r="F12" s="54" t="s">
        <v>138</v>
      </c>
      <c r="G12" s="486">
        <v>3010000</v>
      </c>
      <c r="H12" t="s">
        <v>182</v>
      </c>
      <c r="I12" t="s">
        <v>785</v>
      </c>
    </row>
    <row r="13" spans="2:9" x14ac:dyDescent="0.2">
      <c r="B13" s="7">
        <v>45770</v>
      </c>
      <c r="C13" s="11" t="s">
        <v>544</v>
      </c>
      <c r="D13" s="390">
        <v>384</v>
      </c>
      <c r="E13" s="11" t="s">
        <v>544</v>
      </c>
      <c r="F13" s="54" t="s">
        <v>138</v>
      </c>
      <c r="G13" s="391">
        <v>1360000</v>
      </c>
      <c r="H13" t="s">
        <v>182</v>
      </c>
      <c r="I13" t="s">
        <v>785</v>
      </c>
    </row>
    <row r="14" spans="2:9" x14ac:dyDescent="0.2">
      <c r="B14" s="7">
        <v>45770</v>
      </c>
      <c r="C14" s="11" t="s">
        <v>547</v>
      </c>
      <c r="D14" s="390">
        <v>387</v>
      </c>
      <c r="E14" s="11" t="s">
        <v>547</v>
      </c>
      <c r="F14" s="54" t="s">
        <v>138</v>
      </c>
      <c r="G14" s="391">
        <v>690000</v>
      </c>
      <c r="H14" t="s">
        <v>182</v>
      </c>
      <c r="I14" t="s">
        <v>785</v>
      </c>
    </row>
    <row r="15" spans="2:9" x14ac:dyDescent="0.2">
      <c r="B15" s="7">
        <v>45771</v>
      </c>
      <c r="C15" s="11" t="s">
        <v>548</v>
      </c>
      <c r="D15" s="390">
        <v>388</v>
      </c>
      <c r="E15" s="11" t="s">
        <v>548</v>
      </c>
      <c r="F15" s="54" t="s">
        <v>138</v>
      </c>
      <c r="G15" s="391">
        <v>7145000</v>
      </c>
      <c r="H15" t="s">
        <v>182</v>
      </c>
      <c r="I15" t="s">
        <v>785</v>
      </c>
    </row>
    <row r="16" spans="2:9" x14ac:dyDescent="0.2">
      <c r="B16" s="7">
        <v>45796</v>
      </c>
      <c r="C16" s="11" t="s">
        <v>566</v>
      </c>
      <c r="D16" s="390">
        <v>10</v>
      </c>
      <c r="E16" s="11" t="s">
        <v>566</v>
      </c>
      <c r="F16" s="54" t="s">
        <v>138</v>
      </c>
      <c r="G16" s="391">
        <v>3145000</v>
      </c>
      <c r="H16" t="s">
        <v>182</v>
      </c>
      <c r="I16" t="s">
        <v>785</v>
      </c>
    </row>
    <row r="17" spans="2:9" x14ac:dyDescent="0.2">
      <c r="B17" s="7">
        <v>45796</v>
      </c>
      <c r="C17" s="11" t="s">
        <v>567</v>
      </c>
      <c r="D17" s="390">
        <v>11</v>
      </c>
      <c r="E17" s="11" t="s">
        <v>567</v>
      </c>
      <c r="F17" s="54" t="s">
        <v>138</v>
      </c>
      <c r="G17" s="391">
        <v>1250000</v>
      </c>
      <c r="H17" t="s">
        <v>182</v>
      </c>
      <c r="I17" t="s">
        <v>785</v>
      </c>
    </row>
    <row r="18" spans="2:9" x14ac:dyDescent="0.2">
      <c r="B18" s="7">
        <v>45796</v>
      </c>
      <c r="C18" s="11" t="s">
        <v>568</v>
      </c>
      <c r="D18" s="390">
        <v>12</v>
      </c>
      <c r="E18" s="11" t="s">
        <v>568</v>
      </c>
      <c r="F18" s="54" t="s">
        <v>138</v>
      </c>
      <c r="G18" s="391">
        <v>578000</v>
      </c>
      <c r="H18" t="s">
        <v>182</v>
      </c>
      <c r="I18" t="s">
        <v>785</v>
      </c>
    </row>
    <row r="19" spans="2:9" x14ac:dyDescent="0.2">
      <c r="B19" s="7">
        <v>45798</v>
      </c>
      <c r="C19" s="11" t="s">
        <v>576</v>
      </c>
      <c r="D19" s="390">
        <v>19</v>
      </c>
      <c r="E19" s="11" t="s">
        <v>576</v>
      </c>
      <c r="F19" s="54" t="s">
        <v>138</v>
      </c>
      <c r="G19" s="391">
        <v>2500000</v>
      </c>
      <c r="H19" t="s">
        <v>182</v>
      </c>
      <c r="I19" t="s">
        <v>785</v>
      </c>
    </row>
    <row r="20" spans="2:9" x14ac:dyDescent="0.2">
      <c r="B20" s="7">
        <v>45832</v>
      </c>
      <c r="C20" s="11" t="s">
        <v>593</v>
      </c>
      <c r="D20" s="390">
        <v>45</v>
      </c>
      <c r="E20" s="11" t="s">
        <v>593</v>
      </c>
      <c r="F20" s="54" t="s">
        <v>138</v>
      </c>
      <c r="G20" s="391">
        <v>1125000</v>
      </c>
      <c r="H20" t="s">
        <v>182</v>
      </c>
      <c r="I20" t="s">
        <v>785</v>
      </c>
    </row>
    <row r="21" spans="2:9" x14ac:dyDescent="0.2">
      <c r="B21" s="7">
        <v>45833</v>
      </c>
      <c r="C21" s="11" t="s">
        <v>594</v>
      </c>
      <c r="D21" s="390">
        <v>46</v>
      </c>
      <c r="E21" s="11" t="s">
        <v>594</v>
      </c>
      <c r="F21" s="54" t="s">
        <v>138</v>
      </c>
      <c r="G21" s="391">
        <v>1990994.9152542374</v>
      </c>
      <c r="H21" t="s">
        <v>182</v>
      </c>
      <c r="I21" t="s">
        <v>785</v>
      </c>
    </row>
    <row r="22" spans="2:9" x14ac:dyDescent="0.2">
      <c r="B22" s="7">
        <v>45853</v>
      </c>
      <c r="C22" s="11" t="s">
        <v>600</v>
      </c>
      <c r="D22" s="390">
        <v>52</v>
      </c>
      <c r="E22" s="11" t="s">
        <v>600</v>
      </c>
      <c r="F22" s="54" t="s">
        <v>138</v>
      </c>
      <c r="G22" s="391">
        <v>1340000</v>
      </c>
      <c r="H22" t="s">
        <v>182</v>
      </c>
      <c r="I22" t="s">
        <v>785</v>
      </c>
    </row>
    <row r="23" spans="2:9" x14ac:dyDescent="0.2">
      <c r="B23" s="7">
        <v>45856</v>
      </c>
      <c r="C23" s="11" t="s">
        <v>602</v>
      </c>
      <c r="D23" s="390">
        <v>54</v>
      </c>
      <c r="E23" s="11" t="s">
        <v>602</v>
      </c>
      <c r="F23" s="54" t="s">
        <v>138</v>
      </c>
      <c r="G23" s="391">
        <v>210000</v>
      </c>
      <c r="H23" t="s">
        <v>182</v>
      </c>
      <c r="I23" t="s">
        <v>785</v>
      </c>
    </row>
    <row r="24" spans="2:9" x14ac:dyDescent="0.2">
      <c r="B24" s="7">
        <v>45853</v>
      </c>
      <c r="C24" s="11" t="s">
        <v>604</v>
      </c>
      <c r="D24" s="390">
        <v>57</v>
      </c>
      <c r="E24" s="11" t="s">
        <v>604</v>
      </c>
      <c r="F24" s="54" t="s">
        <v>138</v>
      </c>
      <c r="G24" s="391">
        <v>6490000</v>
      </c>
      <c r="H24" t="s">
        <v>182</v>
      </c>
      <c r="I24" t="s">
        <v>785</v>
      </c>
    </row>
    <row r="25" spans="2:9" x14ac:dyDescent="0.2">
      <c r="B25" s="7">
        <v>45907</v>
      </c>
      <c r="C25" s="11" t="s">
        <v>621</v>
      </c>
      <c r="D25" s="390">
        <v>81</v>
      </c>
      <c r="E25" s="11" t="s">
        <v>621</v>
      </c>
      <c r="F25" s="54" t="s">
        <v>138</v>
      </c>
      <c r="G25" s="391">
        <v>2000000</v>
      </c>
      <c r="H25" t="s">
        <v>182</v>
      </c>
      <c r="I25" t="s">
        <v>785</v>
      </c>
    </row>
    <row r="26" spans="2:9" x14ac:dyDescent="0.2">
      <c r="B26" s="7">
        <v>45912</v>
      </c>
      <c r="C26" s="11" t="s">
        <v>625</v>
      </c>
      <c r="D26" s="390">
        <v>85</v>
      </c>
      <c r="E26" s="11" t="s">
        <v>625</v>
      </c>
      <c r="F26" s="54" t="s">
        <v>138</v>
      </c>
      <c r="G26" s="391">
        <v>9200779.6610169504</v>
      </c>
      <c r="H26" t="s">
        <v>182</v>
      </c>
      <c r="I26" t="s">
        <v>785</v>
      </c>
    </row>
    <row r="27" spans="2:9" x14ac:dyDescent="0.2">
      <c r="B27" s="7">
        <v>46030</v>
      </c>
      <c r="C27" s="11" t="s">
        <v>701</v>
      </c>
      <c r="D27" s="390">
        <v>26000000014</v>
      </c>
      <c r="E27" s="11" t="s">
        <v>701</v>
      </c>
      <c r="F27" s="54" t="s">
        <v>138</v>
      </c>
      <c r="G27" s="391">
        <v>506000</v>
      </c>
      <c r="H27" t="s">
        <v>182</v>
      </c>
      <c r="I27" t="s">
        <v>785</v>
      </c>
    </row>
    <row r="28" spans="2:9" x14ac:dyDescent="0.2">
      <c r="B28" s="7">
        <v>45981</v>
      </c>
      <c r="C28" s="32" t="s">
        <v>359</v>
      </c>
      <c r="D28" s="390">
        <v>25000000001</v>
      </c>
      <c r="E28" s="32" t="s">
        <v>359</v>
      </c>
      <c r="F28" s="54" t="s">
        <v>138</v>
      </c>
      <c r="G28" s="486">
        <v>2520000</v>
      </c>
      <c r="H28" t="s">
        <v>188</v>
      </c>
      <c r="I28" t="s">
        <v>781</v>
      </c>
    </row>
    <row r="29" spans="2:9" x14ac:dyDescent="0.2">
      <c r="B29" s="7">
        <v>45983</v>
      </c>
      <c r="C29" s="11" t="s">
        <v>399</v>
      </c>
      <c r="D29" s="390">
        <v>26000000011</v>
      </c>
      <c r="E29" s="11" t="s">
        <v>399</v>
      </c>
      <c r="F29" s="54" t="s">
        <v>138</v>
      </c>
      <c r="G29" s="486">
        <v>1980000</v>
      </c>
      <c r="H29" t="s">
        <v>188</v>
      </c>
      <c r="I29" t="s">
        <v>781</v>
      </c>
    </row>
    <row r="30" spans="2:9" x14ac:dyDescent="0.2">
      <c r="B30" s="7">
        <v>46006</v>
      </c>
      <c r="C30" s="32" t="s">
        <v>373</v>
      </c>
      <c r="D30" s="390">
        <v>25000000011</v>
      </c>
      <c r="E30" s="32" t="s">
        <v>373</v>
      </c>
      <c r="F30" s="54" t="s">
        <v>138</v>
      </c>
      <c r="G30" s="486">
        <v>200000</v>
      </c>
      <c r="H30" t="s">
        <v>188</v>
      </c>
      <c r="I30" t="s">
        <v>781</v>
      </c>
    </row>
    <row r="31" spans="2:9" x14ac:dyDescent="0.2">
      <c r="B31" s="7">
        <v>45828</v>
      </c>
      <c r="C31" s="11" t="s">
        <v>591</v>
      </c>
      <c r="D31" s="390">
        <v>40</v>
      </c>
      <c r="E31" s="11" t="s">
        <v>591</v>
      </c>
      <c r="F31" s="54" t="s">
        <v>138</v>
      </c>
      <c r="G31" s="391">
        <v>2340000</v>
      </c>
      <c r="H31" t="s">
        <v>188</v>
      </c>
      <c r="I31" t="s">
        <v>781</v>
      </c>
    </row>
    <row r="32" spans="2:9" x14ac:dyDescent="0.2">
      <c r="B32" s="7">
        <v>45848</v>
      </c>
      <c r="C32" s="11" t="s">
        <v>601</v>
      </c>
      <c r="D32" s="390">
        <v>53</v>
      </c>
      <c r="E32" s="11" t="s">
        <v>601</v>
      </c>
      <c r="F32" s="54" t="s">
        <v>138</v>
      </c>
      <c r="G32" s="391">
        <v>5060000</v>
      </c>
      <c r="H32" t="s">
        <v>188</v>
      </c>
      <c r="I32" t="s">
        <v>781</v>
      </c>
    </row>
    <row r="33" spans="2:11" x14ac:dyDescent="0.2">
      <c r="B33" s="7">
        <v>45896</v>
      </c>
      <c r="C33" s="11" t="s">
        <v>620</v>
      </c>
      <c r="D33" s="390">
        <v>80</v>
      </c>
      <c r="E33" s="11" t="s">
        <v>620</v>
      </c>
      <c r="F33" s="54" t="s">
        <v>138</v>
      </c>
      <c r="G33" s="391">
        <v>3240000</v>
      </c>
      <c r="H33" t="s">
        <v>188</v>
      </c>
      <c r="I33" t="s">
        <v>781</v>
      </c>
    </row>
    <row r="34" spans="2:11" x14ac:dyDescent="0.2">
      <c r="B34" s="7">
        <v>45913</v>
      </c>
      <c r="C34" s="11" t="s">
        <v>624</v>
      </c>
      <c r="D34" s="390">
        <v>84</v>
      </c>
      <c r="E34" s="11" t="s">
        <v>624</v>
      </c>
      <c r="F34" s="54" t="s">
        <v>138</v>
      </c>
      <c r="G34" s="391">
        <v>2790000</v>
      </c>
      <c r="H34" t="s">
        <v>188</v>
      </c>
      <c r="I34" t="s">
        <v>781</v>
      </c>
    </row>
    <row r="35" spans="2:11" x14ac:dyDescent="0.2">
      <c r="B35" s="7">
        <v>45982</v>
      </c>
      <c r="C35" s="32" t="s">
        <v>322</v>
      </c>
      <c r="D35" s="390">
        <v>130</v>
      </c>
      <c r="E35" s="32" t="s">
        <v>322</v>
      </c>
      <c r="F35" s="54" t="s">
        <v>138</v>
      </c>
      <c r="G35" s="486">
        <v>1350000</v>
      </c>
      <c r="H35" t="s">
        <v>185</v>
      </c>
      <c r="I35" t="s">
        <v>782</v>
      </c>
    </row>
    <row r="36" spans="2:11" x14ac:dyDescent="0.2">
      <c r="B36" s="7">
        <v>45983</v>
      </c>
      <c r="C36" s="32" t="s">
        <v>307</v>
      </c>
      <c r="D36" s="390">
        <v>131</v>
      </c>
      <c r="E36" s="32" t="s">
        <v>307</v>
      </c>
      <c r="F36" s="55" t="s">
        <v>138</v>
      </c>
      <c r="G36" s="486">
        <v>1495000</v>
      </c>
      <c r="H36" t="s">
        <v>185</v>
      </c>
      <c r="I36" t="s">
        <v>782</v>
      </c>
    </row>
    <row r="37" spans="2:11" x14ac:dyDescent="0.2">
      <c r="B37" s="7">
        <v>45799</v>
      </c>
      <c r="C37" s="11" t="s">
        <v>573</v>
      </c>
      <c r="D37" s="390">
        <v>17</v>
      </c>
      <c r="E37" s="11" t="s">
        <v>573</v>
      </c>
      <c r="F37" s="55" t="s">
        <v>138</v>
      </c>
      <c r="G37" s="391">
        <v>5075000</v>
      </c>
      <c r="H37" t="s">
        <v>185</v>
      </c>
      <c r="I37" t="s">
        <v>782</v>
      </c>
    </row>
    <row r="38" spans="2:11" x14ac:dyDescent="0.2">
      <c r="B38" s="7">
        <v>45805</v>
      </c>
      <c r="C38" s="11" t="s">
        <v>578</v>
      </c>
      <c r="D38" s="390">
        <v>23</v>
      </c>
      <c r="E38" s="11" t="s">
        <v>578</v>
      </c>
      <c r="F38" s="55" t="s">
        <v>138</v>
      </c>
      <c r="G38" s="391">
        <v>3500000</v>
      </c>
      <c r="H38" t="s">
        <v>185</v>
      </c>
      <c r="I38" t="s">
        <v>782</v>
      </c>
    </row>
    <row r="39" spans="2:11" x14ac:dyDescent="0.2">
      <c r="B39" s="7">
        <v>45818</v>
      </c>
      <c r="C39" s="11" t="s">
        <v>589</v>
      </c>
      <c r="D39" s="390">
        <v>37</v>
      </c>
      <c r="E39" s="11" t="s">
        <v>589</v>
      </c>
      <c r="F39" s="55" t="s">
        <v>138</v>
      </c>
      <c r="G39" s="391">
        <v>4725000</v>
      </c>
      <c r="H39" t="s">
        <v>185</v>
      </c>
      <c r="I39" t="s">
        <v>782</v>
      </c>
    </row>
    <row r="40" spans="2:11" x14ac:dyDescent="0.2">
      <c r="B40" s="7">
        <v>45845</v>
      </c>
      <c r="C40" s="11" t="s">
        <v>598</v>
      </c>
      <c r="D40" s="390">
        <v>50</v>
      </c>
      <c r="E40" s="11" t="s">
        <v>598</v>
      </c>
      <c r="F40" s="55" t="s">
        <v>138</v>
      </c>
      <c r="G40" s="391">
        <v>650000</v>
      </c>
      <c r="H40" t="s">
        <v>185</v>
      </c>
      <c r="I40" t="s">
        <v>782</v>
      </c>
      <c r="K40" s="19"/>
    </row>
    <row r="41" spans="2:11" x14ac:dyDescent="0.2">
      <c r="B41" s="7">
        <v>45881</v>
      </c>
      <c r="C41" s="11" t="s">
        <v>227</v>
      </c>
      <c r="D41" s="390">
        <v>70</v>
      </c>
      <c r="E41" s="11" t="s">
        <v>227</v>
      </c>
      <c r="F41" s="55" t="s">
        <v>138</v>
      </c>
      <c r="G41" s="486">
        <v>21260009</v>
      </c>
      <c r="H41" t="s">
        <v>186</v>
      </c>
      <c r="I41" t="s">
        <v>786</v>
      </c>
      <c r="K41" s="487"/>
    </row>
    <row r="42" spans="2:11" x14ac:dyDescent="0.2">
      <c r="B42" s="7">
        <v>45943</v>
      </c>
      <c r="C42" s="32" t="s">
        <v>257</v>
      </c>
      <c r="D42" s="390">
        <v>106</v>
      </c>
      <c r="E42" s="32" t="s">
        <v>257</v>
      </c>
      <c r="F42" s="55" t="s">
        <v>138</v>
      </c>
      <c r="G42" s="486">
        <v>23360009</v>
      </c>
      <c r="H42" t="s">
        <v>186</v>
      </c>
      <c r="I42" t="s">
        <v>786</v>
      </c>
      <c r="K42" s="19"/>
    </row>
    <row r="43" spans="2:11" x14ac:dyDescent="0.2">
      <c r="B43" s="7">
        <v>45986</v>
      </c>
      <c r="C43" s="32" t="s">
        <v>324</v>
      </c>
      <c r="D43" s="390">
        <v>143</v>
      </c>
      <c r="E43" s="32" t="s">
        <v>324</v>
      </c>
      <c r="F43" s="55" t="s">
        <v>138</v>
      </c>
      <c r="G43" s="486">
        <v>12950000</v>
      </c>
      <c r="H43" t="s">
        <v>186</v>
      </c>
      <c r="I43" t="s">
        <v>786</v>
      </c>
    </row>
    <row r="44" spans="2:11" x14ac:dyDescent="0.2">
      <c r="B44" s="7">
        <v>46027</v>
      </c>
      <c r="C44" s="11" t="s">
        <v>406</v>
      </c>
      <c r="D44" s="390">
        <v>26000000010</v>
      </c>
      <c r="E44" s="11" t="s">
        <v>406</v>
      </c>
      <c r="F44" s="55" t="s">
        <v>138</v>
      </c>
      <c r="G44" s="486">
        <v>10600000</v>
      </c>
      <c r="H44" t="s">
        <v>186</v>
      </c>
      <c r="I44" t="s">
        <v>786</v>
      </c>
    </row>
    <row r="45" spans="2:11" x14ac:dyDescent="0.2">
      <c r="B45" s="7">
        <v>45772</v>
      </c>
      <c r="C45" s="11" t="s">
        <v>543</v>
      </c>
      <c r="D45" s="390">
        <v>383</v>
      </c>
      <c r="E45" s="11" t="s">
        <v>543</v>
      </c>
      <c r="F45" s="55" t="s">
        <v>138</v>
      </c>
      <c r="G45" s="391">
        <v>34346508</v>
      </c>
      <c r="H45" t="s">
        <v>186</v>
      </c>
      <c r="I45" t="s">
        <v>786</v>
      </c>
    </row>
    <row r="46" spans="2:11" x14ac:dyDescent="0.2">
      <c r="B46" s="7">
        <v>45798</v>
      </c>
      <c r="C46" s="11" t="s">
        <v>570</v>
      </c>
      <c r="D46" s="390">
        <v>14</v>
      </c>
      <c r="E46" s="11" t="s">
        <v>570</v>
      </c>
      <c r="F46" s="55" t="s">
        <v>138</v>
      </c>
      <c r="G46" s="391">
        <v>16875009</v>
      </c>
      <c r="H46" t="s">
        <v>186</v>
      </c>
      <c r="I46" t="s">
        <v>786</v>
      </c>
    </row>
    <row r="47" spans="2:11" x14ac:dyDescent="0.2">
      <c r="B47" s="7">
        <v>45804</v>
      </c>
      <c r="C47" s="11" t="s">
        <v>583</v>
      </c>
      <c r="D47" s="390">
        <v>29</v>
      </c>
      <c r="E47" s="11" t="s">
        <v>583</v>
      </c>
      <c r="F47" s="55" t="s">
        <v>138</v>
      </c>
      <c r="G47" s="391">
        <v>4810008.4745762711</v>
      </c>
      <c r="H47" t="s">
        <v>186</v>
      </c>
      <c r="I47" t="s">
        <v>786</v>
      </c>
    </row>
    <row r="48" spans="2:11" x14ac:dyDescent="0.2">
      <c r="B48" s="7">
        <v>45894</v>
      </c>
      <c r="C48" s="11" t="s">
        <v>618</v>
      </c>
      <c r="D48" s="390">
        <v>78</v>
      </c>
      <c r="E48" s="11" t="s">
        <v>618</v>
      </c>
      <c r="F48" s="55" t="s">
        <v>138</v>
      </c>
      <c r="G48" s="391">
        <v>33930008.474576272</v>
      </c>
      <c r="H48" t="s">
        <v>186</v>
      </c>
      <c r="I48" t="s">
        <v>786</v>
      </c>
    </row>
    <row r="49" spans="2:11" x14ac:dyDescent="0.2">
      <c r="B49" s="7">
        <v>46084</v>
      </c>
      <c r="C49" s="11" t="s">
        <v>731</v>
      </c>
      <c r="D49" s="390">
        <v>26000000041</v>
      </c>
      <c r="E49" s="11" t="s">
        <v>731</v>
      </c>
      <c r="F49" s="55" t="s">
        <v>138</v>
      </c>
      <c r="G49" s="391">
        <v>5495000</v>
      </c>
      <c r="H49" t="s">
        <v>186</v>
      </c>
      <c r="I49" t="s">
        <v>786</v>
      </c>
    </row>
    <row r="50" spans="2:11" x14ac:dyDescent="0.2">
      <c r="B50" s="7">
        <v>45943</v>
      </c>
      <c r="C50" s="32" t="s">
        <v>258</v>
      </c>
      <c r="D50" s="390">
        <v>107</v>
      </c>
      <c r="E50" s="32" t="s">
        <v>258</v>
      </c>
      <c r="F50" s="55" t="s">
        <v>138</v>
      </c>
      <c r="G50" s="486">
        <v>10595000</v>
      </c>
      <c r="H50" t="s">
        <v>190</v>
      </c>
      <c r="I50" t="s">
        <v>779</v>
      </c>
    </row>
    <row r="51" spans="2:11" x14ac:dyDescent="0.2">
      <c r="B51" s="7">
        <v>45943</v>
      </c>
      <c r="C51" s="32" t="s">
        <v>260</v>
      </c>
      <c r="D51" s="390">
        <v>109</v>
      </c>
      <c r="E51" s="32" t="s">
        <v>260</v>
      </c>
      <c r="F51" s="55" t="s">
        <v>138</v>
      </c>
      <c r="G51" s="486">
        <v>11710000</v>
      </c>
      <c r="H51" t="s">
        <v>190</v>
      </c>
      <c r="I51" t="s">
        <v>779</v>
      </c>
    </row>
    <row r="52" spans="2:11" x14ac:dyDescent="0.2">
      <c r="B52" s="7">
        <v>45971</v>
      </c>
      <c r="C52" s="32" t="s">
        <v>282</v>
      </c>
      <c r="D52" s="390">
        <v>120</v>
      </c>
      <c r="E52" s="32" t="s">
        <v>282</v>
      </c>
      <c r="F52" s="55" t="s">
        <v>138</v>
      </c>
      <c r="G52" s="486">
        <v>14580000</v>
      </c>
      <c r="H52" t="s">
        <v>190</v>
      </c>
      <c r="I52" t="s">
        <v>779</v>
      </c>
    </row>
    <row r="53" spans="2:11" x14ac:dyDescent="0.2">
      <c r="B53" s="7">
        <v>45988</v>
      </c>
      <c r="C53" s="32" t="s">
        <v>354</v>
      </c>
      <c r="D53" s="390">
        <v>25000000005</v>
      </c>
      <c r="E53" s="32" t="s">
        <v>354</v>
      </c>
      <c r="F53" s="55" t="s">
        <v>138</v>
      </c>
      <c r="G53" s="486">
        <v>9160000</v>
      </c>
      <c r="H53" t="s">
        <v>190</v>
      </c>
      <c r="I53" t="s">
        <v>779</v>
      </c>
    </row>
    <row r="54" spans="2:11" x14ac:dyDescent="0.2">
      <c r="B54" s="7">
        <v>45860</v>
      </c>
      <c r="C54" s="11" t="s">
        <v>615</v>
      </c>
      <c r="D54" s="390">
        <v>68</v>
      </c>
      <c r="E54" s="11" t="s">
        <v>615</v>
      </c>
      <c r="F54" s="55" t="s">
        <v>138</v>
      </c>
      <c r="G54" s="391">
        <v>7714998.3050847463</v>
      </c>
      <c r="H54" t="s">
        <v>190</v>
      </c>
      <c r="I54" t="s">
        <v>779</v>
      </c>
    </row>
    <row r="55" spans="2:11" x14ac:dyDescent="0.2">
      <c r="B55" s="7">
        <v>45943</v>
      </c>
      <c r="C55" s="32" t="s">
        <v>259</v>
      </c>
      <c r="D55" s="390">
        <v>108</v>
      </c>
      <c r="E55" s="32" t="s">
        <v>259</v>
      </c>
      <c r="F55" s="55" t="s">
        <v>138</v>
      </c>
      <c r="G55" s="486">
        <v>8580016</v>
      </c>
      <c r="H55" t="s">
        <v>178</v>
      </c>
      <c r="I55" t="s">
        <v>784</v>
      </c>
    </row>
    <row r="56" spans="2:11" x14ac:dyDescent="0.2">
      <c r="B56" s="7">
        <v>45967</v>
      </c>
      <c r="C56" s="11" t="s">
        <v>280</v>
      </c>
      <c r="D56" s="390">
        <v>119</v>
      </c>
      <c r="E56" s="11" t="s">
        <v>280</v>
      </c>
      <c r="F56" s="58" t="s">
        <v>138</v>
      </c>
      <c r="G56" s="486">
        <v>7500016</v>
      </c>
      <c r="H56" t="s">
        <v>178</v>
      </c>
      <c r="I56" t="s">
        <v>784</v>
      </c>
    </row>
    <row r="57" spans="2:11" x14ac:dyDescent="0.2">
      <c r="B57" s="7">
        <v>45985</v>
      </c>
      <c r="C57" s="32" t="s">
        <v>314</v>
      </c>
      <c r="D57" s="390">
        <v>135</v>
      </c>
      <c r="E57" s="32" t="s">
        <v>314</v>
      </c>
      <c r="F57" s="58" t="s">
        <v>138</v>
      </c>
      <c r="G57" s="486">
        <v>7500016</v>
      </c>
      <c r="H57" t="s">
        <v>178</v>
      </c>
      <c r="I57" t="s">
        <v>784</v>
      </c>
    </row>
    <row r="58" spans="2:11" x14ac:dyDescent="0.2">
      <c r="B58" s="7">
        <v>45987</v>
      </c>
      <c r="C58" s="32" t="s">
        <v>325</v>
      </c>
      <c r="D58" s="390">
        <v>144</v>
      </c>
      <c r="E58" s="32" t="s">
        <v>325</v>
      </c>
      <c r="F58" s="58" t="s">
        <v>138</v>
      </c>
      <c r="G58" s="486">
        <v>2040000</v>
      </c>
      <c r="H58" t="s">
        <v>178</v>
      </c>
      <c r="I58" t="s">
        <v>784</v>
      </c>
    </row>
    <row r="59" spans="2:11" x14ac:dyDescent="0.2">
      <c r="B59" s="7">
        <v>46021</v>
      </c>
      <c r="C59" s="11" t="s">
        <v>397</v>
      </c>
      <c r="D59" s="390">
        <v>26000000002</v>
      </c>
      <c r="E59" s="11" t="s">
        <v>397</v>
      </c>
      <c r="F59" s="58" t="s">
        <v>138</v>
      </c>
      <c r="G59" s="486">
        <v>8700016</v>
      </c>
      <c r="H59" t="s">
        <v>178</v>
      </c>
      <c r="I59" t="s">
        <v>784</v>
      </c>
    </row>
    <row r="60" spans="2:11" x14ac:dyDescent="0.2">
      <c r="B60" s="7">
        <v>46027</v>
      </c>
      <c r="C60" s="11" t="s">
        <v>401</v>
      </c>
      <c r="D60" s="390">
        <v>26000000004</v>
      </c>
      <c r="E60" s="11" t="s">
        <v>401</v>
      </c>
      <c r="F60" s="58" t="s">
        <v>138</v>
      </c>
      <c r="G60" s="486">
        <v>1500000</v>
      </c>
      <c r="H60" t="s">
        <v>178</v>
      </c>
      <c r="I60" t="s">
        <v>784</v>
      </c>
    </row>
    <row r="61" spans="2:11" x14ac:dyDescent="0.2">
      <c r="B61" s="7">
        <v>46029</v>
      </c>
      <c r="C61" s="149" t="s">
        <v>402</v>
      </c>
      <c r="D61" s="390">
        <v>26000000005</v>
      </c>
      <c r="E61" s="149" t="s">
        <v>402</v>
      </c>
      <c r="F61" s="58" t="s">
        <v>138</v>
      </c>
      <c r="G61" s="486">
        <v>7500016</v>
      </c>
      <c r="H61" t="s">
        <v>178</v>
      </c>
      <c r="I61" t="s">
        <v>784</v>
      </c>
      <c r="K61" s="262"/>
    </row>
    <row r="62" spans="2:11" x14ac:dyDescent="0.2">
      <c r="B62" s="7">
        <v>46029</v>
      </c>
      <c r="C62" s="149" t="s">
        <v>403</v>
      </c>
      <c r="D62" s="390">
        <v>26000000006</v>
      </c>
      <c r="E62" s="149" t="s">
        <v>403</v>
      </c>
      <c r="F62" s="58" t="s">
        <v>138</v>
      </c>
      <c r="G62" s="486">
        <v>20660000</v>
      </c>
      <c r="H62" t="s">
        <v>178</v>
      </c>
      <c r="I62" t="s">
        <v>784</v>
      </c>
    </row>
    <row r="63" spans="2:11" x14ac:dyDescent="0.2">
      <c r="B63" s="7">
        <v>45772</v>
      </c>
      <c r="C63" s="11" t="s">
        <v>545</v>
      </c>
      <c r="D63" s="390">
        <v>385</v>
      </c>
      <c r="E63" s="11" t="s">
        <v>545</v>
      </c>
      <c r="F63" s="58" t="s">
        <v>138</v>
      </c>
      <c r="G63" s="391">
        <v>28450015</v>
      </c>
      <c r="H63" t="s">
        <v>178</v>
      </c>
      <c r="I63" t="s">
        <v>784</v>
      </c>
    </row>
    <row r="64" spans="2:11" x14ac:dyDescent="0.2">
      <c r="B64" s="7">
        <v>45803</v>
      </c>
      <c r="C64" s="11" t="s">
        <v>582</v>
      </c>
      <c r="D64" s="390">
        <v>27</v>
      </c>
      <c r="E64" s="11" t="s">
        <v>582</v>
      </c>
      <c r="F64" s="58" t="s">
        <v>138</v>
      </c>
      <c r="G64" s="391">
        <v>8100015.2542372886</v>
      </c>
      <c r="H64" t="s">
        <v>178</v>
      </c>
      <c r="I64" t="s">
        <v>784</v>
      </c>
    </row>
    <row r="65" spans="2:9" x14ac:dyDescent="0.2">
      <c r="B65" s="7">
        <v>45805</v>
      </c>
      <c r="C65" s="11" t="s">
        <v>585</v>
      </c>
      <c r="D65" s="390">
        <v>30</v>
      </c>
      <c r="E65" s="11" t="s">
        <v>585</v>
      </c>
      <c r="F65" s="58" t="s">
        <v>138</v>
      </c>
      <c r="G65" s="391">
        <v>14980015.254237289</v>
      </c>
      <c r="H65" t="s">
        <v>178</v>
      </c>
      <c r="I65" t="s">
        <v>784</v>
      </c>
    </row>
    <row r="66" spans="2:9" x14ac:dyDescent="0.2">
      <c r="B66" s="7">
        <v>45835</v>
      </c>
      <c r="C66" s="11" t="s">
        <v>595</v>
      </c>
      <c r="D66" s="390">
        <v>47</v>
      </c>
      <c r="E66" s="11" t="s">
        <v>595</v>
      </c>
      <c r="F66" s="58" t="s">
        <v>138</v>
      </c>
      <c r="G66" s="391">
        <v>7500015.2542372886</v>
      </c>
      <c r="H66" t="s">
        <v>178</v>
      </c>
      <c r="I66" t="s">
        <v>784</v>
      </c>
    </row>
    <row r="67" spans="2:9" x14ac:dyDescent="0.2">
      <c r="B67" s="7">
        <v>45881</v>
      </c>
      <c r="C67" s="11" t="s">
        <v>616</v>
      </c>
      <c r="D67" s="390">
        <v>86</v>
      </c>
      <c r="E67" s="11" t="s">
        <v>616</v>
      </c>
      <c r="F67" s="58" t="s">
        <v>138</v>
      </c>
      <c r="G67" s="391">
        <v>705000</v>
      </c>
      <c r="H67" t="s">
        <v>178</v>
      </c>
      <c r="I67" t="s">
        <v>784</v>
      </c>
    </row>
    <row r="68" spans="2:9" x14ac:dyDescent="0.2">
      <c r="B68" s="7">
        <v>45881</v>
      </c>
      <c r="C68" s="11" t="s">
        <v>628</v>
      </c>
      <c r="D68" s="390">
        <v>75</v>
      </c>
      <c r="E68" s="11" t="s">
        <v>628</v>
      </c>
      <c r="F68" s="58" t="s">
        <v>138</v>
      </c>
      <c r="G68" s="391">
        <v>10100015.254237289</v>
      </c>
      <c r="H68" t="s">
        <v>178</v>
      </c>
      <c r="I68" t="s">
        <v>784</v>
      </c>
    </row>
    <row r="69" spans="2:9" x14ac:dyDescent="0.2">
      <c r="B69" s="7">
        <v>46060</v>
      </c>
      <c r="C69" s="11" t="s">
        <v>711</v>
      </c>
      <c r="D69" s="390">
        <v>26000000022</v>
      </c>
      <c r="E69" s="11" t="s">
        <v>711</v>
      </c>
      <c r="F69" s="58" t="s">
        <v>138</v>
      </c>
      <c r="G69" s="391">
        <v>1500000</v>
      </c>
      <c r="H69" t="s">
        <v>178</v>
      </c>
      <c r="I69" t="s">
        <v>784</v>
      </c>
    </row>
    <row r="70" spans="2:9" x14ac:dyDescent="0.2">
      <c r="B70" s="7">
        <v>46064</v>
      </c>
      <c r="C70" s="11" t="s">
        <v>712</v>
      </c>
      <c r="D70" s="390">
        <v>26000000023</v>
      </c>
      <c r="E70" s="11" t="s">
        <v>712</v>
      </c>
      <c r="F70" s="58" t="s">
        <v>138</v>
      </c>
      <c r="G70" s="391">
        <v>7500000</v>
      </c>
      <c r="H70" t="s">
        <v>178</v>
      </c>
      <c r="I70" t="s">
        <v>784</v>
      </c>
    </row>
    <row r="71" spans="2:9" x14ac:dyDescent="0.2">
      <c r="B71" s="7">
        <v>46064</v>
      </c>
      <c r="C71" s="11" t="s">
        <v>713</v>
      </c>
      <c r="D71" s="390">
        <v>26000000024</v>
      </c>
      <c r="E71" s="11" t="s">
        <v>713</v>
      </c>
      <c r="F71" s="58" t="s">
        <v>138</v>
      </c>
      <c r="G71" s="391">
        <v>23845000</v>
      </c>
      <c r="H71" t="s">
        <v>178</v>
      </c>
      <c r="I71" t="s">
        <v>784</v>
      </c>
    </row>
    <row r="72" spans="2:9" x14ac:dyDescent="0.2">
      <c r="B72" s="7">
        <v>46056</v>
      </c>
      <c r="C72" s="11" t="s">
        <v>714</v>
      </c>
      <c r="D72" s="390">
        <v>26000000025</v>
      </c>
      <c r="E72" s="11" t="s">
        <v>714</v>
      </c>
      <c r="F72" s="58" t="s">
        <v>138</v>
      </c>
      <c r="G72" s="391">
        <v>22534960</v>
      </c>
      <c r="H72" t="s">
        <v>178</v>
      </c>
      <c r="I72" t="s">
        <v>784</v>
      </c>
    </row>
    <row r="73" spans="2:9" x14ac:dyDescent="0.2">
      <c r="B73" s="7">
        <v>46001</v>
      </c>
      <c r="C73" s="11" t="s">
        <v>716</v>
      </c>
      <c r="D73" s="390">
        <v>26000000027</v>
      </c>
      <c r="E73" s="11" t="s">
        <v>716</v>
      </c>
      <c r="F73" s="58" t="s">
        <v>138</v>
      </c>
      <c r="G73" s="391">
        <v>7570000</v>
      </c>
      <c r="H73" t="s">
        <v>178</v>
      </c>
      <c r="I73" t="s">
        <v>784</v>
      </c>
    </row>
    <row r="74" spans="2:9" x14ac:dyDescent="0.2">
      <c r="B74" s="7">
        <v>46082</v>
      </c>
      <c r="C74" s="11" t="s">
        <v>730</v>
      </c>
      <c r="D74" s="390">
        <v>26000000040</v>
      </c>
      <c r="E74" s="11" t="s">
        <v>730</v>
      </c>
      <c r="F74" s="58" t="s">
        <v>138</v>
      </c>
      <c r="G74" s="391">
        <v>2210000</v>
      </c>
      <c r="H74" t="s">
        <v>178</v>
      </c>
      <c r="I74" t="s">
        <v>784</v>
      </c>
    </row>
    <row r="75" spans="2:9" x14ac:dyDescent="0.2">
      <c r="B75" s="7">
        <v>45897</v>
      </c>
      <c r="C75" s="32" t="s">
        <v>214</v>
      </c>
      <c r="D75" s="390">
        <v>77</v>
      </c>
      <c r="E75" s="32" t="s">
        <v>214</v>
      </c>
      <c r="F75" s="58" t="s">
        <v>138</v>
      </c>
      <c r="G75" s="486">
        <v>1500000</v>
      </c>
      <c r="H75" t="s">
        <v>617</v>
      </c>
      <c r="I75" t="s">
        <v>778</v>
      </c>
    </row>
    <row r="76" spans="2:9" x14ac:dyDescent="0.2">
      <c r="B76" s="7">
        <v>45994</v>
      </c>
      <c r="C76" s="32" t="s">
        <v>356</v>
      </c>
      <c r="D76" s="390">
        <v>25000000007</v>
      </c>
      <c r="E76" s="32" t="s">
        <v>356</v>
      </c>
      <c r="F76" s="55" t="s">
        <v>138</v>
      </c>
      <c r="G76" s="486">
        <v>1500000</v>
      </c>
      <c r="H76" t="s">
        <v>617</v>
      </c>
      <c r="I76" t="s">
        <v>778</v>
      </c>
    </row>
    <row r="77" spans="2:9" x14ac:dyDescent="0.2">
      <c r="B77" s="7">
        <v>45994</v>
      </c>
      <c r="C77" s="149" t="s">
        <v>357</v>
      </c>
      <c r="D77" s="390">
        <v>25000000008</v>
      </c>
      <c r="E77" s="149" t="s">
        <v>357</v>
      </c>
      <c r="F77" s="55" t="s">
        <v>138</v>
      </c>
      <c r="G77" s="486">
        <v>1500000</v>
      </c>
      <c r="H77" t="s">
        <v>617</v>
      </c>
      <c r="I77" t="s">
        <v>778</v>
      </c>
    </row>
    <row r="78" spans="2:9" x14ac:dyDescent="0.2">
      <c r="B78" s="7">
        <v>45940</v>
      </c>
      <c r="C78" s="32" t="s">
        <v>254</v>
      </c>
      <c r="D78" s="390">
        <v>103</v>
      </c>
      <c r="E78" s="32" t="s">
        <v>254</v>
      </c>
      <c r="F78" s="55" t="s">
        <v>138</v>
      </c>
      <c r="G78" s="486">
        <v>6450000</v>
      </c>
      <c r="H78" t="s">
        <v>180</v>
      </c>
      <c r="I78" t="s">
        <v>788</v>
      </c>
    </row>
    <row r="79" spans="2:9" x14ac:dyDescent="0.2">
      <c r="B79" s="7">
        <v>45940</v>
      </c>
      <c r="C79" s="32" t="s">
        <v>255</v>
      </c>
      <c r="D79" s="390">
        <v>104</v>
      </c>
      <c r="E79" s="32" t="s">
        <v>255</v>
      </c>
      <c r="F79" s="55" t="s">
        <v>138</v>
      </c>
      <c r="G79" s="486">
        <v>7770000</v>
      </c>
      <c r="H79" t="s">
        <v>180</v>
      </c>
      <c r="I79" t="s">
        <v>788</v>
      </c>
    </row>
    <row r="80" spans="2:9" x14ac:dyDescent="0.2">
      <c r="B80" s="7">
        <v>45943</v>
      </c>
      <c r="C80" s="11" t="s">
        <v>256</v>
      </c>
      <c r="D80" s="390">
        <v>105</v>
      </c>
      <c r="E80" s="11" t="s">
        <v>256</v>
      </c>
      <c r="F80" s="55" t="s">
        <v>138</v>
      </c>
      <c r="G80" s="486">
        <v>35447400</v>
      </c>
      <c r="H80" t="s">
        <v>180</v>
      </c>
      <c r="I80" t="s">
        <v>788</v>
      </c>
    </row>
    <row r="81" spans="2:9" x14ac:dyDescent="0.2">
      <c r="B81" s="7">
        <v>45947</v>
      </c>
      <c r="C81" s="32" t="s">
        <v>266</v>
      </c>
      <c r="D81" s="390">
        <v>115</v>
      </c>
      <c r="E81" s="32" t="s">
        <v>266</v>
      </c>
      <c r="F81" s="55" t="s">
        <v>138</v>
      </c>
      <c r="G81" s="486">
        <v>21973200</v>
      </c>
      <c r="H81" t="s">
        <v>180</v>
      </c>
      <c r="I81" t="s">
        <v>788</v>
      </c>
    </row>
    <row r="82" spans="2:9" x14ac:dyDescent="0.2">
      <c r="B82" s="7">
        <v>45947</v>
      </c>
      <c r="C82" s="32" t="s">
        <v>270</v>
      </c>
      <c r="D82" s="390">
        <v>116</v>
      </c>
      <c r="E82" s="32" t="s">
        <v>270</v>
      </c>
      <c r="F82" s="55" t="s">
        <v>138</v>
      </c>
      <c r="G82" s="486">
        <v>25622500</v>
      </c>
      <c r="H82" t="s">
        <v>180</v>
      </c>
      <c r="I82" t="s">
        <v>788</v>
      </c>
    </row>
    <row r="83" spans="2:9" x14ac:dyDescent="0.2">
      <c r="B83" s="7">
        <v>45982</v>
      </c>
      <c r="C83" s="32" t="s">
        <v>309</v>
      </c>
      <c r="D83" s="390">
        <v>128</v>
      </c>
      <c r="E83" s="32" t="s">
        <v>309</v>
      </c>
      <c r="F83" s="55" t="s">
        <v>138</v>
      </c>
      <c r="G83" s="486">
        <v>8265000</v>
      </c>
      <c r="H83" t="s">
        <v>180</v>
      </c>
      <c r="I83" t="s">
        <v>788</v>
      </c>
    </row>
    <row r="84" spans="2:9" x14ac:dyDescent="0.2">
      <c r="B84" s="7">
        <v>45996</v>
      </c>
      <c r="C84" s="32" t="s">
        <v>360</v>
      </c>
      <c r="D84" s="390">
        <v>25000000002</v>
      </c>
      <c r="E84" s="32" t="s">
        <v>360</v>
      </c>
      <c r="F84" s="55" t="s">
        <v>138</v>
      </c>
      <c r="G84" s="486">
        <v>6285000</v>
      </c>
      <c r="H84" t="s">
        <v>180</v>
      </c>
      <c r="I84" t="s">
        <v>788</v>
      </c>
    </row>
    <row r="85" spans="2:9" x14ac:dyDescent="0.2">
      <c r="B85" s="7">
        <v>45996</v>
      </c>
      <c r="C85" s="32" t="s">
        <v>362</v>
      </c>
      <c r="D85" s="390">
        <v>25000000003</v>
      </c>
      <c r="E85" s="32" t="s">
        <v>362</v>
      </c>
      <c r="F85" s="55" t="s">
        <v>138</v>
      </c>
      <c r="G85" s="486">
        <v>23504700</v>
      </c>
      <c r="H85" t="s">
        <v>180</v>
      </c>
      <c r="I85" t="s">
        <v>788</v>
      </c>
    </row>
    <row r="86" spans="2:9" x14ac:dyDescent="0.2">
      <c r="B86" s="7">
        <v>46030</v>
      </c>
      <c r="C86" s="11" t="s">
        <v>404</v>
      </c>
      <c r="D86" s="390">
        <v>26000000008</v>
      </c>
      <c r="E86" s="11" t="s">
        <v>404</v>
      </c>
      <c r="F86" s="55" t="s">
        <v>138</v>
      </c>
      <c r="G86" s="486">
        <v>6120000</v>
      </c>
      <c r="H86" t="s">
        <v>180</v>
      </c>
      <c r="I86" t="s">
        <v>788</v>
      </c>
    </row>
    <row r="87" spans="2:9" x14ac:dyDescent="0.2">
      <c r="B87" s="7">
        <v>45772</v>
      </c>
      <c r="C87" s="11" t="s">
        <v>541</v>
      </c>
      <c r="D87" s="390">
        <v>381</v>
      </c>
      <c r="E87" s="11" t="s">
        <v>541</v>
      </c>
      <c r="F87" s="55" t="s">
        <v>138</v>
      </c>
      <c r="G87" s="391">
        <v>4417500</v>
      </c>
      <c r="H87" t="s">
        <v>180</v>
      </c>
      <c r="I87" t="s">
        <v>788</v>
      </c>
    </row>
    <row r="88" spans="2:9" x14ac:dyDescent="0.2">
      <c r="B88" s="3">
        <v>45812</v>
      </c>
      <c r="C88" s="6" t="s">
        <v>581</v>
      </c>
      <c r="D88" s="251">
        <v>26</v>
      </c>
      <c r="E88" s="6" t="s">
        <v>581</v>
      </c>
      <c r="F88" s="58" t="s">
        <v>138</v>
      </c>
      <c r="G88" s="392">
        <v>10640000</v>
      </c>
      <c r="H88" t="s">
        <v>180</v>
      </c>
      <c r="I88" t="s">
        <v>788</v>
      </c>
    </row>
    <row r="89" spans="2:9" x14ac:dyDescent="0.2">
      <c r="B89" s="3">
        <v>45812</v>
      </c>
      <c r="C89" s="6" t="s">
        <v>584</v>
      </c>
      <c r="D89" s="251">
        <v>28</v>
      </c>
      <c r="E89" s="6" t="s">
        <v>584</v>
      </c>
      <c r="F89" s="58" t="s">
        <v>138</v>
      </c>
      <c r="G89" s="392">
        <v>4680000</v>
      </c>
      <c r="H89" t="s">
        <v>180</v>
      </c>
      <c r="I89" t="s">
        <v>788</v>
      </c>
    </row>
    <row r="90" spans="2:9" x14ac:dyDescent="0.2">
      <c r="B90" s="3">
        <v>45824</v>
      </c>
      <c r="C90" s="6" t="s">
        <v>586</v>
      </c>
      <c r="D90" s="251">
        <v>32</v>
      </c>
      <c r="E90" s="6" t="s">
        <v>586</v>
      </c>
      <c r="F90" s="58" t="s">
        <v>138</v>
      </c>
      <c r="G90" s="392">
        <v>10640000</v>
      </c>
      <c r="H90" t="s">
        <v>180</v>
      </c>
      <c r="I90" t="s">
        <v>788</v>
      </c>
    </row>
    <row r="91" spans="2:9" x14ac:dyDescent="0.2">
      <c r="B91" s="3">
        <v>45825</v>
      </c>
      <c r="C91" s="6" t="s">
        <v>596</v>
      </c>
      <c r="D91" s="251">
        <v>48</v>
      </c>
      <c r="E91" s="6" t="s">
        <v>596</v>
      </c>
      <c r="F91" s="58" t="s">
        <v>138</v>
      </c>
      <c r="G91" s="392">
        <v>12760000</v>
      </c>
      <c r="H91" t="s">
        <v>180</v>
      </c>
      <c r="I91" t="s">
        <v>788</v>
      </c>
    </row>
    <row r="92" spans="2:9" x14ac:dyDescent="0.2">
      <c r="B92" s="3">
        <v>45907</v>
      </c>
      <c r="C92" s="6" t="s">
        <v>622</v>
      </c>
      <c r="D92" s="251">
        <v>82</v>
      </c>
      <c r="E92" s="6" t="s">
        <v>622</v>
      </c>
      <c r="F92" s="58" t="s">
        <v>138</v>
      </c>
      <c r="G92" s="392">
        <v>2779000</v>
      </c>
      <c r="H92" t="s">
        <v>180</v>
      </c>
      <c r="I92" t="s">
        <v>788</v>
      </c>
    </row>
    <row r="93" spans="2:9" x14ac:dyDescent="0.2">
      <c r="B93" s="3">
        <v>46057</v>
      </c>
      <c r="C93" s="6" t="s">
        <v>710</v>
      </c>
      <c r="D93" s="251">
        <v>26000000021</v>
      </c>
      <c r="E93" s="6" t="s">
        <v>710</v>
      </c>
      <c r="F93" s="58" t="s">
        <v>138</v>
      </c>
      <c r="G93" s="392">
        <v>6780000</v>
      </c>
      <c r="H93" t="s">
        <v>180</v>
      </c>
      <c r="I93" t="s">
        <v>788</v>
      </c>
    </row>
    <row r="94" spans="2:9" x14ac:dyDescent="0.2">
      <c r="B94" s="3">
        <v>46057</v>
      </c>
      <c r="C94" s="6" t="s">
        <v>717</v>
      </c>
      <c r="D94" s="251">
        <v>26000000028</v>
      </c>
      <c r="E94" s="6" t="s">
        <v>717</v>
      </c>
      <c r="F94" s="58" t="s">
        <v>138</v>
      </c>
      <c r="G94" s="392">
        <v>39016050</v>
      </c>
      <c r="H94" t="s">
        <v>180</v>
      </c>
      <c r="I94" t="s">
        <v>788</v>
      </c>
    </row>
    <row r="95" spans="2:9" x14ac:dyDescent="0.2">
      <c r="B95" s="3">
        <v>45925</v>
      </c>
      <c r="C95" s="253" t="s">
        <v>219</v>
      </c>
      <c r="D95" s="251">
        <v>91</v>
      </c>
      <c r="E95" s="253" t="s">
        <v>219</v>
      </c>
      <c r="F95" s="58" t="s">
        <v>138</v>
      </c>
      <c r="G95" s="488">
        <v>1540000</v>
      </c>
      <c r="H95" t="s">
        <v>179</v>
      </c>
      <c r="I95" t="s">
        <v>777</v>
      </c>
    </row>
    <row r="96" spans="2:9" x14ac:dyDescent="0.2">
      <c r="B96" s="3">
        <v>45926</v>
      </c>
      <c r="C96" s="489" t="s">
        <v>213</v>
      </c>
      <c r="D96" s="251">
        <v>92</v>
      </c>
      <c r="E96" s="489" t="s">
        <v>213</v>
      </c>
      <c r="F96" s="58" t="s">
        <v>138</v>
      </c>
      <c r="G96" s="488">
        <v>1985000</v>
      </c>
      <c r="H96" t="s">
        <v>179</v>
      </c>
      <c r="I96" t="s">
        <v>777</v>
      </c>
    </row>
    <row r="97" spans="2:9" x14ac:dyDescent="0.2">
      <c r="B97" s="3">
        <v>45929</v>
      </c>
      <c r="C97" s="253" t="s">
        <v>225</v>
      </c>
      <c r="D97" s="251">
        <v>101</v>
      </c>
      <c r="E97" s="253" t="s">
        <v>225</v>
      </c>
      <c r="F97" s="58" t="s">
        <v>138</v>
      </c>
      <c r="G97" s="488">
        <v>7020000</v>
      </c>
      <c r="H97" t="s">
        <v>179</v>
      </c>
      <c r="I97" t="s">
        <v>777</v>
      </c>
    </row>
    <row r="98" spans="2:9" x14ac:dyDescent="0.2">
      <c r="B98" s="3">
        <v>45981</v>
      </c>
      <c r="C98" s="253" t="s">
        <v>311</v>
      </c>
      <c r="D98" s="251">
        <v>126</v>
      </c>
      <c r="E98" s="253" t="s">
        <v>311</v>
      </c>
      <c r="F98" s="58" t="s">
        <v>138</v>
      </c>
      <c r="G98" s="488">
        <v>770000</v>
      </c>
      <c r="H98" t="s">
        <v>179</v>
      </c>
      <c r="I98" t="s">
        <v>777</v>
      </c>
    </row>
    <row r="99" spans="2:9" x14ac:dyDescent="0.2">
      <c r="B99" s="3">
        <v>45982</v>
      </c>
      <c r="C99" s="253" t="s">
        <v>308</v>
      </c>
      <c r="D99" s="251">
        <v>129</v>
      </c>
      <c r="E99" s="253" t="s">
        <v>308</v>
      </c>
      <c r="F99" s="58" t="s">
        <v>138</v>
      </c>
      <c r="G99" s="488">
        <v>1300000</v>
      </c>
      <c r="H99" t="s">
        <v>179</v>
      </c>
      <c r="I99" t="s">
        <v>777</v>
      </c>
    </row>
    <row r="100" spans="2:9" x14ac:dyDescent="0.2">
      <c r="B100" s="3">
        <v>45983</v>
      </c>
      <c r="C100" s="253" t="s">
        <v>313</v>
      </c>
      <c r="D100" s="251">
        <v>134</v>
      </c>
      <c r="E100" s="253" t="s">
        <v>313</v>
      </c>
      <c r="F100" s="58" t="s">
        <v>138</v>
      </c>
      <c r="G100" s="488">
        <v>770000</v>
      </c>
      <c r="H100" t="s">
        <v>179</v>
      </c>
      <c r="I100" t="s">
        <v>777</v>
      </c>
    </row>
    <row r="101" spans="2:9" x14ac:dyDescent="0.2">
      <c r="B101" s="3">
        <v>45985</v>
      </c>
      <c r="C101" s="253" t="s">
        <v>318</v>
      </c>
      <c r="D101" s="251">
        <v>139</v>
      </c>
      <c r="E101" s="253" t="s">
        <v>318</v>
      </c>
      <c r="F101" s="58" t="s">
        <v>138</v>
      </c>
      <c r="G101" s="488">
        <v>16250001</v>
      </c>
      <c r="H101" t="s">
        <v>179</v>
      </c>
      <c r="I101" t="s">
        <v>777</v>
      </c>
    </row>
    <row r="102" spans="2:9" x14ac:dyDescent="0.2">
      <c r="B102" s="3">
        <v>45985</v>
      </c>
      <c r="C102" s="253" t="s">
        <v>323</v>
      </c>
      <c r="D102" s="251">
        <v>142</v>
      </c>
      <c r="E102" s="253" t="s">
        <v>323</v>
      </c>
      <c r="F102" s="58" t="s">
        <v>138</v>
      </c>
      <c r="G102" s="488">
        <v>21034000</v>
      </c>
      <c r="H102" t="s">
        <v>179</v>
      </c>
      <c r="I102" t="s">
        <v>777</v>
      </c>
    </row>
    <row r="103" spans="2:9" x14ac:dyDescent="0.2">
      <c r="B103" s="3">
        <v>45986</v>
      </c>
      <c r="C103" s="253" t="s">
        <v>315</v>
      </c>
      <c r="D103" s="251">
        <v>136</v>
      </c>
      <c r="E103" s="253" t="s">
        <v>315</v>
      </c>
      <c r="F103" s="58" t="s">
        <v>138</v>
      </c>
      <c r="G103" s="488">
        <v>15995384</v>
      </c>
      <c r="H103" t="s">
        <v>179</v>
      </c>
      <c r="I103" t="s">
        <v>777</v>
      </c>
    </row>
    <row r="104" spans="2:9" x14ac:dyDescent="0.2">
      <c r="B104" s="3">
        <v>45986</v>
      </c>
      <c r="C104" s="253" t="s">
        <v>320</v>
      </c>
      <c r="D104" s="251">
        <v>141</v>
      </c>
      <c r="E104" s="253" t="s">
        <v>320</v>
      </c>
      <c r="F104" s="58" t="s">
        <v>138</v>
      </c>
      <c r="G104" s="488">
        <v>11300000</v>
      </c>
      <c r="H104" t="s">
        <v>179</v>
      </c>
      <c r="I104" t="s">
        <v>777</v>
      </c>
    </row>
    <row r="105" spans="2:9" x14ac:dyDescent="0.2">
      <c r="B105" s="3">
        <v>46009</v>
      </c>
      <c r="C105" s="101" t="s">
        <v>374</v>
      </c>
      <c r="D105" s="251">
        <v>25000000012</v>
      </c>
      <c r="E105" s="101" t="s">
        <v>374</v>
      </c>
      <c r="F105" s="58" t="s">
        <v>138</v>
      </c>
      <c r="G105" s="488">
        <v>1435000</v>
      </c>
      <c r="H105" t="s">
        <v>179</v>
      </c>
      <c r="I105" t="s">
        <v>777</v>
      </c>
    </row>
    <row r="106" spans="2:9" x14ac:dyDescent="0.2">
      <c r="B106" s="3">
        <v>46010</v>
      </c>
      <c r="C106" s="101" t="s">
        <v>377</v>
      </c>
      <c r="D106" s="251">
        <v>25000000013</v>
      </c>
      <c r="E106" s="101" t="s">
        <v>377</v>
      </c>
      <c r="F106" s="58" t="s">
        <v>138</v>
      </c>
      <c r="G106" s="488">
        <v>1300000</v>
      </c>
      <c r="H106" t="s">
        <v>179</v>
      </c>
      <c r="I106" t="s">
        <v>777</v>
      </c>
    </row>
    <row r="107" spans="2:9" x14ac:dyDescent="0.2">
      <c r="B107" s="3">
        <v>46010</v>
      </c>
      <c r="C107" s="101" t="s">
        <v>378</v>
      </c>
      <c r="D107" s="251">
        <v>25000000014</v>
      </c>
      <c r="E107" s="101" t="s">
        <v>378</v>
      </c>
      <c r="F107" s="58" t="s">
        <v>138</v>
      </c>
      <c r="G107" s="488">
        <v>105000</v>
      </c>
      <c r="H107" t="s">
        <v>179</v>
      </c>
      <c r="I107" t="s">
        <v>777</v>
      </c>
    </row>
    <row r="108" spans="2:9" x14ac:dyDescent="0.2">
      <c r="B108" s="3">
        <v>46020</v>
      </c>
      <c r="C108" s="101" t="s">
        <v>396</v>
      </c>
      <c r="D108" s="251">
        <v>26000000001</v>
      </c>
      <c r="E108" s="101" t="s">
        <v>396</v>
      </c>
      <c r="F108" s="58" t="s">
        <v>138</v>
      </c>
      <c r="G108" s="488">
        <v>1300000</v>
      </c>
      <c r="H108" t="s">
        <v>179</v>
      </c>
      <c r="I108" t="s">
        <v>777</v>
      </c>
    </row>
    <row r="109" spans="2:9" x14ac:dyDescent="0.2">
      <c r="B109" s="3">
        <v>46030</v>
      </c>
      <c r="C109" s="6" t="s">
        <v>405</v>
      </c>
      <c r="D109" s="251">
        <v>26000000009</v>
      </c>
      <c r="E109" s="6" t="s">
        <v>405</v>
      </c>
      <c r="F109" s="58" t="s">
        <v>138</v>
      </c>
      <c r="G109" s="488">
        <v>20495652</v>
      </c>
      <c r="H109" t="s">
        <v>179</v>
      </c>
      <c r="I109" t="s">
        <v>777</v>
      </c>
    </row>
    <row r="110" spans="2:9" x14ac:dyDescent="0.2">
      <c r="B110" s="3">
        <v>45772</v>
      </c>
      <c r="C110" s="6" t="s">
        <v>540</v>
      </c>
      <c r="D110" s="251">
        <v>380</v>
      </c>
      <c r="E110" s="6" t="s">
        <v>540</v>
      </c>
      <c r="F110" s="58" t="s">
        <v>138</v>
      </c>
      <c r="G110" s="392">
        <v>800000</v>
      </c>
      <c r="H110" t="s">
        <v>179</v>
      </c>
      <c r="I110" t="s">
        <v>777</v>
      </c>
    </row>
    <row r="111" spans="2:9" x14ac:dyDescent="0.2">
      <c r="B111" s="3">
        <v>45772</v>
      </c>
      <c r="C111" s="6" t="s">
        <v>546</v>
      </c>
      <c r="D111" s="251">
        <v>386</v>
      </c>
      <c r="E111" s="6" t="s">
        <v>546</v>
      </c>
      <c r="F111" s="58" t="s">
        <v>138</v>
      </c>
      <c r="G111" s="392">
        <v>7470000</v>
      </c>
      <c r="H111" t="s">
        <v>179</v>
      </c>
      <c r="I111" t="s">
        <v>777</v>
      </c>
    </row>
    <row r="112" spans="2:9" x14ac:dyDescent="0.2">
      <c r="B112" s="3">
        <v>45832</v>
      </c>
      <c r="C112" s="6" t="s">
        <v>590</v>
      </c>
      <c r="D112" s="251">
        <v>39</v>
      </c>
      <c r="E112" s="6" t="s">
        <v>590</v>
      </c>
      <c r="F112" s="58" t="s">
        <v>138</v>
      </c>
      <c r="G112" s="392">
        <v>2000000</v>
      </c>
      <c r="H112" t="s">
        <v>179</v>
      </c>
      <c r="I112" t="s">
        <v>777</v>
      </c>
    </row>
    <row r="113" spans="2:9" x14ac:dyDescent="0.2">
      <c r="B113" s="3">
        <v>45832</v>
      </c>
      <c r="C113" s="6" t="s">
        <v>592</v>
      </c>
      <c r="D113" s="251">
        <v>42</v>
      </c>
      <c r="E113" s="6" t="s">
        <v>592</v>
      </c>
      <c r="F113" s="58" t="s">
        <v>138</v>
      </c>
      <c r="G113" s="392">
        <v>4010000</v>
      </c>
      <c r="H113" t="s">
        <v>179</v>
      </c>
      <c r="I113" t="s">
        <v>777</v>
      </c>
    </row>
    <row r="114" spans="2:9" x14ac:dyDescent="0.2">
      <c r="B114" s="3">
        <v>45839</v>
      </c>
      <c r="C114" s="6" t="s">
        <v>627</v>
      </c>
      <c r="D114" s="251">
        <v>89</v>
      </c>
      <c r="E114" s="6" t="s">
        <v>627</v>
      </c>
      <c r="F114" s="58" t="s">
        <v>138</v>
      </c>
      <c r="G114" s="392">
        <v>5910000</v>
      </c>
      <c r="H114" t="s">
        <v>626</v>
      </c>
      <c r="I114" t="s">
        <v>777</v>
      </c>
    </row>
    <row r="115" spans="2:9" x14ac:dyDescent="0.2">
      <c r="B115" s="3">
        <v>46069</v>
      </c>
      <c r="C115" s="6" t="s">
        <v>718</v>
      </c>
      <c r="D115" s="251">
        <v>26000000029</v>
      </c>
      <c r="E115" s="6" t="s">
        <v>718</v>
      </c>
      <c r="F115" s="58" t="s">
        <v>138</v>
      </c>
      <c r="G115" s="392">
        <v>200000</v>
      </c>
      <c r="H115" t="s">
        <v>179</v>
      </c>
      <c r="I115" t="s">
        <v>777</v>
      </c>
    </row>
    <row r="116" spans="2:9" x14ac:dyDescent="0.2">
      <c r="B116" s="3">
        <v>46070</v>
      </c>
      <c r="C116" s="6" t="s">
        <v>720</v>
      </c>
      <c r="D116" s="251">
        <v>26000000030</v>
      </c>
      <c r="E116" s="6" t="s">
        <v>720</v>
      </c>
      <c r="F116" s="58" t="s">
        <v>138</v>
      </c>
      <c r="G116" s="392">
        <v>12700000</v>
      </c>
      <c r="H116" t="s">
        <v>179</v>
      </c>
      <c r="I116" t="s">
        <v>777</v>
      </c>
    </row>
    <row r="117" spans="2:9" x14ac:dyDescent="0.2">
      <c r="B117" s="3">
        <v>46050</v>
      </c>
      <c r="C117" s="6" t="s">
        <v>707</v>
      </c>
      <c r="D117" s="251">
        <v>26000000018</v>
      </c>
      <c r="E117" s="6" t="s">
        <v>707</v>
      </c>
      <c r="F117" s="58" t="s">
        <v>138</v>
      </c>
      <c r="G117" s="392">
        <v>23646154</v>
      </c>
      <c r="H117" t="s">
        <v>706</v>
      </c>
      <c r="I117" t="s">
        <v>774</v>
      </c>
    </row>
    <row r="118" spans="2:9" x14ac:dyDescent="0.2">
      <c r="B118" s="3">
        <v>46048</v>
      </c>
      <c r="C118" s="6" t="s">
        <v>715</v>
      </c>
      <c r="D118" s="251">
        <v>26000000026</v>
      </c>
      <c r="E118" s="6" t="s">
        <v>715</v>
      </c>
      <c r="F118" s="58" t="s">
        <v>138</v>
      </c>
      <c r="G118" s="392">
        <v>1300000</v>
      </c>
      <c r="H118" t="s">
        <v>706</v>
      </c>
      <c r="I118" t="s">
        <v>774</v>
      </c>
    </row>
    <row r="119" spans="2:9" x14ac:dyDescent="0.2">
      <c r="B119" s="3">
        <v>45869</v>
      </c>
      <c r="C119" s="6" t="s">
        <v>228</v>
      </c>
      <c r="D119" s="251">
        <v>72</v>
      </c>
      <c r="E119" s="6" t="s">
        <v>228</v>
      </c>
      <c r="F119" s="58" t="s">
        <v>138</v>
      </c>
      <c r="G119" s="488">
        <v>43027500</v>
      </c>
      <c r="H119" t="s">
        <v>181</v>
      </c>
      <c r="I119" t="s">
        <v>787</v>
      </c>
    </row>
    <row r="120" spans="2:9" x14ac:dyDescent="0.2">
      <c r="B120" s="3">
        <v>45930</v>
      </c>
      <c r="C120" s="253" t="s">
        <v>216</v>
      </c>
      <c r="D120" s="251">
        <v>94</v>
      </c>
      <c r="E120" s="253" t="s">
        <v>216</v>
      </c>
      <c r="F120" s="58" t="s">
        <v>138</v>
      </c>
      <c r="G120" s="488">
        <v>27485000</v>
      </c>
      <c r="H120" t="s">
        <v>181</v>
      </c>
      <c r="I120" t="s">
        <v>787</v>
      </c>
    </row>
    <row r="121" spans="2:9" x14ac:dyDescent="0.2">
      <c r="B121" s="3">
        <v>45930</v>
      </c>
      <c r="C121" s="489" t="s">
        <v>217</v>
      </c>
      <c r="D121" s="251">
        <v>95</v>
      </c>
      <c r="E121" s="489" t="s">
        <v>217</v>
      </c>
      <c r="F121" s="58" t="s">
        <v>138</v>
      </c>
      <c r="G121" s="488">
        <v>41820000</v>
      </c>
      <c r="H121" t="s">
        <v>181</v>
      </c>
      <c r="I121" t="s">
        <v>787</v>
      </c>
    </row>
    <row r="122" spans="2:9" x14ac:dyDescent="0.2">
      <c r="B122" s="3">
        <v>45930</v>
      </c>
      <c r="C122" s="253" t="s">
        <v>218</v>
      </c>
      <c r="D122" s="251">
        <v>96</v>
      </c>
      <c r="E122" s="253" t="s">
        <v>218</v>
      </c>
      <c r="F122" s="58" t="s">
        <v>138</v>
      </c>
      <c r="G122" s="488">
        <v>40900000</v>
      </c>
      <c r="H122" t="s">
        <v>181</v>
      </c>
      <c r="I122" t="s">
        <v>787</v>
      </c>
    </row>
    <row r="123" spans="2:9" x14ac:dyDescent="0.2">
      <c r="B123" s="3">
        <v>45985</v>
      </c>
      <c r="C123" s="253" t="s">
        <v>319</v>
      </c>
      <c r="D123" s="251">
        <v>140</v>
      </c>
      <c r="E123" s="253" t="s">
        <v>319</v>
      </c>
      <c r="F123" s="58" t="s">
        <v>138</v>
      </c>
      <c r="G123" s="488">
        <v>26889880</v>
      </c>
      <c r="H123" t="s">
        <v>181</v>
      </c>
      <c r="I123" t="s">
        <v>787</v>
      </c>
    </row>
    <row r="124" spans="2:9" x14ac:dyDescent="0.2">
      <c r="B124" s="3">
        <v>46027</v>
      </c>
      <c r="C124" s="6" t="s">
        <v>400</v>
      </c>
      <c r="D124" s="251">
        <v>26000000003</v>
      </c>
      <c r="E124" s="6" t="s">
        <v>400</v>
      </c>
      <c r="F124" s="58" t="s">
        <v>138</v>
      </c>
      <c r="G124" s="488">
        <v>1400000</v>
      </c>
      <c r="H124" t="s">
        <v>181</v>
      </c>
      <c r="I124" t="s">
        <v>787</v>
      </c>
    </row>
    <row r="125" spans="2:9" x14ac:dyDescent="0.2">
      <c r="B125" s="3">
        <v>46029</v>
      </c>
      <c r="C125" s="101" t="s">
        <v>398</v>
      </c>
      <c r="D125" s="251">
        <v>26000000007</v>
      </c>
      <c r="E125" s="101" t="s">
        <v>398</v>
      </c>
      <c r="F125" s="58" t="s">
        <v>138</v>
      </c>
      <c r="G125" s="488">
        <v>24100000</v>
      </c>
      <c r="H125" t="s">
        <v>181</v>
      </c>
      <c r="I125" t="s">
        <v>787</v>
      </c>
    </row>
    <row r="126" spans="2:9" x14ac:dyDescent="0.2">
      <c r="B126" s="3">
        <v>45771</v>
      </c>
      <c r="C126" s="6" t="s">
        <v>542</v>
      </c>
      <c r="D126" s="251">
        <v>382</v>
      </c>
      <c r="E126" s="6" t="s">
        <v>542</v>
      </c>
      <c r="F126" s="58" t="s">
        <v>138</v>
      </c>
      <c r="G126" s="392">
        <v>33983830</v>
      </c>
      <c r="H126" t="s">
        <v>181</v>
      </c>
      <c r="I126" t="s">
        <v>787</v>
      </c>
    </row>
    <row r="127" spans="2:9" x14ac:dyDescent="0.2">
      <c r="B127" s="3">
        <v>45798</v>
      </c>
      <c r="C127" s="6" t="s">
        <v>571</v>
      </c>
      <c r="D127" s="251">
        <v>15</v>
      </c>
      <c r="E127" s="6" t="s">
        <v>571</v>
      </c>
      <c r="F127" s="58" t="s">
        <v>138</v>
      </c>
      <c r="G127" s="392">
        <v>44390000</v>
      </c>
      <c r="H127" t="s">
        <v>181</v>
      </c>
      <c r="I127" t="s">
        <v>787</v>
      </c>
    </row>
    <row r="128" spans="2:9" x14ac:dyDescent="0.2">
      <c r="B128" s="3">
        <v>45798</v>
      </c>
      <c r="C128" s="6" t="s">
        <v>572</v>
      </c>
      <c r="D128" s="251">
        <v>16</v>
      </c>
      <c r="E128" s="6" t="s">
        <v>572</v>
      </c>
      <c r="F128" s="58" t="s">
        <v>138</v>
      </c>
      <c r="G128" s="392">
        <v>40935000</v>
      </c>
      <c r="H128" t="s">
        <v>181</v>
      </c>
      <c r="I128" t="s">
        <v>787</v>
      </c>
    </row>
    <row r="129" spans="2:9" x14ac:dyDescent="0.2">
      <c r="B129" s="3">
        <v>46001</v>
      </c>
      <c r="C129" s="6" t="s">
        <v>703</v>
      </c>
      <c r="D129" s="251">
        <v>26000000016</v>
      </c>
      <c r="E129" s="6" t="s">
        <v>703</v>
      </c>
      <c r="F129" s="58" t="s">
        <v>138</v>
      </c>
      <c r="G129" s="392">
        <v>22925800</v>
      </c>
      <c r="H129" t="s">
        <v>181</v>
      </c>
      <c r="I129" t="s">
        <v>787</v>
      </c>
    </row>
    <row r="130" spans="2:9" x14ac:dyDescent="0.2">
      <c r="B130" s="3">
        <v>46052</v>
      </c>
      <c r="C130" s="6" t="s">
        <v>708</v>
      </c>
      <c r="D130" s="251">
        <v>26000000019</v>
      </c>
      <c r="E130" s="6" t="s">
        <v>708</v>
      </c>
      <c r="F130" s="58" t="s">
        <v>138</v>
      </c>
      <c r="G130" s="392">
        <v>18705000</v>
      </c>
      <c r="H130" t="s">
        <v>181</v>
      </c>
      <c r="I130" t="s">
        <v>787</v>
      </c>
    </row>
    <row r="131" spans="2:9" x14ac:dyDescent="0.2">
      <c r="B131" s="3">
        <v>46057</v>
      </c>
      <c r="C131" s="6" t="s">
        <v>709</v>
      </c>
      <c r="D131" s="251">
        <v>26000000020</v>
      </c>
      <c r="E131" s="6" t="s">
        <v>709</v>
      </c>
      <c r="F131" s="58" t="s">
        <v>138</v>
      </c>
      <c r="G131" s="392">
        <v>6650000</v>
      </c>
      <c r="H131" t="s">
        <v>181</v>
      </c>
      <c r="I131" t="s">
        <v>787</v>
      </c>
    </row>
    <row r="132" spans="2:9" x14ac:dyDescent="0.2">
      <c r="B132" s="3">
        <v>46078</v>
      </c>
      <c r="C132" s="6" t="s">
        <v>727</v>
      </c>
      <c r="D132" s="251">
        <v>26000000038</v>
      </c>
      <c r="E132" s="6" t="s">
        <v>727</v>
      </c>
      <c r="F132" s="58" t="s">
        <v>138</v>
      </c>
      <c r="G132" s="392">
        <v>8985000</v>
      </c>
      <c r="H132" t="s">
        <v>181</v>
      </c>
      <c r="I132" t="s">
        <v>787</v>
      </c>
    </row>
    <row r="133" spans="2:9" x14ac:dyDescent="0.2">
      <c r="B133" s="3">
        <v>45926</v>
      </c>
      <c r="C133" s="6" t="s">
        <v>215</v>
      </c>
      <c r="D133" s="251">
        <v>93</v>
      </c>
      <c r="E133" s="6" t="s">
        <v>215</v>
      </c>
      <c r="F133" s="58" t="s">
        <v>138</v>
      </c>
      <c r="G133" s="488">
        <v>2295000</v>
      </c>
      <c r="H133" t="s">
        <v>183</v>
      </c>
      <c r="I133" t="s">
        <v>783</v>
      </c>
    </row>
    <row r="134" spans="2:9" x14ac:dyDescent="0.2">
      <c r="B134" s="3">
        <v>45946</v>
      </c>
      <c r="C134" s="253" t="s">
        <v>268</v>
      </c>
      <c r="D134" s="251">
        <v>112</v>
      </c>
      <c r="E134" s="253" t="s">
        <v>268</v>
      </c>
      <c r="F134" s="58" t="s">
        <v>138</v>
      </c>
      <c r="G134" s="488">
        <v>1890000</v>
      </c>
      <c r="H134" t="s">
        <v>183</v>
      </c>
      <c r="I134" t="s">
        <v>783</v>
      </c>
    </row>
    <row r="135" spans="2:9" x14ac:dyDescent="0.2">
      <c r="B135" s="3">
        <v>45946</v>
      </c>
      <c r="C135" s="6" t="s">
        <v>274</v>
      </c>
      <c r="D135" s="251">
        <v>113</v>
      </c>
      <c r="E135" s="6" t="s">
        <v>274</v>
      </c>
      <c r="F135" s="58" t="s">
        <v>138</v>
      </c>
      <c r="G135" s="488">
        <v>200000</v>
      </c>
      <c r="H135" t="s">
        <v>183</v>
      </c>
      <c r="I135" t="s">
        <v>783</v>
      </c>
    </row>
    <row r="136" spans="2:9" x14ac:dyDescent="0.2">
      <c r="B136" s="3">
        <v>45947</v>
      </c>
      <c r="C136" s="253" t="s">
        <v>269</v>
      </c>
      <c r="D136" s="251">
        <v>114</v>
      </c>
      <c r="E136" s="253" t="s">
        <v>269</v>
      </c>
      <c r="F136" s="58" t="s">
        <v>138</v>
      </c>
      <c r="G136" s="488">
        <v>3780000</v>
      </c>
      <c r="H136" t="s">
        <v>183</v>
      </c>
      <c r="I136" t="s">
        <v>783</v>
      </c>
    </row>
    <row r="137" spans="2:9" x14ac:dyDescent="0.2">
      <c r="B137" s="3">
        <v>45949</v>
      </c>
      <c r="C137" s="253" t="s">
        <v>271</v>
      </c>
      <c r="D137" s="251">
        <v>117</v>
      </c>
      <c r="E137" s="253" t="s">
        <v>271</v>
      </c>
      <c r="F137" s="58" t="s">
        <v>138</v>
      </c>
      <c r="G137" s="488">
        <v>1200000</v>
      </c>
      <c r="H137" t="s">
        <v>183</v>
      </c>
      <c r="I137" t="s">
        <v>783</v>
      </c>
    </row>
    <row r="138" spans="2:9" x14ac:dyDescent="0.2">
      <c r="B138" s="3">
        <v>45950</v>
      </c>
      <c r="C138" s="253" t="s">
        <v>265</v>
      </c>
      <c r="D138" s="251">
        <v>118</v>
      </c>
      <c r="E138" s="253" t="s">
        <v>265</v>
      </c>
      <c r="F138" s="58" t="s">
        <v>138</v>
      </c>
      <c r="G138" s="488">
        <v>2630000</v>
      </c>
      <c r="H138" t="s">
        <v>183</v>
      </c>
      <c r="I138" t="s">
        <v>783</v>
      </c>
    </row>
    <row r="139" spans="2:9" x14ac:dyDescent="0.2">
      <c r="B139" s="3">
        <v>46017</v>
      </c>
      <c r="C139" s="101" t="s">
        <v>380</v>
      </c>
      <c r="D139" s="251">
        <v>25000000016</v>
      </c>
      <c r="E139" s="101" t="s">
        <v>380</v>
      </c>
      <c r="F139" s="58" t="s">
        <v>138</v>
      </c>
      <c r="G139" s="488">
        <v>900000</v>
      </c>
      <c r="H139" t="s">
        <v>183</v>
      </c>
      <c r="I139" t="s">
        <v>783</v>
      </c>
    </row>
    <row r="140" spans="2:9" x14ac:dyDescent="0.2">
      <c r="B140" s="3">
        <v>45771</v>
      </c>
      <c r="C140" s="6" t="s">
        <v>555</v>
      </c>
      <c r="D140" s="251">
        <v>398</v>
      </c>
      <c r="E140" s="6" t="s">
        <v>555</v>
      </c>
      <c r="F140" s="58" t="s">
        <v>138</v>
      </c>
      <c r="G140" s="392">
        <v>2640000</v>
      </c>
      <c r="H140" t="s">
        <v>183</v>
      </c>
      <c r="I140" t="s">
        <v>783</v>
      </c>
    </row>
    <row r="141" spans="2:9" x14ac:dyDescent="0.2">
      <c r="B141" s="3">
        <v>45796</v>
      </c>
      <c r="C141" s="6" t="s">
        <v>565</v>
      </c>
      <c r="D141" s="251">
        <v>9</v>
      </c>
      <c r="E141" s="6" t="s">
        <v>565</v>
      </c>
      <c r="F141" s="58" t="s">
        <v>138</v>
      </c>
      <c r="G141" s="392">
        <v>600000</v>
      </c>
      <c r="H141" t="s">
        <v>183</v>
      </c>
      <c r="I141" t="s">
        <v>783</v>
      </c>
    </row>
    <row r="142" spans="2:9" x14ac:dyDescent="0.2">
      <c r="B142" s="3">
        <v>45796</v>
      </c>
      <c r="C142" s="6" t="s">
        <v>569</v>
      </c>
      <c r="D142" s="251">
        <v>13</v>
      </c>
      <c r="E142" s="6" t="s">
        <v>569</v>
      </c>
      <c r="F142" s="58" t="s">
        <v>138</v>
      </c>
      <c r="G142" s="392">
        <v>200000</v>
      </c>
      <c r="H142" t="s">
        <v>183</v>
      </c>
      <c r="I142" t="s">
        <v>783</v>
      </c>
    </row>
    <row r="143" spans="2:9" x14ac:dyDescent="0.2">
      <c r="B143" s="3">
        <v>45799</v>
      </c>
      <c r="C143" s="6" t="s">
        <v>574</v>
      </c>
      <c r="D143" s="251">
        <v>18</v>
      </c>
      <c r="E143" s="6" t="s">
        <v>574</v>
      </c>
      <c r="F143" s="58" t="s">
        <v>138</v>
      </c>
      <c r="G143" s="392">
        <v>1425000</v>
      </c>
      <c r="H143" t="s">
        <v>183</v>
      </c>
      <c r="I143" t="s">
        <v>783</v>
      </c>
    </row>
    <row r="144" spans="2:9" x14ac:dyDescent="0.2">
      <c r="B144" s="3">
        <v>45804</v>
      </c>
      <c r="C144" s="6" t="s">
        <v>577</v>
      </c>
      <c r="D144" s="251">
        <v>22</v>
      </c>
      <c r="E144" s="6" t="s">
        <v>577</v>
      </c>
      <c r="F144" s="58" t="s">
        <v>138</v>
      </c>
      <c r="G144" s="392">
        <v>8600000</v>
      </c>
      <c r="H144" t="s">
        <v>183</v>
      </c>
      <c r="I144" t="s">
        <v>783</v>
      </c>
    </row>
    <row r="145" spans="2:9" x14ac:dyDescent="0.2">
      <c r="B145" s="3">
        <v>45824</v>
      </c>
      <c r="C145" s="6" t="s">
        <v>587</v>
      </c>
      <c r="D145" s="251">
        <v>35</v>
      </c>
      <c r="E145" s="6" t="s">
        <v>587</v>
      </c>
      <c r="F145" s="58" t="s">
        <v>138</v>
      </c>
      <c r="G145" s="392">
        <v>400000</v>
      </c>
      <c r="H145" t="s">
        <v>183</v>
      </c>
      <c r="I145" t="s">
        <v>783</v>
      </c>
    </row>
    <row r="146" spans="2:9" x14ac:dyDescent="0.2">
      <c r="B146" s="3">
        <v>45849</v>
      </c>
      <c r="C146" s="6" t="s">
        <v>599</v>
      </c>
      <c r="D146" s="251">
        <v>51</v>
      </c>
      <c r="E146" s="6" t="s">
        <v>599</v>
      </c>
      <c r="F146" s="58" t="s">
        <v>138</v>
      </c>
      <c r="G146" s="392">
        <v>13185000</v>
      </c>
      <c r="H146" t="s">
        <v>183</v>
      </c>
      <c r="I146" t="s">
        <v>783</v>
      </c>
    </row>
    <row r="147" spans="2:9" x14ac:dyDescent="0.2">
      <c r="B147" s="3">
        <v>46038</v>
      </c>
      <c r="C147" s="6" t="s">
        <v>704</v>
      </c>
      <c r="D147" s="251">
        <v>26000000017</v>
      </c>
      <c r="E147" s="6" t="s">
        <v>704</v>
      </c>
      <c r="F147" s="58" t="s">
        <v>138</v>
      </c>
      <c r="G147" s="392">
        <v>800000</v>
      </c>
      <c r="H147" t="s">
        <v>183</v>
      </c>
      <c r="I147" t="s">
        <v>783</v>
      </c>
    </row>
    <row r="148" spans="2:9" x14ac:dyDescent="0.2">
      <c r="B148" s="3">
        <v>46079</v>
      </c>
      <c r="C148" s="6" t="s">
        <v>726</v>
      </c>
      <c r="D148" s="251">
        <v>26000000036</v>
      </c>
      <c r="E148" s="6" t="s">
        <v>726</v>
      </c>
      <c r="F148" s="58" t="s">
        <v>138</v>
      </c>
      <c r="G148" s="392">
        <v>200000</v>
      </c>
      <c r="H148" t="s">
        <v>183</v>
      </c>
      <c r="I148" t="s">
        <v>783</v>
      </c>
    </row>
    <row r="149" spans="2:9" x14ac:dyDescent="0.2">
      <c r="B149" s="3">
        <v>46077</v>
      </c>
      <c r="C149" s="6" t="s">
        <v>725</v>
      </c>
      <c r="D149" s="251">
        <v>26000000034</v>
      </c>
      <c r="E149" s="6" t="s">
        <v>725</v>
      </c>
      <c r="F149" s="58" t="s">
        <v>138</v>
      </c>
      <c r="G149" s="392">
        <v>2100000</v>
      </c>
      <c r="H149" t="s">
        <v>772</v>
      </c>
      <c r="I149" t="s">
        <v>803</v>
      </c>
    </row>
    <row r="150" spans="2:9" x14ac:dyDescent="0.2">
      <c r="B150" s="3">
        <v>45490</v>
      </c>
      <c r="C150" s="6" t="s">
        <v>411</v>
      </c>
      <c r="D150" s="251">
        <v>344</v>
      </c>
      <c r="E150" s="6" t="s">
        <v>411</v>
      </c>
      <c r="F150" s="58" t="s">
        <v>138</v>
      </c>
      <c r="G150" s="488">
        <v>17025000</v>
      </c>
      <c r="H150" t="s">
        <v>184</v>
      </c>
      <c r="I150" t="s">
        <v>753</v>
      </c>
    </row>
    <row r="151" spans="2:9" x14ac:dyDescent="0.2">
      <c r="B151" s="3">
        <v>45762</v>
      </c>
      <c r="C151" s="6" t="s">
        <v>580</v>
      </c>
      <c r="D151" s="251">
        <v>25</v>
      </c>
      <c r="E151" s="6" t="s">
        <v>580</v>
      </c>
      <c r="F151" s="58" t="s">
        <v>138</v>
      </c>
      <c r="G151" s="392">
        <v>1275000</v>
      </c>
      <c r="H151" t="s">
        <v>184</v>
      </c>
      <c r="I151" t="s">
        <v>753</v>
      </c>
    </row>
    <row r="152" spans="2:9" x14ac:dyDescent="0.2">
      <c r="B152" s="3">
        <v>45833</v>
      </c>
      <c r="C152" s="6" t="s">
        <v>588</v>
      </c>
      <c r="D152" s="251">
        <v>36</v>
      </c>
      <c r="E152" s="6" t="s">
        <v>588</v>
      </c>
      <c r="F152" s="58" t="s">
        <v>138</v>
      </c>
      <c r="G152" s="392">
        <v>750000</v>
      </c>
      <c r="H152" t="s">
        <v>184</v>
      </c>
      <c r="I152" t="s">
        <v>753</v>
      </c>
    </row>
    <row r="153" spans="2:9" x14ac:dyDescent="0.2">
      <c r="B153" s="3">
        <v>45979</v>
      </c>
      <c r="C153" s="253" t="s">
        <v>342</v>
      </c>
      <c r="D153" s="251">
        <v>123</v>
      </c>
      <c r="E153" s="253" t="s">
        <v>342</v>
      </c>
      <c r="F153" s="58" t="s">
        <v>138</v>
      </c>
      <c r="G153" s="488">
        <v>6510000</v>
      </c>
      <c r="H153" t="s">
        <v>629</v>
      </c>
      <c r="I153" t="s">
        <v>776</v>
      </c>
    </row>
    <row r="154" spans="2:9" x14ac:dyDescent="0.2">
      <c r="B154" s="3">
        <v>45979</v>
      </c>
      <c r="C154" s="253" t="s">
        <v>343</v>
      </c>
      <c r="D154" s="251">
        <v>124</v>
      </c>
      <c r="E154" s="253" t="s">
        <v>343</v>
      </c>
      <c r="F154" s="58" t="s">
        <v>138</v>
      </c>
      <c r="G154" s="488">
        <v>12600000</v>
      </c>
      <c r="H154" t="s">
        <v>629</v>
      </c>
      <c r="I154" t="s">
        <v>776</v>
      </c>
    </row>
    <row r="155" spans="2:9" x14ac:dyDescent="0.2">
      <c r="B155" s="3">
        <v>45644</v>
      </c>
      <c r="C155" s="6" t="s">
        <v>516</v>
      </c>
      <c r="D155" s="251">
        <v>249</v>
      </c>
      <c r="E155" s="6" t="s">
        <v>516</v>
      </c>
      <c r="F155" s="58" t="s">
        <v>138</v>
      </c>
      <c r="G155" s="392">
        <v>1700000</v>
      </c>
      <c r="H155" t="s">
        <v>207</v>
      </c>
      <c r="I155" t="s">
        <v>798</v>
      </c>
    </row>
    <row r="156" spans="2:9" x14ac:dyDescent="0.2">
      <c r="B156" s="3">
        <v>45644</v>
      </c>
      <c r="C156" s="6" t="s">
        <v>526</v>
      </c>
      <c r="D156" s="251">
        <v>360</v>
      </c>
      <c r="E156" s="6" t="s">
        <v>526</v>
      </c>
      <c r="F156" s="58" t="s">
        <v>138</v>
      </c>
      <c r="G156" s="392">
        <v>5120000</v>
      </c>
      <c r="H156" t="s">
        <v>207</v>
      </c>
      <c r="I156" t="s">
        <v>798</v>
      </c>
    </row>
    <row r="157" spans="2:9" x14ac:dyDescent="0.2">
      <c r="B157" s="3">
        <v>45678</v>
      </c>
      <c r="C157" s="6" t="s">
        <v>422</v>
      </c>
      <c r="D157" s="251">
        <v>331</v>
      </c>
      <c r="E157" s="251" t="s">
        <v>422</v>
      </c>
      <c r="F157" s="58" t="s">
        <v>138</v>
      </c>
      <c r="G157" s="488">
        <v>5000000</v>
      </c>
      <c r="H157" t="s">
        <v>176</v>
      </c>
      <c r="I157" t="s">
        <v>770</v>
      </c>
    </row>
    <row r="158" spans="2:9" x14ac:dyDescent="0.2">
      <c r="B158" s="3">
        <v>45713</v>
      </c>
      <c r="C158" s="6" t="s">
        <v>413</v>
      </c>
      <c r="D158" s="251">
        <v>342</v>
      </c>
      <c r="E158" s="6" t="s">
        <v>413</v>
      </c>
      <c r="F158" s="58" t="s">
        <v>138</v>
      </c>
      <c r="G158" s="488">
        <v>2160000</v>
      </c>
      <c r="H158" t="s">
        <v>176</v>
      </c>
      <c r="I158" t="s">
        <v>770</v>
      </c>
    </row>
    <row r="159" spans="2:9" x14ac:dyDescent="0.2">
      <c r="B159" s="3">
        <v>45798</v>
      </c>
      <c r="C159" s="6" t="s">
        <v>446</v>
      </c>
      <c r="D159" s="251">
        <v>316</v>
      </c>
      <c r="E159" s="6" t="s">
        <v>446</v>
      </c>
      <c r="F159" s="58" t="s">
        <v>138</v>
      </c>
      <c r="G159" s="488">
        <v>4800000</v>
      </c>
      <c r="H159" t="s">
        <v>176</v>
      </c>
      <c r="I159" t="s">
        <v>770</v>
      </c>
    </row>
    <row r="160" spans="2:9" x14ac:dyDescent="0.2">
      <c r="B160" s="3">
        <v>45646</v>
      </c>
      <c r="C160" s="6" t="s">
        <v>480</v>
      </c>
      <c r="D160" s="251">
        <v>243</v>
      </c>
      <c r="E160" s="6" t="s">
        <v>480</v>
      </c>
      <c r="F160" s="58" t="s">
        <v>138</v>
      </c>
      <c r="G160" s="392">
        <v>2700000</v>
      </c>
      <c r="H160" t="s">
        <v>176</v>
      </c>
      <c r="I160" t="s">
        <v>770</v>
      </c>
    </row>
    <row r="161" spans="2:9" x14ac:dyDescent="0.2">
      <c r="B161" s="3">
        <v>45694</v>
      </c>
      <c r="C161" s="6" t="s">
        <v>460</v>
      </c>
      <c r="D161" s="251">
        <v>293</v>
      </c>
      <c r="E161" s="6" t="s">
        <v>460</v>
      </c>
      <c r="F161" s="58" t="s">
        <v>138</v>
      </c>
      <c r="G161" s="392">
        <v>4200000</v>
      </c>
      <c r="H161" t="s">
        <v>176</v>
      </c>
      <c r="I161" t="s">
        <v>770</v>
      </c>
    </row>
    <row r="162" spans="2:9" x14ac:dyDescent="0.2">
      <c r="B162" s="3">
        <v>45694</v>
      </c>
      <c r="C162" s="6" t="s">
        <v>461</v>
      </c>
      <c r="D162" s="251">
        <v>294</v>
      </c>
      <c r="E162" s="6" t="s">
        <v>461</v>
      </c>
      <c r="F162" s="58" t="s">
        <v>138</v>
      </c>
      <c r="G162" s="392">
        <v>3500000</v>
      </c>
      <c r="H162" t="s">
        <v>176</v>
      </c>
      <c r="I162" t="s">
        <v>770</v>
      </c>
    </row>
    <row r="163" spans="2:9" x14ac:dyDescent="0.2">
      <c r="B163" s="3">
        <v>45694</v>
      </c>
      <c r="C163" s="6" t="s">
        <v>462</v>
      </c>
      <c r="D163" s="251">
        <v>295</v>
      </c>
      <c r="E163" s="6" t="s">
        <v>462</v>
      </c>
      <c r="F163" s="58" t="s">
        <v>138</v>
      </c>
      <c r="G163" s="392">
        <v>2160000</v>
      </c>
      <c r="H163" t="s">
        <v>176</v>
      </c>
      <c r="I163" t="s">
        <v>770</v>
      </c>
    </row>
    <row r="164" spans="2:9" x14ac:dyDescent="0.2">
      <c r="B164" s="3">
        <v>45694</v>
      </c>
      <c r="C164" s="6" t="s">
        <v>463</v>
      </c>
      <c r="D164" s="251">
        <v>296</v>
      </c>
      <c r="E164" s="6" t="s">
        <v>463</v>
      </c>
      <c r="F164" s="58" t="s">
        <v>138</v>
      </c>
      <c r="G164" s="392">
        <v>2520000</v>
      </c>
      <c r="H164" t="s">
        <v>176</v>
      </c>
      <c r="I164" t="s">
        <v>770</v>
      </c>
    </row>
    <row r="165" spans="2:9" x14ac:dyDescent="0.2">
      <c r="B165" s="3">
        <v>45694</v>
      </c>
      <c r="C165" s="6" t="s">
        <v>464</v>
      </c>
      <c r="D165" s="251">
        <v>297</v>
      </c>
      <c r="E165" s="6" t="s">
        <v>464</v>
      </c>
      <c r="F165" s="58" t="s">
        <v>138</v>
      </c>
      <c r="G165" s="392">
        <v>540000</v>
      </c>
      <c r="H165" t="s">
        <v>176</v>
      </c>
      <c r="I165" t="s">
        <v>770</v>
      </c>
    </row>
    <row r="166" spans="2:9" x14ac:dyDescent="0.2">
      <c r="B166" s="3">
        <v>45679</v>
      </c>
      <c r="C166" s="6" t="s">
        <v>469</v>
      </c>
      <c r="D166" s="251">
        <v>305</v>
      </c>
      <c r="E166" s="6" t="s">
        <v>469</v>
      </c>
      <c r="F166" s="58" t="s">
        <v>138</v>
      </c>
      <c r="G166" s="392">
        <v>3960000</v>
      </c>
      <c r="H166" t="s">
        <v>176</v>
      </c>
      <c r="I166" t="s">
        <v>770</v>
      </c>
    </row>
    <row r="167" spans="2:9" x14ac:dyDescent="0.2">
      <c r="B167" s="3">
        <v>45679</v>
      </c>
      <c r="C167" s="6" t="s">
        <v>475</v>
      </c>
      <c r="D167" s="251">
        <v>312</v>
      </c>
      <c r="E167" s="6" t="s">
        <v>475</v>
      </c>
      <c r="F167" s="58" t="s">
        <v>138</v>
      </c>
      <c r="G167" s="392">
        <v>3780000</v>
      </c>
      <c r="H167" t="s">
        <v>176</v>
      </c>
      <c r="I167" t="s">
        <v>770</v>
      </c>
    </row>
    <row r="168" spans="2:9" x14ac:dyDescent="0.2">
      <c r="B168" s="3">
        <v>45678</v>
      </c>
      <c r="C168" s="6" t="s">
        <v>474</v>
      </c>
      <c r="D168" s="251">
        <v>313</v>
      </c>
      <c r="E168" s="6" t="s">
        <v>474</v>
      </c>
      <c r="F168" s="58" t="s">
        <v>138</v>
      </c>
      <c r="G168" s="392">
        <v>3500000</v>
      </c>
      <c r="H168" t="s">
        <v>176</v>
      </c>
      <c r="I168" t="s">
        <v>770</v>
      </c>
    </row>
    <row r="169" spans="2:9" x14ac:dyDescent="0.2">
      <c r="B169" s="3">
        <v>45636</v>
      </c>
      <c r="C169" s="6" t="s">
        <v>509</v>
      </c>
      <c r="D169" s="251">
        <v>238</v>
      </c>
      <c r="E169" s="6" t="s">
        <v>509</v>
      </c>
      <c r="F169" s="58" t="s">
        <v>138</v>
      </c>
      <c r="G169" s="392">
        <v>3500000</v>
      </c>
      <c r="H169" t="s">
        <v>175</v>
      </c>
      <c r="I169" t="s">
        <v>800</v>
      </c>
    </row>
    <row r="170" spans="2:9" x14ac:dyDescent="0.2">
      <c r="B170" s="3">
        <v>45646</v>
      </c>
      <c r="C170" s="6" t="s">
        <v>477</v>
      </c>
      <c r="D170" s="251">
        <v>245</v>
      </c>
      <c r="E170" s="6" t="s">
        <v>477</v>
      </c>
      <c r="F170" s="58" t="s">
        <v>138</v>
      </c>
      <c r="G170" s="392">
        <v>3500000</v>
      </c>
      <c r="H170" t="s">
        <v>175</v>
      </c>
      <c r="I170" t="s">
        <v>800</v>
      </c>
    </row>
    <row r="171" spans="2:9" x14ac:dyDescent="0.2">
      <c r="B171" s="3">
        <v>45642</v>
      </c>
      <c r="C171" s="6" t="s">
        <v>417</v>
      </c>
      <c r="D171" s="251">
        <v>336</v>
      </c>
      <c r="E171" s="6" t="s">
        <v>417</v>
      </c>
      <c r="F171" s="58" t="s">
        <v>138</v>
      </c>
      <c r="G171" s="488">
        <v>7360000</v>
      </c>
      <c r="H171" t="s">
        <v>199</v>
      </c>
      <c r="I171" t="s">
        <v>769</v>
      </c>
    </row>
    <row r="172" spans="2:9" x14ac:dyDescent="0.2">
      <c r="B172" s="3">
        <v>45646</v>
      </c>
      <c r="C172" s="6" t="s">
        <v>418</v>
      </c>
      <c r="D172" s="251">
        <v>335</v>
      </c>
      <c r="E172" s="6" t="s">
        <v>418</v>
      </c>
      <c r="F172" s="58" t="s">
        <v>138</v>
      </c>
      <c r="G172" s="488">
        <v>4400000</v>
      </c>
      <c r="H172" t="s">
        <v>199</v>
      </c>
      <c r="I172" t="s">
        <v>769</v>
      </c>
    </row>
    <row r="173" spans="2:9" x14ac:dyDescent="0.2">
      <c r="B173" s="3">
        <v>45646</v>
      </c>
      <c r="C173" s="6" t="s">
        <v>423</v>
      </c>
      <c r="D173" s="251">
        <v>330</v>
      </c>
      <c r="E173" s="6" t="s">
        <v>423</v>
      </c>
      <c r="F173" s="58" t="s">
        <v>138</v>
      </c>
      <c r="G173" s="488">
        <v>6600000</v>
      </c>
      <c r="H173" t="s">
        <v>199</v>
      </c>
      <c r="I173" t="s">
        <v>769</v>
      </c>
    </row>
    <row r="174" spans="2:9" x14ac:dyDescent="0.2">
      <c r="B174" s="3">
        <v>45679</v>
      </c>
      <c r="C174" s="6" t="s">
        <v>419</v>
      </c>
      <c r="D174" s="251">
        <v>334</v>
      </c>
      <c r="E174" s="6" t="s">
        <v>419</v>
      </c>
      <c r="F174" s="58" t="s">
        <v>138</v>
      </c>
      <c r="G174" s="488">
        <v>7680000</v>
      </c>
      <c r="H174" t="s">
        <v>199</v>
      </c>
      <c r="I174" t="s">
        <v>769</v>
      </c>
    </row>
    <row r="175" spans="2:9" x14ac:dyDescent="0.2">
      <c r="B175" s="3">
        <v>45691</v>
      </c>
      <c r="C175" s="6" t="s">
        <v>412</v>
      </c>
      <c r="D175" s="251">
        <v>341</v>
      </c>
      <c r="E175" s="6" t="s">
        <v>412</v>
      </c>
      <c r="F175" s="58" t="s">
        <v>138</v>
      </c>
      <c r="G175" s="488">
        <v>660000</v>
      </c>
      <c r="H175" t="s">
        <v>199</v>
      </c>
      <c r="I175" t="s">
        <v>769</v>
      </c>
    </row>
    <row r="176" spans="2:9" x14ac:dyDescent="0.2">
      <c r="B176" s="3">
        <v>45694</v>
      </c>
      <c r="C176" s="6" t="s">
        <v>441</v>
      </c>
      <c r="D176" s="251">
        <v>321</v>
      </c>
      <c r="E176" s="6" t="s">
        <v>441</v>
      </c>
      <c r="F176" s="58" t="s">
        <v>138</v>
      </c>
      <c r="G176" s="488">
        <v>4290000</v>
      </c>
      <c r="H176" t="s">
        <v>199</v>
      </c>
      <c r="I176" t="s">
        <v>769</v>
      </c>
    </row>
    <row r="177" spans="2:9" x14ac:dyDescent="0.2">
      <c r="B177" s="3">
        <v>45644</v>
      </c>
      <c r="C177" s="6" t="s">
        <v>517</v>
      </c>
      <c r="D177" s="251">
        <v>248</v>
      </c>
      <c r="E177" s="6" t="s">
        <v>517</v>
      </c>
      <c r="F177" s="58" t="s">
        <v>138</v>
      </c>
      <c r="G177" s="392">
        <v>330000</v>
      </c>
      <c r="H177" t="s">
        <v>199</v>
      </c>
      <c r="I177" t="s">
        <v>769</v>
      </c>
    </row>
    <row r="178" spans="2:9" x14ac:dyDescent="0.2">
      <c r="B178" s="3">
        <v>45679</v>
      </c>
      <c r="C178" s="6" t="s">
        <v>759</v>
      </c>
      <c r="D178" s="251">
        <v>263</v>
      </c>
      <c r="E178" s="6" t="s">
        <v>759</v>
      </c>
      <c r="F178" s="58" t="s">
        <v>138</v>
      </c>
      <c r="G178" s="392">
        <v>180000</v>
      </c>
      <c r="H178" t="s">
        <v>199</v>
      </c>
      <c r="I178" t="s">
        <v>769</v>
      </c>
    </row>
    <row r="179" spans="2:9" x14ac:dyDescent="0.2">
      <c r="B179" s="3">
        <v>45694</v>
      </c>
      <c r="C179" s="6" t="s">
        <v>465</v>
      </c>
      <c r="D179" s="251">
        <v>298</v>
      </c>
      <c r="E179" s="6" t="s">
        <v>465</v>
      </c>
      <c r="F179" s="58" t="s">
        <v>138</v>
      </c>
      <c r="G179" s="392">
        <v>3600000</v>
      </c>
      <c r="H179" t="s">
        <v>199</v>
      </c>
      <c r="I179" t="s">
        <v>769</v>
      </c>
    </row>
    <row r="180" spans="2:9" x14ac:dyDescent="0.2">
      <c r="B180" s="3">
        <v>45680</v>
      </c>
      <c r="C180" s="6" t="s">
        <v>468</v>
      </c>
      <c r="D180" s="251">
        <v>304</v>
      </c>
      <c r="E180" s="6" t="s">
        <v>468</v>
      </c>
      <c r="F180" s="58" t="s">
        <v>138</v>
      </c>
      <c r="G180" s="392">
        <v>180000</v>
      </c>
      <c r="H180" t="s">
        <v>199</v>
      </c>
      <c r="I180" t="s">
        <v>769</v>
      </c>
    </row>
    <row r="181" spans="2:9" x14ac:dyDescent="0.2">
      <c r="B181" s="3">
        <v>45678</v>
      </c>
      <c r="C181" s="6" t="s">
        <v>471</v>
      </c>
      <c r="D181" s="251">
        <v>308</v>
      </c>
      <c r="E181" s="6" t="s">
        <v>471</v>
      </c>
      <c r="F181" s="58" t="s">
        <v>138</v>
      </c>
      <c r="G181" s="392">
        <v>540000</v>
      </c>
      <c r="H181" t="s">
        <v>199</v>
      </c>
      <c r="I181" t="s">
        <v>769</v>
      </c>
    </row>
    <row r="182" spans="2:9" x14ac:dyDescent="0.2">
      <c r="B182" s="3">
        <v>45646</v>
      </c>
      <c r="C182" s="6" t="s">
        <v>524</v>
      </c>
      <c r="D182" s="251">
        <v>357</v>
      </c>
      <c r="E182" s="6" t="s">
        <v>524</v>
      </c>
      <c r="F182" s="58" t="s">
        <v>138</v>
      </c>
      <c r="G182" s="392">
        <v>5000000</v>
      </c>
      <c r="H182" t="s">
        <v>199</v>
      </c>
      <c r="I182" t="s">
        <v>769</v>
      </c>
    </row>
    <row r="183" spans="2:9" x14ac:dyDescent="0.2">
      <c r="B183" s="3">
        <v>45644</v>
      </c>
      <c r="C183" s="6" t="s">
        <v>525</v>
      </c>
      <c r="D183" s="251">
        <v>359</v>
      </c>
      <c r="E183" s="6" t="s">
        <v>525</v>
      </c>
      <c r="F183" s="58" t="s">
        <v>138</v>
      </c>
      <c r="G183" s="392">
        <v>8250000</v>
      </c>
      <c r="H183" t="s">
        <v>199</v>
      </c>
      <c r="I183" t="s">
        <v>769</v>
      </c>
    </row>
    <row r="184" spans="2:9" x14ac:dyDescent="0.2">
      <c r="B184" s="3">
        <v>45691</v>
      </c>
      <c r="C184" s="6" t="s">
        <v>528</v>
      </c>
      <c r="D184" s="251">
        <v>362</v>
      </c>
      <c r="E184" s="6" t="s">
        <v>528</v>
      </c>
      <c r="F184" s="58" t="s">
        <v>138</v>
      </c>
      <c r="G184" s="392">
        <v>6800000</v>
      </c>
      <c r="H184" t="s">
        <v>199</v>
      </c>
      <c r="I184" t="s">
        <v>769</v>
      </c>
    </row>
    <row r="185" spans="2:9" x14ac:dyDescent="0.2">
      <c r="B185" s="3">
        <v>45751</v>
      </c>
      <c r="C185" s="6" t="s">
        <v>537</v>
      </c>
      <c r="D185" s="251">
        <v>374</v>
      </c>
      <c r="E185" s="6" t="s">
        <v>537</v>
      </c>
      <c r="F185" s="58" t="s">
        <v>138</v>
      </c>
      <c r="G185" s="392">
        <v>2970000</v>
      </c>
      <c r="H185" t="s">
        <v>199</v>
      </c>
      <c r="I185" t="s">
        <v>769</v>
      </c>
    </row>
    <row r="186" spans="2:9" x14ac:dyDescent="0.2">
      <c r="B186" s="3">
        <v>45751</v>
      </c>
      <c r="C186" s="6" t="s">
        <v>538</v>
      </c>
      <c r="D186" s="251">
        <v>375</v>
      </c>
      <c r="E186" s="6" t="s">
        <v>538</v>
      </c>
      <c r="F186" s="58" t="s">
        <v>138</v>
      </c>
      <c r="G186" s="392">
        <v>1350000</v>
      </c>
      <c r="H186" t="s">
        <v>199</v>
      </c>
      <c r="I186" t="s">
        <v>769</v>
      </c>
    </row>
    <row r="187" spans="2:9" x14ac:dyDescent="0.2">
      <c r="B187" s="3">
        <v>45751</v>
      </c>
      <c r="C187" s="6" t="s">
        <v>550</v>
      </c>
      <c r="D187" s="251">
        <v>393</v>
      </c>
      <c r="E187" s="6" t="s">
        <v>550</v>
      </c>
      <c r="F187" s="58" t="s">
        <v>138</v>
      </c>
      <c r="G187" s="392">
        <v>5200000</v>
      </c>
      <c r="H187" t="s">
        <v>199</v>
      </c>
      <c r="I187" t="s">
        <v>769</v>
      </c>
    </row>
    <row r="188" spans="2:9" x14ac:dyDescent="0.2">
      <c r="B188" s="3">
        <v>45636</v>
      </c>
      <c r="C188" s="6" t="s">
        <v>508</v>
      </c>
      <c r="D188" s="251">
        <v>237</v>
      </c>
      <c r="E188" s="6" t="s">
        <v>508</v>
      </c>
      <c r="F188" s="58" t="s">
        <v>138</v>
      </c>
      <c r="G188" s="392">
        <v>1350000</v>
      </c>
      <c r="H188" t="s">
        <v>205</v>
      </c>
      <c r="I188" t="s">
        <v>766</v>
      </c>
    </row>
    <row r="189" spans="2:9" x14ac:dyDescent="0.2">
      <c r="B189" s="3">
        <v>45678</v>
      </c>
      <c r="C189" s="6" t="s">
        <v>470</v>
      </c>
      <c r="D189" s="251">
        <v>307</v>
      </c>
      <c r="E189" s="6" t="s">
        <v>470</v>
      </c>
      <c r="F189" s="58" t="s">
        <v>138</v>
      </c>
      <c r="G189" s="392">
        <v>1350000</v>
      </c>
      <c r="H189" t="s">
        <v>205</v>
      </c>
      <c r="I189" t="s">
        <v>766</v>
      </c>
    </row>
    <row r="190" spans="2:9" x14ac:dyDescent="0.2">
      <c r="B190" s="3">
        <v>45636</v>
      </c>
      <c r="C190" s="6" t="s">
        <v>443</v>
      </c>
      <c r="D190" s="251">
        <v>319</v>
      </c>
      <c r="E190" s="6" t="s">
        <v>443</v>
      </c>
      <c r="F190" s="58" t="s">
        <v>138</v>
      </c>
      <c r="G190" s="488">
        <v>5000000</v>
      </c>
      <c r="H190" t="s">
        <v>174</v>
      </c>
      <c r="I190" t="s">
        <v>767</v>
      </c>
    </row>
    <row r="191" spans="2:9" x14ac:dyDescent="0.2">
      <c r="B191" s="3">
        <v>45636</v>
      </c>
      <c r="C191" s="6" t="s">
        <v>448</v>
      </c>
      <c r="D191" s="251">
        <v>314</v>
      </c>
      <c r="E191" s="6" t="s">
        <v>448</v>
      </c>
      <c r="F191" s="58" t="s">
        <v>138</v>
      </c>
      <c r="G191" s="488">
        <v>5000000</v>
      </c>
      <c r="H191" t="s">
        <v>174</v>
      </c>
      <c r="I191" t="s">
        <v>767</v>
      </c>
    </row>
    <row r="192" spans="2:9" x14ac:dyDescent="0.2">
      <c r="B192" s="3">
        <v>45646</v>
      </c>
      <c r="C192" s="6" t="s">
        <v>479</v>
      </c>
      <c r="D192" s="251">
        <v>244</v>
      </c>
      <c r="E192" s="6" t="s">
        <v>479</v>
      </c>
      <c r="F192" s="58" t="s">
        <v>138</v>
      </c>
      <c r="G192" s="392">
        <v>800000</v>
      </c>
      <c r="H192" t="s">
        <v>174</v>
      </c>
      <c r="I192" t="s">
        <v>767</v>
      </c>
    </row>
    <row r="193" spans="2:9" x14ac:dyDescent="0.2">
      <c r="B193" s="3">
        <v>45636</v>
      </c>
      <c r="C193" s="6" t="s">
        <v>531</v>
      </c>
      <c r="D193" s="251">
        <v>366</v>
      </c>
      <c r="E193" s="6" t="s">
        <v>531</v>
      </c>
      <c r="F193" s="58" t="s">
        <v>138</v>
      </c>
      <c r="G193" s="392">
        <v>4500000</v>
      </c>
      <c r="H193" t="s">
        <v>203</v>
      </c>
      <c r="I193" t="s">
        <v>789</v>
      </c>
    </row>
    <row r="194" spans="2:9" x14ac:dyDescent="0.2">
      <c r="B194" s="3">
        <v>45054</v>
      </c>
      <c r="C194" s="6" t="s">
        <v>539</v>
      </c>
      <c r="D194" s="251">
        <v>379</v>
      </c>
      <c r="E194" s="6" t="s">
        <v>539</v>
      </c>
      <c r="F194" s="58" t="s">
        <v>138</v>
      </c>
      <c r="G194" s="392">
        <v>2395900</v>
      </c>
      <c r="H194" t="s">
        <v>203</v>
      </c>
      <c r="I194" t="s">
        <v>789</v>
      </c>
    </row>
    <row r="195" spans="2:9" x14ac:dyDescent="0.2">
      <c r="B195" s="3">
        <v>45642</v>
      </c>
      <c r="C195" s="6" t="s">
        <v>514</v>
      </c>
      <c r="D195" s="251">
        <v>246</v>
      </c>
      <c r="E195" s="6" t="s">
        <v>514</v>
      </c>
      <c r="F195" s="58" t="s">
        <v>138</v>
      </c>
      <c r="G195" s="392">
        <v>4140000</v>
      </c>
      <c r="H195" t="s">
        <v>206</v>
      </c>
      <c r="I195" t="s">
        <v>799</v>
      </c>
    </row>
    <row r="196" spans="2:9" x14ac:dyDescent="0.2">
      <c r="B196" s="3">
        <v>45636</v>
      </c>
      <c r="C196" s="6" t="s">
        <v>442</v>
      </c>
      <c r="D196" s="251">
        <v>320</v>
      </c>
      <c r="E196" s="6" t="s">
        <v>442</v>
      </c>
      <c r="F196" s="58" t="s">
        <v>138</v>
      </c>
      <c r="G196" s="488">
        <v>6392000</v>
      </c>
      <c r="H196" t="s">
        <v>212</v>
      </c>
      <c r="I196" t="s">
        <v>750</v>
      </c>
    </row>
    <row r="197" spans="2:9" x14ac:dyDescent="0.2">
      <c r="B197" s="3">
        <v>45636</v>
      </c>
      <c r="C197" s="6" t="s">
        <v>444</v>
      </c>
      <c r="D197" s="251">
        <v>318</v>
      </c>
      <c r="E197" s="6" t="s">
        <v>444</v>
      </c>
      <c r="F197" s="58" t="s">
        <v>138</v>
      </c>
      <c r="G197" s="488">
        <v>4320000</v>
      </c>
      <c r="H197" t="s">
        <v>212</v>
      </c>
      <c r="I197" t="s">
        <v>750</v>
      </c>
    </row>
    <row r="198" spans="2:9" x14ac:dyDescent="0.2">
      <c r="B198" s="3">
        <v>45642</v>
      </c>
      <c r="C198" s="6" t="s">
        <v>445</v>
      </c>
      <c r="D198" s="251">
        <v>317</v>
      </c>
      <c r="E198" s="6" t="s">
        <v>445</v>
      </c>
      <c r="F198" s="58" t="s">
        <v>138</v>
      </c>
      <c r="G198" s="488">
        <v>6000000</v>
      </c>
      <c r="H198" t="s">
        <v>212</v>
      </c>
      <c r="I198" t="s">
        <v>750</v>
      </c>
    </row>
    <row r="199" spans="2:9" x14ac:dyDescent="0.2">
      <c r="B199" s="3">
        <v>45679</v>
      </c>
      <c r="C199" s="6" t="s">
        <v>424</v>
      </c>
      <c r="D199" s="251">
        <v>329</v>
      </c>
      <c r="E199" s="6" t="s">
        <v>424</v>
      </c>
      <c r="F199" s="58" t="s">
        <v>138</v>
      </c>
      <c r="G199" s="488">
        <v>6000000</v>
      </c>
      <c r="H199" t="s">
        <v>212</v>
      </c>
      <c r="I199" t="s">
        <v>750</v>
      </c>
    </row>
    <row r="200" spans="2:9" x14ac:dyDescent="0.2">
      <c r="B200" s="3">
        <v>45694</v>
      </c>
      <c r="C200" s="6" t="s">
        <v>416</v>
      </c>
      <c r="D200" s="251">
        <v>337</v>
      </c>
      <c r="E200" s="6" t="s">
        <v>416</v>
      </c>
      <c r="F200" s="58" t="s">
        <v>138</v>
      </c>
      <c r="G200" s="488">
        <v>6000000</v>
      </c>
      <c r="H200" t="s">
        <v>212</v>
      </c>
      <c r="I200" t="s">
        <v>750</v>
      </c>
    </row>
    <row r="201" spans="2:9" x14ac:dyDescent="0.2">
      <c r="B201" s="3">
        <v>45616</v>
      </c>
      <c r="C201" s="6" t="s">
        <v>493</v>
      </c>
      <c r="D201" s="251">
        <v>218</v>
      </c>
      <c r="E201" s="6" t="s">
        <v>493</v>
      </c>
      <c r="F201" s="58" t="s">
        <v>138</v>
      </c>
      <c r="G201" s="392">
        <v>540000</v>
      </c>
      <c r="H201" t="s">
        <v>171</v>
      </c>
      <c r="I201" t="s">
        <v>757</v>
      </c>
    </row>
    <row r="202" spans="2:9" x14ac:dyDescent="0.2">
      <c r="B202" s="3">
        <v>45628</v>
      </c>
      <c r="C202" s="6" t="s">
        <v>496</v>
      </c>
      <c r="D202" s="251">
        <v>221</v>
      </c>
      <c r="E202" s="6" t="s">
        <v>496</v>
      </c>
      <c r="F202" s="58" t="s">
        <v>138</v>
      </c>
      <c r="G202" s="392">
        <v>1400000</v>
      </c>
      <c r="H202" t="s">
        <v>171</v>
      </c>
      <c r="I202" t="s">
        <v>757</v>
      </c>
    </row>
    <row r="203" spans="2:9" x14ac:dyDescent="0.2">
      <c r="B203" s="3">
        <v>45636</v>
      </c>
      <c r="C203" s="6" t="s">
        <v>501</v>
      </c>
      <c r="D203" s="251">
        <v>227</v>
      </c>
      <c r="E203" s="6" t="s">
        <v>501</v>
      </c>
      <c r="F203" s="58" t="s">
        <v>138</v>
      </c>
      <c r="G203" s="392">
        <v>1980000</v>
      </c>
      <c r="H203" t="s">
        <v>171</v>
      </c>
      <c r="I203" t="s">
        <v>757</v>
      </c>
    </row>
    <row r="204" spans="2:9" x14ac:dyDescent="0.2">
      <c r="B204" s="3">
        <v>45636</v>
      </c>
      <c r="C204" s="6" t="s">
        <v>502</v>
      </c>
      <c r="D204" s="251">
        <v>228</v>
      </c>
      <c r="E204" s="6" t="s">
        <v>502</v>
      </c>
      <c r="F204" s="58" t="s">
        <v>138</v>
      </c>
      <c r="G204" s="392">
        <v>330000</v>
      </c>
      <c r="H204" t="s">
        <v>171</v>
      </c>
      <c r="I204" t="s">
        <v>757</v>
      </c>
    </row>
    <row r="205" spans="2:9" x14ac:dyDescent="0.2">
      <c r="B205" s="3">
        <v>45636</v>
      </c>
      <c r="C205" s="6" t="s">
        <v>503</v>
      </c>
      <c r="D205" s="251">
        <v>229</v>
      </c>
      <c r="E205" s="6" t="s">
        <v>503</v>
      </c>
      <c r="F205" s="58" t="s">
        <v>138</v>
      </c>
      <c r="G205" s="392">
        <v>3400000</v>
      </c>
      <c r="H205" t="s">
        <v>171</v>
      </c>
      <c r="I205" t="s">
        <v>757</v>
      </c>
    </row>
    <row r="206" spans="2:9" x14ac:dyDescent="0.2">
      <c r="B206" s="3">
        <v>45636</v>
      </c>
      <c r="C206" s="6" t="s">
        <v>504</v>
      </c>
      <c r="D206" s="251">
        <v>231</v>
      </c>
      <c r="E206" s="6" t="s">
        <v>504</v>
      </c>
      <c r="F206" s="58" t="s">
        <v>138</v>
      </c>
      <c r="G206" s="392">
        <v>1000000</v>
      </c>
      <c r="H206" t="s">
        <v>171</v>
      </c>
      <c r="I206" t="s">
        <v>757</v>
      </c>
    </row>
    <row r="207" spans="2:9" x14ac:dyDescent="0.2">
      <c r="B207" s="3">
        <v>45642</v>
      </c>
      <c r="C207" s="6" t="s">
        <v>511</v>
      </c>
      <c r="D207" s="251">
        <v>240</v>
      </c>
      <c r="E207" s="6" t="s">
        <v>511</v>
      </c>
      <c r="F207" s="58" t="s">
        <v>138</v>
      </c>
      <c r="G207" s="392">
        <v>2880000</v>
      </c>
      <c r="H207" t="s">
        <v>171</v>
      </c>
      <c r="I207" t="s">
        <v>757</v>
      </c>
    </row>
    <row r="208" spans="2:9" x14ac:dyDescent="0.2">
      <c r="B208" s="3">
        <v>45630</v>
      </c>
      <c r="C208" s="6" t="s">
        <v>478</v>
      </c>
      <c r="D208" s="251">
        <v>250</v>
      </c>
      <c r="E208" s="6" t="s">
        <v>478</v>
      </c>
      <c r="F208" s="58" t="s">
        <v>138</v>
      </c>
      <c r="G208" s="392">
        <v>720000</v>
      </c>
      <c r="H208" t="s">
        <v>171</v>
      </c>
      <c r="I208" t="s">
        <v>757</v>
      </c>
    </row>
    <row r="209" spans="2:9" x14ac:dyDescent="0.2">
      <c r="B209" s="3">
        <v>45623</v>
      </c>
      <c r="C209" s="6" t="s">
        <v>472</v>
      </c>
      <c r="D209" s="251">
        <v>309</v>
      </c>
      <c r="E209" s="6" t="s">
        <v>472</v>
      </c>
      <c r="F209" s="58" t="s">
        <v>138</v>
      </c>
      <c r="G209" s="392">
        <v>180000</v>
      </c>
      <c r="H209" t="s">
        <v>171</v>
      </c>
      <c r="I209" t="s">
        <v>757</v>
      </c>
    </row>
    <row r="210" spans="2:9" x14ac:dyDescent="0.2">
      <c r="B210" s="3">
        <v>45636</v>
      </c>
      <c r="C210" s="6" t="s">
        <v>551</v>
      </c>
      <c r="D210" s="251">
        <v>394</v>
      </c>
      <c r="E210" s="6" t="s">
        <v>551</v>
      </c>
      <c r="F210" s="58" t="s">
        <v>138</v>
      </c>
      <c r="G210" s="392">
        <v>7456000</v>
      </c>
      <c r="H210" t="s">
        <v>171</v>
      </c>
      <c r="I210" t="s">
        <v>757</v>
      </c>
    </row>
    <row r="211" spans="2:9" x14ac:dyDescent="0.2">
      <c r="B211" s="3">
        <v>45630</v>
      </c>
      <c r="C211" s="6" t="s">
        <v>560</v>
      </c>
      <c r="D211" s="251">
        <v>5</v>
      </c>
      <c r="E211" s="6" t="s">
        <v>560</v>
      </c>
      <c r="F211" s="58" t="s">
        <v>138</v>
      </c>
      <c r="G211" s="392">
        <v>4320000</v>
      </c>
      <c r="H211" t="s">
        <v>171</v>
      </c>
      <c r="I211" t="s">
        <v>757</v>
      </c>
    </row>
    <row r="212" spans="2:9" x14ac:dyDescent="0.2">
      <c r="B212" s="3">
        <v>45636</v>
      </c>
      <c r="C212" s="6" t="s">
        <v>561</v>
      </c>
      <c r="D212" s="251">
        <v>6</v>
      </c>
      <c r="E212" s="6" t="s">
        <v>561</v>
      </c>
      <c r="F212" s="58" t="s">
        <v>138</v>
      </c>
      <c r="G212" s="392">
        <v>7960000</v>
      </c>
      <c r="H212" t="s">
        <v>171</v>
      </c>
      <c r="I212" t="s">
        <v>757</v>
      </c>
    </row>
    <row r="213" spans="2:9" x14ac:dyDescent="0.2">
      <c r="B213" s="3">
        <v>45678</v>
      </c>
      <c r="C213" s="6" t="s">
        <v>420</v>
      </c>
      <c r="D213" s="251">
        <v>333</v>
      </c>
      <c r="E213" s="6" t="s">
        <v>420</v>
      </c>
      <c r="F213" s="58" t="s">
        <v>138</v>
      </c>
      <c r="G213" s="488">
        <v>4680000</v>
      </c>
      <c r="H213" t="s">
        <v>170</v>
      </c>
      <c r="I213" t="s">
        <v>752</v>
      </c>
    </row>
    <row r="214" spans="2:9" x14ac:dyDescent="0.2">
      <c r="B214" s="3">
        <v>45678</v>
      </c>
      <c r="C214" s="6" t="s">
        <v>447</v>
      </c>
      <c r="D214" s="251">
        <v>315</v>
      </c>
      <c r="E214" s="6" t="s">
        <v>447</v>
      </c>
      <c r="F214" s="58" t="s">
        <v>138</v>
      </c>
      <c r="G214" s="488">
        <v>4680000</v>
      </c>
      <c r="H214" t="s">
        <v>170</v>
      </c>
      <c r="I214" t="s">
        <v>752</v>
      </c>
    </row>
    <row r="215" spans="2:9" x14ac:dyDescent="0.2">
      <c r="B215" s="3">
        <v>45630</v>
      </c>
      <c r="C215" s="6" t="s">
        <v>489</v>
      </c>
      <c r="D215" s="251">
        <v>213</v>
      </c>
      <c r="E215" s="6" t="s">
        <v>489</v>
      </c>
      <c r="F215" s="58" t="s">
        <v>138</v>
      </c>
      <c r="G215" s="392">
        <v>1980000</v>
      </c>
      <c r="H215" t="s">
        <v>170</v>
      </c>
      <c r="I215" t="s">
        <v>752</v>
      </c>
    </row>
    <row r="216" spans="2:9" x14ac:dyDescent="0.2">
      <c r="B216" s="3">
        <v>45630</v>
      </c>
      <c r="C216" s="6" t="s">
        <v>483</v>
      </c>
      <c r="D216" s="251">
        <v>214</v>
      </c>
      <c r="E216" s="6" t="s">
        <v>483</v>
      </c>
      <c r="F216" s="58" t="s">
        <v>138</v>
      </c>
      <c r="G216" s="392">
        <v>2200000</v>
      </c>
      <c r="H216" t="s">
        <v>170</v>
      </c>
      <c r="I216" t="s">
        <v>752</v>
      </c>
    </row>
    <row r="217" spans="2:9" x14ac:dyDescent="0.2">
      <c r="B217" s="3">
        <v>45625</v>
      </c>
      <c r="C217" s="6" t="s">
        <v>495</v>
      </c>
      <c r="D217" s="251">
        <v>220</v>
      </c>
      <c r="E217" s="6" t="s">
        <v>495</v>
      </c>
      <c r="F217" s="58" t="s">
        <v>138</v>
      </c>
      <c r="G217" s="392">
        <v>400000</v>
      </c>
      <c r="H217" t="s">
        <v>170</v>
      </c>
      <c r="I217" t="s">
        <v>752</v>
      </c>
    </row>
    <row r="218" spans="2:9" x14ac:dyDescent="0.2">
      <c r="B218" s="3">
        <v>45636</v>
      </c>
      <c r="C218" s="6" t="s">
        <v>510</v>
      </c>
      <c r="D218" s="251">
        <v>239</v>
      </c>
      <c r="E218" s="6" t="s">
        <v>510</v>
      </c>
      <c r="F218" s="58" t="s">
        <v>138</v>
      </c>
      <c r="G218" s="392">
        <v>1620000</v>
      </c>
      <c r="H218" t="s">
        <v>170</v>
      </c>
      <c r="I218" t="s">
        <v>752</v>
      </c>
    </row>
    <row r="219" spans="2:9" x14ac:dyDescent="0.2">
      <c r="B219" s="3">
        <v>45644</v>
      </c>
      <c r="C219" s="6" t="s">
        <v>760</v>
      </c>
      <c r="D219" s="251">
        <v>269</v>
      </c>
      <c r="E219" s="6" t="s">
        <v>760</v>
      </c>
      <c r="F219" s="58" t="s">
        <v>138</v>
      </c>
      <c r="G219" s="392">
        <v>4500000</v>
      </c>
      <c r="H219" t="s">
        <v>170</v>
      </c>
      <c r="I219" t="s">
        <v>752</v>
      </c>
    </row>
    <row r="220" spans="2:9" x14ac:dyDescent="0.2">
      <c r="B220" s="3">
        <v>45644</v>
      </c>
      <c r="C220" s="6" t="s">
        <v>522</v>
      </c>
      <c r="D220" s="251">
        <v>354</v>
      </c>
      <c r="E220" s="6" t="s">
        <v>522</v>
      </c>
      <c r="F220" s="58" t="s">
        <v>138</v>
      </c>
      <c r="G220" s="392">
        <v>4500000</v>
      </c>
      <c r="H220" t="s">
        <v>170</v>
      </c>
      <c r="I220" t="s">
        <v>752</v>
      </c>
    </row>
    <row r="221" spans="2:9" x14ac:dyDescent="0.2">
      <c r="B221" s="3">
        <v>45736</v>
      </c>
      <c r="C221" s="6" t="s">
        <v>409</v>
      </c>
      <c r="D221" s="251">
        <v>348</v>
      </c>
      <c r="E221" s="6" t="s">
        <v>409</v>
      </c>
      <c r="F221" s="58" t="s">
        <v>138</v>
      </c>
      <c r="G221" s="488">
        <v>1050000</v>
      </c>
      <c r="H221" t="s">
        <v>169</v>
      </c>
      <c r="I221" t="s">
        <v>758</v>
      </c>
    </row>
    <row r="222" spans="2:9" x14ac:dyDescent="0.2">
      <c r="B222" s="3">
        <v>45616</v>
      </c>
      <c r="C222" s="6" t="s">
        <v>491</v>
      </c>
      <c r="D222" s="251">
        <v>217</v>
      </c>
      <c r="E222" s="6" t="s">
        <v>491</v>
      </c>
      <c r="F222" s="58" t="s">
        <v>138</v>
      </c>
      <c r="G222" s="392">
        <v>3500000</v>
      </c>
      <c r="H222" t="s">
        <v>200</v>
      </c>
      <c r="I222" t="s">
        <v>748</v>
      </c>
    </row>
    <row r="223" spans="2:9" x14ac:dyDescent="0.2">
      <c r="B223" s="3">
        <v>45628</v>
      </c>
      <c r="C223" s="6" t="s">
        <v>497</v>
      </c>
      <c r="D223" s="251">
        <v>222</v>
      </c>
      <c r="E223" s="6" t="s">
        <v>497</v>
      </c>
      <c r="F223" s="58" t="s">
        <v>138</v>
      </c>
      <c r="G223" s="392">
        <v>3800000</v>
      </c>
      <c r="H223" t="s">
        <v>200</v>
      </c>
      <c r="I223" t="s">
        <v>748</v>
      </c>
    </row>
    <row r="224" spans="2:9" x14ac:dyDescent="0.2">
      <c r="B224" s="3">
        <v>45628</v>
      </c>
      <c r="C224" s="6" t="s">
        <v>498</v>
      </c>
      <c r="D224" s="251">
        <v>224</v>
      </c>
      <c r="E224" s="6" t="s">
        <v>498</v>
      </c>
      <c r="F224" s="58" t="s">
        <v>138</v>
      </c>
      <c r="G224" s="392">
        <v>2700000</v>
      </c>
      <c r="H224" t="s">
        <v>200</v>
      </c>
      <c r="I224" t="s">
        <v>748</v>
      </c>
    </row>
    <row r="225" spans="2:9" x14ac:dyDescent="0.2">
      <c r="B225" s="3">
        <v>45630</v>
      </c>
      <c r="C225" s="6" t="s">
        <v>499</v>
      </c>
      <c r="D225" s="251">
        <v>225</v>
      </c>
      <c r="E225" s="6" t="s">
        <v>499</v>
      </c>
      <c r="F225" s="58" t="s">
        <v>138</v>
      </c>
      <c r="G225" s="392">
        <v>3500000</v>
      </c>
      <c r="H225" t="s">
        <v>200</v>
      </c>
      <c r="I225" t="s">
        <v>748</v>
      </c>
    </row>
    <row r="226" spans="2:9" x14ac:dyDescent="0.2">
      <c r="B226" s="3">
        <v>45630</v>
      </c>
      <c r="C226" s="6" t="s">
        <v>500</v>
      </c>
      <c r="D226" s="251">
        <v>226</v>
      </c>
      <c r="E226" s="6" t="s">
        <v>500</v>
      </c>
      <c r="F226" s="58" t="s">
        <v>138</v>
      </c>
      <c r="G226" s="392">
        <v>650000</v>
      </c>
      <c r="H226" t="s">
        <v>200</v>
      </c>
      <c r="I226" t="s">
        <v>748</v>
      </c>
    </row>
    <row r="227" spans="2:9" x14ac:dyDescent="0.2">
      <c r="B227" s="3">
        <v>45646</v>
      </c>
      <c r="C227" s="6" t="s">
        <v>512</v>
      </c>
      <c r="D227" s="251">
        <v>241</v>
      </c>
      <c r="E227" s="6" t="s">
        <v>512</v>
      </c>
      <c r="F227" s="58" t="s">
        <v>138</v>
      </c>
      <c r="G227" s="392">
        <v>4000000</v>
      </c>
      <c r="H227" t="s">
        <v>200</v>
      </c>
      <c r="I227" t="s">
        <v>748</v>
      </c>
    </row>
    <row r="228" spans="2:9" x14ac:dyDescent="0.2">
      <c r="B228" s="3">
        <v>45646</v>
      </c>
      <c r="C228" s="6" t="s">
        <v>513</v>
      </c>
      <c r="D228" s="251">
        <v>242</v>
      </c>
      <c r="E228" s="6" t="s">
        <v>513</v>
      </c>
      <c r="F228" s="58" t="s">
        <v>138</v>
      </c>
      <c r="G228" s="392">
        <v>1000000</v>
      </c>
      <c r="H228" t="s">
        <v>200</v>
      </c>
      <c r="I228" t="s">
        <v>748</v>
      </c>
    </row>
    <row r="229" spans="2:9" x14ac:dyDescent="0.2">
      <c r="B229" s="3">
        <v>45642</v>
      </c>
      <c r="C229" s="6" t="s">
        <v>515</v>
      </c>
      <c r="D229" s="251">
        <v>247</v>
      </c>
      <c r="E229" s="6" t="s">
        <v>515</v>
      </c>
      <c r="F229" s="58" t="s">
        <v>138</v>
      </c>
      <c r="G229" s="392">
        <v>3960000</v>
      </c>
      <c r="H229" t="s">
        <v>200</v>
      </c>
      <c r="I229" t="s">
        <v>748</v>
      </c>
    </row>
    <row r="230" spans="2:9" x14ac:dyDescent="0.2">
      <c r="B230" s="3">
        <v>45694</v>
      </c>
      <c r="C230" s="6" t="s">
        <v>763</v>
      </c>
      <c r="D230" s="251">
        <v>299</v>
      </c>
      <c r="E230" s="6" t="s">
        <v>763</v>
      </c>
      <c r="F230" s="58" t="s">
        <v>138</v>
      </c>
      <c r="G230" s="392">
        <v>1400000</v>
      </c>
      <c r="H230" t="s">
        <v>200</v>
      </c>
      <c r="I230" t="s">
        <v>748</v>
      </c>
    </row>
    <row r="231" spans="2:9" x14ac:dyDescent="0.2">
      <c r="B231" s="3">
        <v>45694</v>
      </c>
      <c r="C231" s="6" t="s">
        <v>466</v>
      </c>
      <c r="D231" s="251">
        <v>302</v>
      </c>
      <c r="E231" s="6" t="s">
        <v>466</v>
      </c>
      <c r="F231" s="58" t="s">
        <v>138</v>
      </c>
      <c r="G231" s="392">
        <v>600000</v>
      </c>
      <c r="H231" t="s">
        <v>200</v>
      </c>
      <c r="I231" t="s">
        <v>748</v>
      </c>
    </row>
    <row r="232" spans="2:9" x14ac:dyDescent="0.2">
      <c r="B232" s="3">
        <v>45694</v>
      </c>
      <c r="C232" s="6" t="s">
        <v>467</v>
      </c>
      <c r="D232" s="251">
        <v>303</v>
      </c>
      <c r="E232" s="6" t="s">
        <v>467</v>
      </c>
      <c r="F232" s="58" t="s">
        <v>138</v>
      </c>
      <c r="G232" s="392">
        <v>600000</v>
      </c>
      <c r="H232" t="s">
        <v>200</v>
      </c>
      <c r="I232" t="s">
        <v>748</v>
      </c>
    </row>
    <row r="233" spans="2:9" x14ac:dyDescent="0.2">
      <c r="B233" s="3">
        <v>45646</v>
      </c>
      <c r="C233" s="6" t="s">
        <v>527</v>
      </c>
      <c r="D233" s="251">
        <v>361</v>
      </c>
      <c r="E233" s="6" t="s">
        <v>527</v>
      </c>
      <c r="F233" s="58" t="s">
        <v>138</v>
      </c>
      <c r="G233" s="392">
        <v>4622500</v>
      </c>
      <c r="H233" t="s">
        <v>200</v>
      </c>
      <c r="I233" t="s">
        <v>748</v>
      </c>
    </row>
    <row r="234" spans="2:9" x14ac:dyDescent="0.2">
      <c r="B234" s="3">
        <v>45719</v>
      </c>
      <c r="C234" s="6" t="s">
        <v>532</v>
      </c>
      <c r="D234" s="251">
        <v>367</v>
      </c>
      <c r="E234" s="6" t="s">
        <v>532</v>
      </c>
      <c r="F234" s="58" t="s">
        <v>138</v>
      </c>
      <c r="G234" s="392">
        <v>4320000</v>
      </c>
      <c r="H234" t="s">
        <v>200</v>
      </c>
      <c r="I234" t="s">
        <v>748</v>
      </c>
    </row>
    <row r="235" spans="2:9" x14ac:dyDescent="0.2">
      <c r="B235" s="3">
        <v>45630</v>
      </c>
      <c r="C235" s="6" t="s">
        <v>557</v>
      </c>
      <c r="D235" s="251">
        <v>2</v>
      </c>
      <c r="E235" s="6" t="s">
        <v>557</v>
      </c>
      <c r="F235" s="58" t="s">
        <v>138</v>
      </c>
      <c r="G235" s="392">
        <v>5000000</v>
      </c>
      <c r="H235" t="s">
        <v>200</v>
      </c>
      <c r="I235" t="s">
        <v>748</v>
      </c>
    </row>
    <row r="236" spans="2:9" x14ac:dyDescent="0.2">
      <c r="B236" s="3">
        <v>45630</v>
      </c>
      <c r="C236" s="6" t="s">
        <v>559</v>
      </c>
      <c r="D236" s="251">
        <v>4</v>
      </c>
      <c r="E236" s="6" t="s">
        <v>559</v>
      </c>
      <c r="F236" s="58" t="s">
        <v>138</v>
      </c>
      <c r="G236" s="392">
        <v>4800000</v>
      </c>
      <c r="H236" t="s">
        <v>200</v>
      </c>
      <c r="I236" t="s">
        <v>748</v>
      </c>
    </row>
    <row r="237" spans="2:9" x14ac:dyDescent="0.2">
      <c r="B237" s="3">
        <v>45694</v>
      </c>
      <c r="C237" s="6" t="s">
        <v>699</v>
      </c>
      <c r="D237" s="251">
        <v>300</v>
      </c>
      <c r="E237" s="6" t="s">
        <v>699</v>
      </c>
      <c r="F237" s="58" t="s">
        <v>138</v>
      </c>
      <c r="G237" s="392">
        <v>1400000</v>
      </c>
      <c r="H237" t="s">
        <v>200</v>
      </c>
      <c r="I237" t="s">
        <v>748</v>
      </c>
    </row>
    <row r="238" spans="2:9" x14ac:dyDescent="0.2">
      <c r="B238" s="3">
        <v>45685</v>
      </c>
      <c r="C238" s="6" t="s">
        <v>453</v>
      </c>
      <c r="D238" s="251">
        <v>272</v>
      </c>
      <c r="E238" s="6" t="s">
        <v>453</v>
      </c>
      <c r="F238" s="58" t="s">
        <v>138</v>
      </c>
      <c r="G238" s="392">
        <v>2100000</v>
      </c>
      <c r="H238" t="s">
        <v>155</v>
      </c>
      <c r="I238" t="s">
        <v>749</v>
      </c>
    </row>
    <row r="239" spans="2:9" x14ac:dyDescent="0.2">
      <c r="B239" s="3">
        <v>45636</v>
      </c>
      <c r="C239" s="6" t="s">
        <v>505</v>
      </c>
      <c r="D239" s="251">
        <v>232</v>
      </c>
      <c r="E239" s="6" t="s">
        <v>505</v>
      </c>
      <c r="F239" s="58" t="s">
        <v>138</v>
      </c>
      <c r="G239" s="392">
        <v>1875000</v>
      </c>
      <c r="H239" t="s">
        <v>167</v>
      </c>
      <c r="I239" t="s">
        <v>756</v>
      </c>
    </row>
    <row r="240" spans="2:9" x14ac:dyDescent="0.2">
      <c r="B240" s="3">
        <v>45642</v>
      </c>
      <c r="C240" s="6" t="s">
        <v>534</v>
      </c>
      <c r="D240" s="251">
        <v>369</v>
      </c>
      <c r="E240" s="6" t="s">
        <v>534</v>
      </c>
      <c r="F240" s="58" t="s">
        <v>138</v>
      </c>
      <c r="G240" s="392">
        <v>4420000</v>
      </c>
      <c r="H240" t="s">
        <v>167</v>
      </c>
      <c r="I240" t="s">
        <v>756</v>
      </c>
    </row>
    <row r="241" spans="2:9" x14ac:dyDescent="0.2">
      <c r="B241" s="3">
        <v>45636</v>
      </c>
      <c r="C241" s="6" t="s">
        <v>562</v>
      </c>
      <c r="D241" s="251">
        <v>7</v>
      </c>
      <c r="E241" s="6" t="s">
        <v>562</v>
      </c>
      <c r="F241" s="58" t="s">
        <v>138</v>
      </c>
      <c r="G241" s="392">
        <v>5760000</v>
      </c>
      <c r="H241" t="s">
        <v>167</v>
      </c>
      <c r="I241" t="s">
        <v>756</v>
      </c>
    </row>
    <row r="242" spans="2:9" x14ac:dyDescent="0.2">
      <c r="B242" s="3">
        <v>45644</v>
      </c>
      <c r="C242" s="6" t="s">
        <v>421</v>
      </c>
      <c r="D242" s="251">
        <v>332</v>
      </c>
      <c r="E242" s="6" t="s">
        <v>421</v>
      </c>
      <c r="F242" s="58" t="s">
        <v>138</v>
      </c>
      <c r="G242" s="488">
        <v>8000000</v>
      </c>
      <c r="H242" t="s">
        <v>165</v>
      </c>
      <c r="I242" t="s">
        <v>755</v>
      </c>
    </row>
    <row r="243" spans="2:9" x14ac:dyDescent="0.2">
      <c r="B243" s="3">
        <v>45630</v>
      </c>
      <c r="C243" s="6" t="s">
        <v>488</v>
      </c>
      <c r="D243" s="251">
        <v>212</v>
      </c>
      <c r="E243" s="6" t="s">
        <v>488</v>
      </c>
      <c r="F243" s="58" t="s">
        <v>138</v>
      </c>
      <c r="G243" s="392">
        <v>540000</v>
      </c>
      <c r="H243" t="s">
        <v>165</v>
      </c>
      <c r="I243" t="s">
        <v>755</v>
      </c>
    </row>
    <row r="244" spans="2:9" x14ac:dyDescent="0.2">
      <c r="B244" s="3">
        <v>45630</v>
      </c>
      <c r="C244" s="6" t="s">
        <v>490</v>
      </c>
      <c r="D244" s="251">
        <v>215</v>
      </c>
      <c r="E244" s="6" t="s">
        <v>490</v>
      </c>
      <c r="F244" s="58" t="s">
        <v>138</v>
      </c>
      <c r="G244" s="392">
        <v>1400000</v>
      </c>
      <c r="H244" t="s">
        <v>165</v>
      </c>
      <c r="I244" t="s">
        <v>755</v>
      </c>
    </row>
    <row r="245" spans="2:9" x14ac:dyDescent="0.2">
      <c r="B245" s="3">
        <v>45625</v>
      </c>
      <c r="C245" s="6" t="s">
        <v>492</v>
      </c>
      <c r="D245" s="251">
        <v>216</v>
      </c>
      <c r="E245" s="6" t="s">
        <v>492</v>
      </c>
      <c r="F245" s="58" t="s">
        <v>138</v>
      </c>
      <c r="G245" s="392">
        <v>1350000</v>
      </c>
      <c r="H245" t="s">
        <v>165</v>
      </c>
      <c r="I245" t="s">
        <v>755</v>
      </c>
    </row>
    <row r="246" spans="2:9" x14ac:dyDescent="0.2">
      <c r="B246" s="3">
        <v>45625</v>
      </c>
      <c r="C246" s="6" t="s">
        <v>494</v>
      </c>
      <c r="D246" s="251">
        <v>219</v>
      </c>
      <c r="E246" s="6" t="s">
        <v>494</v>
      </c>
      <c r="F246" s="58" t="s">
        <v>138</v>
      </c>
      <c r="G246" s="392">
        <v>4000000</v>
      </c>
      <c r="H246" t="s">
        <v>165</v>
      </c>
      <c r="I246" t="s">
        <v>755</v>
      </c>
    </row>
    <row r="247" spans="2:9" x14ac:dyDescent="0.2">
      <c r="B247" s="3">
        <v>45636</v>
      </c>
      <c r="C247" s="6" t="s">
        <v>506</v>
      </c>
      <c r="D247" s="251">
        <v>233</v>
      </c>
      <c r="E247" s="6" t="s">
        <v>506</v>
      </c>
      <c r="F247" s="58" t="s">
        <v>138</v>
      </c>
      <c r="G247" s="392">
        <v>3800000</v>
      </c>
      <c r="H247" t="s">
        <v>165</v>
      </c>
      <c r="I247" t="s">
        <v>755</v>
      </c>
    </row>
    <row r="248" spans="2:9" x14ac:dyDescent="0.2">
      <c r="B248" s="3">
        <v>45636</v>
      </c>
      <c r="C248" s="6" t="s">
        <v>482</v>
      </c>
      <c r="D248" s="251">
        <v>234</v>
      </c>
      <c r="E248" s="6" t="s">
        <v>482</v>
      </c>
      <c r="F248" s="58" t="s">
        <v>138</v>
      </c>
      <c r="G248" s="392">
        <v>360000</v>
      </c>
      <c r="H248" t="s">
        <v>165</v>
      </c>
      <c r="I248" t="s">
        <v>755</v>
      </c>
    </row>
    <row r="249" spans="2:9" x14ac:dyDescent="0.2">
      <c r="B249" s="3">
        <v>45636</v>
      </c>
      <c r="C249" s="6" t="s">
        <v>481</v>
      </c>
      <c r="D249" s="251">
        <v>235</v>
      </c>
      <c r="E249" s="6" t="s">
        <v>481</v>
      </c>
      <c r="F249" s="58" t="s">
        <v>138</v>
      </c>
      <c r="G249" s="392">
        <v>200000</v>
      </c>
      <c r="H249" t="s">
        <v>165</v>
      </c>
      <c r="I249" t="s">
        <v>755</v>
      </c>
    </row>
    <row r="250" spans="2:9" x14ac:dyDescent="0.2">
      <c r="B250" s="3">
        <v>45636</v>
      </c>
      <c r="C250" s="6" t="s">
        <v>507</v>
      </c>
      <c r="D250" s="251">
        <v>236</v>
      </c>
      <c r="E250" s="6" t="s">
        <v>507</v>
      </c>
      <c r="F250" s="58" t="s">
        <v>138</v>
      </c>
      <c r="G250" s="392">
        <v>200000</v>
      </c>
      <c r="H250" t="s">
        <v>165</v>
      </c>
      <c r="I250" t="s">
        <v>755</v>
      </c>
    </row>
    <row r="251" spans="2:9" x14ac:dyDescent="0.2">
      <c r="B251" s="3">
        <v>45681</v>
      </c>
      <c r="C251" s="6" t="s">
        <v>450</v>
      </c>
      <c r="D251" s="251">
        <v>262</v>
      </c>
      <c r="E251" s="6" t="s">
        <v>450</v>
      </c>
      <c r="F251" s="58" t="s">
        <v>138</v>
      </c>
      <c r="G251" s="392">
        <v>3622500</v>
      </c>
      <c r="H251" t="s">
        <v>165</v>
      </c>
      <c r="I251" t="s">
        <v>755</v>
      </c>
    </row>
    <row r="252" spans="2:9" x14ac:dyDescent="0.2">
      <c r="B252" s="3">
        <v>45678</v>
      </c>
      <c r="C252" s="6" t="s">
        <v>473</v>
      </c>
      <c r="D252" s="251">
        <v>310</v>
      </c>
      <c r="E252" s="6" t="s">
        <v>473</v>
      </c>
      <c r="F252" s="58" t="s">
        <v>138</v>
      </c>
      <c r="G252" s="392">
        <v>3800000</v>
      </c>
      <c r="H252" t="s">
        <v>165</v>
      </c>
      <c r="I252" t="s">
        <v>755</v>
      </c>
    </row>
    <row r="253" spans="2:9" x14ac:dyDescent="0.2">
      <c r="B253" s="3">
        <v>45751</v>
      </c>
      <c r="C253" s="6" t="s">
        <v>530</v>
      </c>
      <c r="D253" s="251">
        <v>365</v>
      </c>
      <c r="E253" s="6" t="s">
        <v>530</v>
      </c>
      <c r="F253" s="58" t="s">
        <v>138</v>
      </c>
      <c r="G253" s="392">
        <v>1350000</v>
      </c>
      <c r="H253" t="s">
        <v>165</v>
      </c>
      <c r="I253" t="s">
        <v>755</v>
      </c>
    </row>
    <row r="254" spans="2:9" x14ac:dyDescent="0.2">
      <c r="B254" s="3">
        <v>45636</v>
      </c>
      <c r="C254" s="6" t="s">
        <v>533</v>
      </c>
      <c r="D254" s="251">
        <v>368</v>
      </c>
      <c r="E254" s="6" t="s">
        <v>533</v>
      </c>
      <c r="F254" s="58" t="s">
        <v>138</v>
      </c>
      <c r="G254" s="392">
        <v>5000000</v>
      </c>
      <c r="H254" t="s">
        <v>165</v>
      </c>
      <c r="I254" t="s">
        <v>755</v>
      </c>
    </row>
    <row r="255" spans="2:9" x14ac:dyDescent="0.2">
      <c r="B255" s="3">
        <v>45625</v>
      </c>
      <c r="C255" s="6" t="s">
        <v>535</v>
      </c>
      <c r="D255" s="251">
        <v>370</v>
      </c>
      <c r="E255" s="6" t="s">
        <v>535</v>
      </c>
      <c r="F255" s="58" t="s">
        <v>138</v>
      </c>
      <c r="G255" s="392">
        <v>4800000</v>
      </c>
      <c r="H255" t="s">
        <v>165</v>
      </c>
      <c r="I255" t="s">
        <v>755</v>
      </c>
    </row>
    <row r="256" spans="2:9" x14ac:dyDescent="0.2">
      <c r="B256" s="3">
        <v>45625</v>
      </c>
      <c r="C256" s="6" t="s">
        <v>556</v>
      </c>
      <c r="D256" s="251">
        <v>1</v>
      </c>
      <c r="E256" s="6" t="s">
        <v>556</v>
      </c>
      <c r="F256" s="58" t="s">
        <v>138</v>
      </c>
      <c r="G256" s="392">
        <v>4860000</v>
      </c>
      <c r="H256" t="s">
        <v>165</v>
      </c>
      <c r="I256" t="s">
        <v>755</v>
      </c>
    </row>
    <row r="257" spans="2:9" x14ac:dyDescent="0.2">
      <c r="B257" s="3">
        <v>45616</v>
      </c>
      <c r="C257" s="6" t="s">
        <v>558</v>
      </c>
      <c r="D257" s="251">
        <v>3</v>
      </c>
      <c r="E257" s="6" t="s">
        <v>558</v>
      </c>
      <c r="F257" s="58" t="s">
        <v>138</v>
      </c>
      <c r="G257" s="392">
        <v>4860000</v>
      </c>
      <c r="H257" t="s">
        <v>165</v>
      </c>
      <c r="I257" t="s">
        <v>755</v>
      </c>
    </row>
    <row r="258" spans="2:9" x14ac:dyDescent="0.2">
      <c r="B258" s="3">
        <v>45989</v>
      </c>
      <c r="C258" s="253" t="s">
        <v>355</v>
      </c>
      <c r="D258" s="251">
        <v>25000000006</v>
      </c>
      <c r="E258" s="253" t="s">
        <v>355</v>
      </c>
      <c r="F258" s="58" t="s">
        <v>138</v>
      </c>
      <c r="G258" s="488">
        <v>1346400</v>
      </c>
      <c r="H258" t="s">
        <v>630</v>
      </c>
      <c r="I258" t="s">
        <v>775</v>
      </c>
    </row>
    <row r="259" spans="2:9" x14ac:dyDescent="0.2">
      <c r="B259" s="3">
        <v>45672</v>
      </c>
      <c r="C259" s="6" t="s">
        <v>520</v>
      </c>
      <c r="D259" s="251">
        <v>254</v>
      </c>
      <c r="E259" s="6" t="s">
        <v>520</v>
      </c>
      <c r="F259" s="58" t="s">
        <v>138</v>
      </c>
      <c r="G259" s="392">
        <v>5980000</v>
      </c>
      <c r="H259" t="s">
        <v>194</v>
      </c>
      <c r="I259" t="s">
        <v>751</v>
      </c>
    </row>
    <row r="260" spans="2:9" x14ac:dyDescent="0.2">
      <c r="B260" s="3">
        <v>45684</v>
      </c>
      <c r="C260" s="6" t="s">
        <v>521</v>
      </c>
      <c r="D260" s="251">
        <v>257</v>
      </c>
      <c r="E260" s="6" t="s">
        <v>521</v>
      </c>
      <c r="F260" s="58" t="s">
        <v>138</v>
      </c>
      <c r="G260" s="392">
        <v>3450000</v>
      </c>
      <c r="H260" t="s">
        <v>194</v>
      </c>
      <c r="I260" t="s">
        <v>751</v>
      </c>
    </row>
    <row r="261" spans="2:9" x14ac:dyDescent="0.2">
      <c r="B261" s="3">
        <v>45726</v>
      </c>
      <c r="C261" s="6" t="s">
        <v>414</v>
      </c>
      <c r="D261" s="251">
        <v>340</v>
      </c>
      <c r="E261" s="6" t="s">
        <v>414</v>
      </c>
      <c r="F261" s="58" t="s">
        <v>138</v>
      </c>
      <c r="G261" s="488">
        <v>250000</v>
      </c>
      <c r="H261" t="s">
        <v>333</v>
      </c>
      <c r="I261" t="s">
        <v>792</v>
      </c>
    </row>
    <row r="262" spans="2:9" x14ac:dyDescent="0.2">
      <c r="B262" s="3">
        <v>45751</v>
      </c>
      <c r="C262" s="6" t="s">
        <v>549</v>
      </c>
      <c r="D262" s="251">
        <v>392</v>
      </c>
      <c r="E262" s="6" t="s">
        <v>549</v>
      </c>
      <c r="F262" s="58" t="s">
        <v>138</v>
      </c>
      <c r="G262" s="392">
        <v>1248000</v>
      </c>
      <c r="H262" t="s">
        <v>333</v>
      </c>
      <c r="I262" t="s">
        <v>792</v>
      </c>
    </row>
    <row r="263" spans="2:9" x14ac:dyDescent="0.2">
      <c r="B263" s="3">
        <v>45688</v>
      </c>
      <c r="C263" s="6" t="s">
        <v>457</v>
      </c>
      <c r="D263" s="251">
        <v>281</v>
      </c>
      <c r="E263" s="6" t="s">
        <v>457</v>
      </c>
      <c r="F263" s="58" t="s">
        <v>138</v>
      </c>
      <c r="G263" s="392">
        <v>2430000</v>
      </c>
      <c r="H263" t="s">
        <v>211</v>
      </c>
      <c r="I263" t="s">
        <v>794</v>
      </c>
    </row>
    <row r="264" spans="2:9" x14ac:dyDescent="0.2">
      <c r="B264" s="3">
        <v>45616</v>
      </c>
      <c r="C264" s="6" t="s">
        <v>449</v>
      </c>
      <c r="D264" s="251">
        <v>260</v>
      </c>
      <c r="E264" s="6" t="s">
        <v>449</v>
      </c>
      <c r="F264" s="58" t="s">
        <v>138</v>
      </c>
      <c r="G264" s="392">
        <v>2602000</v>
      </c>
      <c r="H264" t="s">
        <v>208</v>
      </c>
      <c r="I264" t="s">
        <v>797</v>
      </c>
    </row>
    <row r="265" spans="2:9" x14ac:dyDescent="0.2">
      <c r="B265" s="3">
        <v>45616</v>
      </c>
      <c r="C265" s="6" t="s">
        <v>487</v>
      </c>
      <c r="D265" s="251">
        <v>210</v>
      </c>
      <c r="E265" s="6" t="s">
        <v>487</v>
      </c>
      <c r="F265" s="58" t="s">
        <v>138</v>
      </c>
      <c r="G265" s="392">
        <v>6064800</v>
      </c>
      <c r="H265" t="s">
        <v>202</v>
      </c>
      <c r="I265" t="s">
        <v>765</v>
      </c>
    </row>
    <row r="266" spans="2:9" x14ac:dyDescent="0.2">
      <c r="B266" s="3">
        <v>46027</v>
      </c>
      <c r="C266" s="6" t="s">
        <v>438</v>
      </c>
      <c r="D266" s="251">
        <v>26000000013</v>
      </c>
      <c r="E266" s="6" t="s">
        <v>438</v>
      </c>
      <c r="F266" s="58" t="s">
        <v>138</v>
      </c>
      <c r="G266" s="392">
        <v>175000</v>
      </c>
      <c r="H266" t="s">
        <v>202</v>
      </c>
      <c r="I266" t="s">
        <v>765</v>
      </c>
    </row>
    <row r="267" spans="2:9" x14ac:dyDescent="0.2">
      <c r="B267" s="3">
        <v>45691</v>
      </c>
      <c r="C267" s="6" t="s">
        <v>456</v>
      </c>
      <c r="D267" s="251">
        <v>280</v>
      </c>
      <c r="E267" s="6" t="s">
        <v>456</v>
      </c>
      <c r="F267" s="58" t="s">
        <v>138</v>
      </c>
      <c r="G267" s="392">
        <v>312500</v>
      </c>
      <c r="H267" t="s">
        <v>283</v>
      </c>
      <c r="I267" t="s">
        <v>795</v>
      </c>
    </row>
    <row r="268" spans="2:9" x14ac:dyDescent="0.2">
      <c r="B268" s="3">
        <v>45727</v>
      </c>
      <c r="C268" s="6" t="s">
        <v>408</v>
      </c>
      <c r="D268" s="251">
        <v>349</v>
      </c>
      <c r="E268" s="6" t="s">
        <v>408</v>
      </c>
      <c r="F268" s="58" t="s">
        <v>138</v>
      </c>
      <c r="G268" s="488">
        <v>990000</v>
      </c>
      <c r="H268" t="s">
        <v>161</v>
      </c>
      <c r="I268" t="s">
        <v>746</v>
      </c>
    </row>
    <row r="269" spans="2:9" x14ac:dyDescent="0.2">
      <c r="B269" s="3">
        <v>45869</v>
      </c>
      <c r="C269" s="253" t="s">
        <v>339</v>
      </c>
      <c r="D269" s="251">
        <v>69</v>
      </c>
      <c r="E269" s="253" t="s">
        <v>339</v>
      </c>
      <c r="F269" s="58" t="s">
        <v>138</v>
      </c>
      <c r="G269" s="488">
        <v>990000</v>
      </c>
      <c r="H269" t="s">
        <v>161</v>
      </c>
      <c r="I269" t="s">
        <v>746</v>
      </c>
    </row>
    <row r="270" spans="2:9" x14ac:dyDescent="0.2">
      <c r="B270" s="3">
        <v>45653</v>
      </c>
      <c r="C270" s="6" t="s">
        <v>486</v>
      </c>
      <c r="D270" s="251">
        <v>205</v>
      </c>
      <c r="E270" s="6" t="s">
        <v>486</v>
      </c>
      <c r="F270" s="58" t="s">
        <v>138</v>
      </c>
      <c r="G270" s="392">
        <v>20234633</v>
      </c>
      <c r="H270" t="s">
        <v>161</v>
      </c>
      <c r="I270" t="s">
        <v>746</v>
      </c>
    </row>
    <row r="271" spans="2:9" x14ac:dyDescent="0.2">
      <c r="B271" s="3">
        <v>45688</v>
      </c>
      <c r="C271" s="6" t="s">
        <v>459</v>
      </c>
      <c r="D271" s="251">
        <v>292</v>
      </c>
      <c r="E271" s="6" t="s">
        <v>459</v>
      </c>
      <c r="F271" s="58" t="s">
        <v>138</v>
      </c>
      <c r="G271" s="392">
        <v>27468694</v>
      </c>
      <c r="H271" t="s">
        <v>161</v>
      </c>
      <c r="I271" t="s">
        <v>746</v>
      </c>
    </row>
    <row r="272" spans="2:9" x14ac:dyDescent="0.2">
      <c r="B272" s="3">
        <v>45862</v>
      </c>
      <c r="C272" s="6" t="s">
        <v>605</v>
      </c>
      <c r="D272" s="251">
        <v>58</v>
      </c>
      <c r="E272" s="6" t="s">
        <v>605</v>
      </c>
      <c r="F272" s="58" t="s">
        <v>138</v>
      </c>
      <c r="G272" s="392">
        <v>4320000</v>
      </c>
      <c r="H272" t="s">
        <v>161</v>
      </c>
      <c r="I272" t="s">
        <v>746</v>
      </c>
    </row>
    <row r="273" spans="2:9" x14ac:dyDescent="0.2">
      <c r="B273" s="3">
        <v>45862</v>
      </c>
      <c r="C273" s="6" t="s">
        <v>606</v>
      </c>
      <c r="D273" s="251">
        <v>59</v>
      </c>
      <c r="E273" s="6" t="s">
        <v>606</v>
      </c>
      <c r="F273" s="58" t="s">
        <v>138</v>
      </c>
      <c r="G273" s="392">
        <v>990000</v>
      </c>
      <c r="H273" t="s">
        <v>161</v>
      </c>
      <c r="I273" t="s">
        <v>746</v>
      </c>
    </row>
    <row r="274" spans="2:9" x14ac:dyDescent="0.2">
      <c r="B274" s="3">
        <v>45862</v>
      </c>
      <c r="C274" s="6" t="s">
        <v>607</v>
      </c>
      <c r="D274" s="251">
        <v>60</v>
      </c>
      <c r="E274" s="6" t="s">
        <v>607</v>
      </c>
      <c r="F274" s="58" t="s">
        <v>138</v>
      </c>
      <c r="G274" s="392">
        <v>1980000</v>
      </c>
      <c r="H274" t="s">
        <v>161</v>
      </c>
      <c r="I274" t="s">
        <v>746</v>
      </c>
    </row>
    <row r="275" spans="2:9" x14ac:dyDescent="0.2">
      <c r="B275" s="3">
        <v>45693</v>
      </c>
      <c r="C275" s="6" t="s">
        <v>476</v>
      </c>
      <c r="D275" s="251">
        <v>291</v>
      </c>
      <c r="E275" s="6" t="s">
        <v>476</v>
      </c>
      <c r="F275" s="58" t="s">
        <v>138</v>
      </c>
      <c r="G275" s="392">
        <v>340000</v>
      </c>
      <c r="H275" t="s">
        <v>210</v>
      </c>
      <c r="I275" t="s">
        <v>793</v>
      </c>
    </row>
    <row r="276" spans="2:9" x14ac:dyDescent="0.2">
      <c r="B276" s="3">
        <v>46078</v>
      </c>
      <c r="C276" s="6" t="s">
        <v>729</v>
      </c>
      <c r="D276" s="251">
        <v>26000000039</v>
      </c>
      <c r="E276" s="6" t="s">
        <v>729</v>
      </c>
      <c r="F276" s="58" t="s">
        <v>138</v>
      </c>
      <c r="G276" s="392">
        <v>4375000</v>
      </c>
      <c r="H276" t="s">
        <v>728</v>
      </c>
      <c r="I276" t="s">
        <v>771</v>
      </c>
    </row>
    <row r="277" spans="2:9" x14ac:dyDescent="0.2">
      <c r="B277" s="3">
        <v>46071</v>
      </c>
      <c r="C277" s="6" t="s">
        <v>722</v>
      </c>
      <c r="D277" s="251">
        <v>26000000032</v>
      </c>
      <c r="E277" s="6" t="s">
        <v>722</v>
      </c>
      <c r="F277" s="58" t="s">
        <v>138</v>
      </c>
      <c r="G277" s="392">
        <v>7350000</v>
      </c>
      <c r="H277" t="s">
        <v>721</v>
      </c>
      <c r="I277" t="s">
        <v>773</v>
      </c>
    </row>
    <row r="278" spans="2:9" x14ac:dyDescent="0.2">
      <c r="B278" s="3">
        <v>46077</v>
      </c>
      <c r="C278" s="6" t="s">
        <v>724</v>
      </c>
      <c r="D278" s="251">
        <v>26000000033</v>
      </c>
      <c r="E278" s="6" t="s">
        <v>724</v>
      </c>
      <c r="F278" s="58" t="s">
        <v>138</v>
      </c>
      <c r="G278" s="392">
        <v>2450000</v>
      </c>
      <c r="H278" t="s">
        <v>721</v>
      </c>
      <c r="I278" t="s">
        <v>773</v>
      </c>
    </row>
    <row r="279" spans="2:9" x14ac:dyDescent="0.2">
      <c r="B279" s="3">
        <v>45916</v>
      </c>
      <c r="C279" s="253" t="s">
        <v>226</v>
      </c>
      <c r="D279" s="251">
        <v>88</v>
      </c>
      <c r="E279" s="253" t="s">
        <v>226</v>
      </c>
      <c r="F279" s="58" t="s">
        <v>138</v>
      </c>
      <c r="G279" s="488">
        <v>6480000</v>
      </c>
      <c r="H279" t="s">
        <v>156</v>
      </c>
      <c r="I279" t="s">
        <v>745</v>
      </c>
    </row>
    <row r="280" spans="2:9" x14ac:dyDescent="0.2">
      <c r="B280" s="3">
        <v>45980</v>
      </c>
      <c r="C280" s="253" t="s">
        <v>353</v>
      </c>
      <c r="D280" s="251">
        <v>25000000004</v>
      </c>
      <c r="E280" s="253" t="s">
        <v>353</v>
      </c>
      <c r="F280" s="58" t="s">
        <v>138</v>
      </c>
      <c r="G280" s="488">
        <v>2160000</v>
      </c>
      <c r="H280" t="s">
        <v>156</v>
      </c>
      <c r="I280" t="s">
        <v>745</v>
      </c>
    </row>
    <row r="281" spans="2:9" x14ac:dyDescent="0.2">
      <c r="B281" s="3">
        <v>45672</v>
      </c>
      <c r="C281" s="6" t="s">
        <v>485</v>
      </c>
      <c r="D281" s="251">
        <v>208</v>
      </c>
      <c r="E281" s="6" t="s">
        <v>485</v>
      </c>
      <c r="F281" s="58" t="s">
        <v>138</v>
      </c>
      <c r="G281" s="392">
        <v>3500000</v>
      </c>
      <c r="H281" t="s">
        <v>156</v>
      </c>
      <c r="I281" t="s">
        <v>745</v>
      </c>
    </row>
    <row r="282" spans="2:9" x14ac:dyDescent="0.2">
      <c r="B282" s="3">
        <v>45672</v>
      </c>
      <c r="C282" s="6" t="s">
        <v>484</v>
      </c>
      <c r="D282" s="251">
        <v>209</v>
      </c>
      <c r="E282" s="6" t="s">
        <v>484</v>
      </c>
      <c r="F282" s="58" t="s">
        <v>138</v>
      </c>
      <c r="G282" s="392">
        <v>720000</v>
      </c>
      <c r="H282" t="s">
        <v>156</v>
      </c>
      <c r="I282" t="s">
        <v>745</v>
      </c>
    </row>
    <row r="283" spans="2:9" x14ac:dyDescent="0.2">
      <c r="B283" s="3">
        <v>45672</v>
      </c>
      <c r="C283" s="6" t="s">
        <v>518</v>
      </c>
      <c r="D283" s="251">
        <v>251</v>
      </c>
      <c r="E283" s="6" t="s">
        <v>518</v>
      </c>
      <c r="F283" s="58" t="s">
        <v>138</v>
      </c>
      <c r="G283" s="392">
        <v>15345000</v>
      </c>
      <c r="H283" t="s">
        <v>156</v>
      </c>
      <c r="I283" t="s">
        <v>745</v>
      </c>
    </row>
    <row r="284" spans="2:9" x14ac:dyDescent="0.2">
      <c r="B284" s="3">
        <v>45692</v>
      </c>
      <c r="C284" s="6" t="s">
        <v>454</v>
      </c>
      <c r="D284" s="251">
        <v>277</v>
      </c>
      <c r="E284" s="6" t="s">
        <v>454</v>
      </c>
      <c r="F284" s="58" t="s">
        <v>138</v>
      </c>
      <c r="G284" s="392">
        <v>5670000</v>
      </c>
      <c r="H284" t="s">
        <v>156</v>
      </c>
      <c r="I284" t="s">
        <v>745</v>
      </c>
    </row>
    <row r="285" spans="2:9" x14ac:dyDescent="0.2">
      <c r="B285" s="3">
        <v>45692</v>
      </c>
      <c r="C285" s="6" t="s">
        <v>452</v>
      </c>
      <c r="D285" s="251">
        <v>278</v>
      </c>
      <c r="E285" s="6" t="s">
        <v>452</v>
      </c>
      <c r="F285" s="58" t="s">
        <v>138</v>
      </c>
      <c r="G285" s="392">
        <v>2870000</v>
      </c>
      <c r="H285" t="s">
        <v>156</v>
      </c>
      <c r="I285" t="s">
        <v>745</v>
      </c>
    </row>
    <row r="286" spans="2:9" x14ac:dyDescent="0.2">
      <c r="B286" s="3">
        <v>45692</v>
      </c>
      <c r="C286" s="6" t="s">
        <v>455</v>
      </c>
      <c r="D286" s="251">
        <v>279</v>
      </c>
      <c r="E286" s="6" t="s">
        <v>455</v>
      </c>
      <c r="F286" s="58" t="s">
        <v>138</v>
      </c>
      <c r="G286" s="392">
        <v>8500000</v>
      </c>
      <c r="H286" t="s">
        <v>156</v>
      </c>
      <c r="I286" t="s">
        <v>745</v>
      </c>
    </row>
    <row r="287" spans="2:9" x14ac:dyDescent="0.2">
      <c r="B287" s="3">
        <v>45517</v>
      </c>
      <c r="C287" s="6" t="s">
        <v>410</v>
      </c>
      <c r="D287" s="251">
        <v>346</v>
      </c>
      <c r="E287" s="6" t="s">
        <v>410</v>
      </c>
      <c r="F287" s="58" t="s">
        <v>138</v>
      </c>
      <c r="G287" s="488">
        <v>250000</v>
      </c>
      <c r="H287" t="s">
        <v>332</v>
      </c>
      <c r="I287" t="s">
        <v>791</v>
      </c>
    </row>
    <row r="288" spans="2:9" x14ac:dyDescent="0.2">
      <c r="B288" s="3">
        <v>45680</v>
      </c>
      <c r="C288" s="6" t="s">
        <v>519</v>
      </c>
      <c r="D288" s="251">
        <v>252</v>
      </c>
      <c r="E288" s="6" t="s">
        <v>519</v>
      </c>
      <c r="F288" s="58" t="s">
        <v>138</v>
      </c>
      <c r="G288" s="392">
        <v>1080000</v>
      </c>
      <c r="H288" t="s">
        <v>162</v>
      </c>
      <c r="I288" t="s">
        <v>747</v>
      </c>
    </row>
    <row r="289" spans="2:12" x14ac:dyDescent="0.2">
      <c r="B289" s="3">
        <v>45694</v>
      </c>
      <c r="C289" s="6" t="s">
        <v>458</v>
      </c>
      <c r="D289" s="251">
        <v>282</v>
      </c>
      <c r="E289" s="6" t="s">
        <v>458</v>
      </c>
      <c r="F289" s="58" t="s">
        <v>138</v>
      </c>
      <c r="G289" s="392">
        <v>3960000</v>
      </c>
      <c r="H289" t="s">
        <v>162</v>
      </c>
      <c r="I289" t="s">
        <v>747</v>
      </c>
    </row>
    <row r="290" spans="2:12" x14ac:dyDescent="0.2">
      <c r="B290" s="3">
        <v>45734</v>
      </c>
      <c r="C290" s="6" t="s">
        <v>523</v>
      </c>
      <c r="D290" s="251">
        <v>356</v>
      </c>
      <c r="E290" s="6" t="s">
        <v>523</v>
      </c>
      <c r="F290" s="58" t="s">
        <v>138</v>
      </c>
      <c r="G290" s="392">
        <v>375000</v>
      </c>
      <c r="H290" t="s">
        <v>334</v>
      </c>
      <c r="I290" t="s">
        <v>790</v>
      </c>
    </row>
    <row r="291" spans="2:12" x14ac:dyDescent="0.2">
      <c r="B291" s="3">
        <v>45863</v>
      </c>
      <c r="C291" s="6" t="s">
        <v>608</v>
      </c>
      <c r="D291" s="251">
        <v>61</v>
      </c>
      <c r="E291" s="6" t="s">
        <v>608</v>
      </c>
      <c r="F291" s="58" t="s">
        <v>138</v>
      </c>
      <c r="G291" s="392">
        <v>2880000</v>
      </c>
      <c r="H291" t="s">
        <v>189</v>
      </c>
      <c r="I291" t="s">
        <v>780</v>
      </c>
    </row>
    <row r="292" spans="2:12" x14ac:dyDescent="0.2">
      <c r="B292" s="3">
        <v>45863</v>
      </c>
      <c r="C292" s="6" t="s">
        <v>609</v>
      </c>
      <c r="D292" s="251">
        <v>63</v>
      </c>
      <c r="E292" s="6" t="s">
        <v>609</v>
      </c>
      <c r="F292" s="58" t="s">
        <v>138</v>
      </c>
      <c r="G292" s="392">
        <v>2880000</v>
      </c>
      <c r="H292" t="s">
        <v>189</v>
      </c>
      <c r="I292" t="s">
        <v>780</v>
      </c>
    </row>
    <row r="293" spans="2:12" x14ac:dyDescent="0.2">
      <c r="B293" s="3">
        <v>45864</v>
      </c>
      <c r="C293" s="6" t="s">
        <v>610</v>
      </c>
      <c r="D293" s="251">
        <v>64</v>
      </c>
      <c r="E293" s="6" t="s">
        <v>610</v>
      </c>
      <c r="F293" s="58" t="s">
        <v>138</v>
      </c>
      <c r="G293" s="392">
        <v>1440000</v>
      </c>
      <c r="H293" t="s">
        <v>189</v>
      </c>
      <c r="I293" t="s">
        <v>780</v>
      </c>
    </row>
    <row r="294" spans="2:12" x14ac:dyDescent="0.2">
      <c r="B294" s="3">
        <v>45864</v>
      </c>
      <c r="C294" s="6" t="s">
        <v>611</v>
      </c>
      <c r="D294" s="251">
        <v>65</v>
      </c>
      <c r="E294" s="6" t="s">
        <v>611</v>
      </c>
      <c r="F294" s="58" t="s">
        <v>138</v>
      </c>
      <c r="G294" s="392">
        <v>1440000</v>
      </c>
      <c r="H294" t="s">
        <v>189</v>
      </c>
      <c r="I294" t="s">
        <v>780</v>
      </c>
    </row>
    <row r="295" spans="2:12" x14ac:dyDescent="0.2">
      <c r="B295" s="3">
        <v>45864</v>
      </c>
      <c r="C295" s="6" t="s">
        <v>612</v>
      </c>
      <c r="D295" s="251">
        <v>66</v>
      </c>
      <c r="E295" s="6" t="s">
        <v>612</v>
      </c>
      <c r="F295" s="58" t="s">
        <v>138</v>
      </c>
      <c r="G295" s="392">
        <v>2880000</v>
      </c>
      <c r="H295" t="s">
        <v>189</v>
      </c>
      <c r="I295" t="s">
        <v>780</v>
      </c>
    </row>
    <row r="296" spans="2:12" x14ac:dyDescent="0.2">
      <c r="B296" s="3">
        <v>45864</v>
      </c>
      <c r="C296" s="6" t="s">
        <v>613</v>
      </c>
      <c r="D296" s="251">
        <v>67</v>
      </c>
      <c r="E296" s="6" t="s">
        <v>613</v>
      </c>
      <c r="F296" s="58" t="s">
        <v>138</v>
      </c>
      <c r="G296" s="392">
        <v>1440000</v>
      </c>
      <c r="H296" t="s">
        <v>189</v>
      </c>
      <c r="I296" t="s">
        <v>780</v>
      </c>
    </row>
    <row r="297" spans="2:12" x14ac:dyDescent="0.2">
      <c r="B297" s="3">
        <v>45468</v>
      </c>
      <c r="C297" s="6" t="s">
        <v>415</v>
      </c>
      <c r="D297" s="251">
        <v>259</v>
      </c>
      <c r="E297" s="6" t="s">
        <v>415</v>
      </c>
      <c r="F297" s="58" t="s">
        <v>138</v>
      </c>
      <c r="G297" s="392">
        <v>1534000</v>
      </c>
      <c r="H297" t="s">
        <v>209</v>
      </c>
      <c r="I297" t="s">
        <v>754</v>
      </c>
    </row>
    <row r="298" spans="2:12" x14ac:dyDescent="0.2">
      <c r="B298" s="3">
        <v>45468</v>
      </c>
      <c r="C298" s="6" t="s">
        <v>529</v>
      </c>
      <c r="D298" s="251">
        <v>363</v>
      </c>
      <c r="E298" s="6" t="s">
        <v>529</v>
      </c>
      <c r="F298" s="58" t="s">
        <v>138</v>
      </c>
      <c r="G298" s="392">
        <v>844000</v>
      </c>
      <c r="H298" t="s">
        <v>209</v>
      </c>
      <c r="I298" t="s">
        <v>754</v>
      </c>
    </row>
    <row r="299" spans="2:12" x14ac:dyDescent="0.2">
      <c r="B299" s="3">
        <v>45684</v>
      </c>
      <c r="C299" s="6" t="s">
        <v>673</v>
      </c>
      <c r="D299" s="251">
        <v>261</v>
      </c>
      <c r="E299" s="6" t="s">
        <v>673</v>
      </c>
      <c r="F299" s="58" t="s">
        <v>138</v>
      </c>
      <c r="G299" s="392">
        <v>1610000</v>
      </c>
      <c r="H299" t="s">
        <v>154</v>
      </c>
      <c r="I299" t="s">
        <v>768</v>
      </c>
    </row>
    <row r="300" spans="2:12" x14ac:dyDescent="0.2">
      <c r="B300" s="3">
        <v>45687</v>
      </c>
      <c r="C300" s="6" t="s">
        <v>762</v>
      </c>
      <c r="D300" s="251">
        <v>274</v>
      </c>
      <c r="E300" s="6" t="s">
        <v>762</v>
      </c>
      <c r="F300" s="58" t="s">
        <v>138</v>
      </c>
      <c r="G300" s="392">
        <v>980000</v>
      </c>
      <c r="H300" t="s">
        <v>154</v>
      </c>
      <c r="I300" t="s">
        <v>768</v>
      </c>
    </row>
    <row r="301" spans="2:12" x14ac:dyDescent="0.2">
      <c r="B301" s="3">
        <v>45685</v>
      </c>
      <c r="C301" s="6" t="s">
        <v>761</v>
      </c>
      <c r="D301" s="251">
        <v>273</v>
      </c>
      <c r="E301" s="6" t="s">
        <v>761</v>
      </c>
      <c r="F301" s="58" t="s">
        <v>138</v>
      </c>
      <c r="G301" s="392">
        <v>1080000</v>
      </c>
      <c r="H301" t="s">
        <v>234</v>
      </c>
      <c r="I301" t="s">
        <v>796</v>
      </c>
    </row>
    <row r="302" spans="2:12" x14ac:dyDescent="0.2">
      <c r="B302" s="7"/>
      <c r="C302" s="11" t="s">
        <v>764</v>
      </c>
      <c r="D302" s="390">
        <v>44</v>
      </c>
      <c r="E302" s="11" t="s">
        <v>764</v>
      </c>
      <c r="F302" s="58" t="s">
        <v>138</v>
      </c>
      <c r="G302" s="391">
        <v>400000</v>
      </c>
      <c r="H302">
        <v>0</v>
      </c>
    </row>
    <row r="303" spans="2:12" x14ac:dyDescent="0.2">
      <c r="B303" t="s">
        <v>2</v>
      </c>
      <c r="C303" s="17">
        <f>SUBTOTAL(103,Tableau2273[N° BC])</f>
        <v>297</v>
      </c>
      <c r="E303" s="17"/>
      <c r="F303" s="99" cm="1">
        <f t="array" aca="1" ref="F303" ca="1">IFERROR(SUMPRODUCT(SUBTOTAL(3,OFFSET(Tableau2273[[#Headers],[NOM CLIENT]],ROW(INDIRECT("1:"&amp;ROWS(Tableau2273[NOM CLIENT]))),))*(1/COUNTIF(Tableau2273[NOM CLIENT],Tableau2273[NOM CLIENT]))),"")</f>
        <v>0.999999999999997</v>
      </c>
      <c r="G303" s="4">
        <f>SUBTOTAL(109,Tableau2273[MONTANT HT VALIDE])</f>
        <v>1877419918.8474576</v>
      </c>
    </row>
    <row r="304" spans="2:12" s="4" customFormat="1" x14ac:dyDescent="0.2">
      <c r="B304"/>
      <c r="C304"/>
      <c r="D304" s="6"/>
      <c r="E304"/>
      <c r="F304" s="36"/>
      <c r="G304" s="487"/>
      <c r="H304"/>
      <c r="I304"/>
      <c r="J304"/>
      <c r="K304"/>
      <c r="L304"/>
    </row>
    <row r="305" spans="2:12" s="4" customFormat="1" x14ac:dyDescent="0.2">
      <c r="B305"/>
      <c r="C305"/>
      <c r="D305" s="6"/>
      <c r="E305"/>
      <c r="F305" s="57"/>
      <c r="G305" s="487"/>
      <c r="H305"/>
      <c r="I305"/>
      <c r="J305"/>
      <c r="K305"/>
      <c r="L305"/>
    </row>
    <row r="306" spans="2:12" s="4" customFormat="1" x14ac:dyDescent="0.2">
      <c r="B306"/>
      <c r="C306"/>
      <c r="D306" s="6"/>
      <c r="E306"/>
      <c r="F306" s="57"/>
      <c r="G306" s="487"/>
      <c r="H306"/>
      <c r="I306"/>
      <c r="J306"/>
      <c r="K306"/>
      <c r="L306"/>
    </row>
    <row r="329" spans="2:12" s="4" customFormat="1" x14ac:dyDescent="0.2">
      <c r="B329"/>
      <c r="D329" s="6"/>
      <c r="E329"/>
      <c r="F329"/>
      <c r="G329" s="487"/>
      <c r="H329"/>
      <c r="I329"/>
      <c r="J329"/>
      <c r="K329"/>
      <c r="L329"/>
    </row>
    <row r="330" spans="2:12" s="4" customFormat="1" x14ac:dyDescent="0.2">
      <c r="B330"/>
      <c r="D330" s="6"/>
      <c r="E330"/>
      <c r="F330"/>
      <c r="G330" s="487"/>
      <c r="H330"/>
      <c r="I330"/>
      <c r="J330"/>
      <c r="K330"/>
      <c r="L330"/>
    </row>
    <row r="331" spans="2:12" s="4" customFormat="1" x14ac:dyDescent="0.2">
      <c r="B331"/>
      <c r="D331" s="6"/>
      <c r="E331"/>
      <c r="F331"/>
      <c r="G331" s="487"/>
      <c r="H331"/>
      <c r="I331"/>
      <c r="J331"/>
      <c r="K331"/>
      <c r="L331"/>
    </row>
    <row r="332" spans="2:12" s="4" customFormat="1" x14ac:dyDescent="0.2">
      <c r="B332"/>
      <c r="D332" s="6"/>
      <c r="E332"/>
      <c r="F332"/>
      <c r="G332" s="487"/>
      <c r="H332"/>
      <c r="I332"/>
      <c r="J332"/>
      <c r="K332"/>
      <c r="L332"/>
    </row>
    <row r="333" spans="2:12" s="4" customFormat="1" x14ac:dyDescent="0.2">
      <c r="B333"/>
      <c r="D333" s="6"/>
      <c r="E333"/>
      <c r="F333"/>
      <c r="G333" s="487"/>
      <c r="H333"/>
      <c r="I333"/>
      <c r="J333"/>
      <c r="K333"/>
      <c r="L333"/>
    </row>
    <row r="334" spans="2:12" s="4" customFormat="1" x14ac:dyDescent="0.2">
      <c r="B334"/>
      <c r="D334" s="6"/>
      <c r="E334"/>
      <c r="F334"/>
      <c r="G334" s="487"/>
      <c r="H334"/>
      <c r="I334"/>
      <c r="J334"/>
      <c r="K334"/>
      <c r="L334"/>
    </row>
    <row r="335" spans="2:12" x14ac:dyDescent="0.2">
      <c r="F335"/>
    </row>
    <row r="336" spans="2:12" x14ac:dyDescent="0.2">
      <c r="F336"/>
    </row>
    <row r="337" spans="6:6" x14ac:dyDescent="0.2">
      <c r="F337"/>
    </row>
    <row r="338" spans="6:6" x14ac:dyDescent="0.2">
      <c r="F338"/>
    </row>
    <row r="339" spans="6:6" x14ac:dyDescent="0.2">
      <c r="F339"/>
    </row>
    <row r="340" spans="6:6" x14ac:dyDescent="0.2">
      <c r="F340"/>
    </row>
    <row r="341" spans="6:6" x14ac:dyDescent="0.2">
      <c r="F341"/>
    </row>
    <row r="342" spans="6:6" x14ac:dyDescent="0.2">
      <c r="F342"/>
    </row>
    <row r="343" spans="6:6" x14ac:dyDescent="0.2">
      <c r="F343"/>
    </row>
    <row r="344" spans="6:6" x14ac:dyDescent="0.2">
      <c r="F344"/>
    </row>
    <row r="345" spans="6:6" x14ac:dyDescent="0.2">
      <c r="F345"/>
    </row>
    <row r="346" spans="6:6" x14ac:dyDescent="0.2">
      <c r="F346"/>
    </row>
    <row r="347" spans="6:6" x14ac:dyDescent="0.2">
      <c r="F347"/>
    </row>
    <row r="348" spans="6:6" x14ac:dyDescent="0.2">
      <c r="F348"/>
    </row>
    <row r="349" spans="6:6" x14ac:dyDescent="0.2">
      <c r="F349"/>
    </row>
    <row r="350" spans="6:6" x14ac:dyDescent="0.2">
      <c r="F350"/>
    </row>
    <row r="351" spans="6:6" x14ac:dyDescent="0.2">
      <c r="F351"/>
    </row>
    <row r="352" spans="6:6" x14ac:dyDescent="0.2">
      <c r="F352"/>
    </row>
    <row r="353" spans="6:6" x14ac:dyDescent="0.2">
      <c r="F353"/>
    </row>
    <row r="354" spans="6:6" x14ac:dyDescent="0.2">
      <c r="F354"/>
    </row>
    <row r="355" spans="6:6" x14ac:dyDescent="0.2">
      <c r="F355"/>
    </row>
  </sheetData>
  <conditionalFormatting sqref="B6:G302">
    <cfRule type="expression" dxfId="4" priority="2">
      <formula>#REF!="BON DE COMMANDE NON PARVENUE"</formula>
    </cfRule>
    <cfRule type="expression" dxfId="3" priority="3">
      <formula>AND(#REF!&gt;0%,#REF!&lt;100%)</formula>
    </cfRule>
    <cfRule type="expression" dxfId="2" priority="4">
      <formula>#REF!=100%</formula>
    </cfRule>
    <cfRule type="expression" dxfId="1" priority="5">
      <formula>#REF!&gt;100%</formula>
    </cfRule>
  </conditionalFormatting>
  <conditionalFormatting sqref="E6:E302">
    <cfRule type="duplicateValues" dxfId="0" priority="1"/>
  </conditionalFormatting>
  <dataValidations count="1">
    <dataValidation type="list" allowBlank="1" showInputMessage="1" showErrorMessage="1" sqref="F6:F302" xr:uid="{4B23E0B8-650D-4800-9E8B-78B0DDAB91DF}">
      <formula1>NOM_CLIENT</formula1>
    </dataValidation>
  </dataValidations>
  <printOptions horizontalCentered="1"/>
  <pageMargins left="0.70866141732283472" right="0.70866141732283472" top="0.74803149606299213" bottom="0.74803149606299213" header="0.31496062992125984" footer="0.31496062992125984"/>
  <pageSetup paperSize="9" fitToWidth="0" fitToHeight="0" orientation="portrait" horizontalDpi="300" verticalDpi="300" r:id="rId1"/>
  <headerFooter>
    <oddHeader>&amp;LSIM GROUP</oddHeader>
    <oddFooter>&amp;CSERVICE COMPTABILITE</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10</vt:i4>
      </vt:variant>
    </vt:vector>
  </HeadingPairs>
  <TitlesOfParts>
    <vt:vector size="16" baseType="lpstr">
      <vt:lpstr>PARAMETRES</vt:lpstr>
      <vt:lpstr>CLIENTS-CREANCES</vt:lpstr>
      <vt:lpstr>FACTURES</vt:lpstr>
      <vt:lpstr>REGLEMENT</vt:lpstr>
      <vt:lpstr>CARNET DE COMMANDE</vt:lpstr>
      <vt:lpstr>CARNET CDE FATURE  PFO 2025</vt:lpstr>
      <vt:lpstr>COMPTE_TRESORERIE</vt:lpstr>
      <vt:lpstr>ENTITE</vt:lpstr>
      <vt:lpstr>'CARNET CDE FATURE  PFO 2025'!ID_BC_UNIQUE</vt:lpstr>
      <vt:lpstr>ID_BC_UNIQUE</vt:lpstr>
      <vt:lpstr>FACTURES!Impression_des_titres</vt:lpstr>
      <vt:lpstr>'CARNET CDE FATURE  PFO 2025'!N°_BC</vt:lpstr>
      <vt:lpstr>NOM_CLIENT</vt:lpstr>
      <vt:lpstr>SIM_GROUP</vt:lpstr>
      <vt:lpstr>'CLIENTS-CREANCES'!Zone_d_impression</vt:lpstr>
      <vt:lpstr>FACTURES!Zone_d_impression</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TSS</dc:creator>
  <cp:lastModifiedBy>a12900</cp:lastModifiedBy>
  <cp:lastPrinted>2026-03-31T16:14:20Z</cp:lastPrinted>
  <dcterms:created xsi:type="dcterms:W3CDTF">2011-04-23T07:09:36Z</dcterms:created>
  <dcterms:modified xsi:type="dcterms:W3CDTF">2026-04-04T19:50:38Z</dcterms:modified>
</cp:coreProperties>
</file>