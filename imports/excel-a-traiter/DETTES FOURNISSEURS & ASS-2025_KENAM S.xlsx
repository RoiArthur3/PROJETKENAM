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DATA ERP CRM KENAM S\"/>
    </mc:Choice>
  </mc:AlternateContent>
  <xr:revisionPtr revIDLastSave="0" documentId="13_ncr:1_{94FCD514-A269-4886-89E6-650A51BA3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ES FOURNISSEURS" sheetId="26" r:id="rId1"/>
    <sheet name="SOUS_TRAITANTS" sheetId="27" state="hidden" r:id="rId2"/>
    <sheet name="BASE FRAIS GENERAUX (2)" sheetId="24" state="hidden" r:id="rId3"/>
    <sheet name="NOTE" sheetId="10" state="hidden" r:id="rId4"/>
    <sheet name="PLAN COMPTABLE" sheetId="12" state="hidden" r:id="rId5"/>
    <sheet name="EVALUATION DETTES" sheetId="11" state="hidden" r:id="rId6"/>
    <sheet name="ECHEANCIER" sheetId="8" state="hidden" r:id="rId7"/>
    <sheet name="DONNEES" sheetId="13" state="hidden" r:id="rId8"/>
    <sheet name="BASE DES ENGAGEMENTS" sheetId="22" state="hidden" r:id="rId9"/>
    <sheet name="BASE DE LA DETTE" sheetId="14" state="hidden" r:id="rId10"/>
    <sheet name="BASE FRAIS GENERAUX" sheetId="2" state="hidden" r:id="rId11"/>
    <sheet name="PAIEMENTS DES DETTES" sheetId="20" state="hidden" r:id="rId12"/>
    <sheet name="BASE DETTES FINANCIÈRES" sheetId="16" state="hidden" r:id="rId13"/>
    <sheet name="IMPOTS_TAXES" sheetId="5" state="hidden" r:id="rId14"/>
    <sheet name="PROJECTIONS TRESORERIE" sheetId="4" state="hidden" r:id="rId15"/>
    <sheet name="TABLEAU DE BORD" sheetId="17" state="hidden" r:id="rId16"/>
    <sheet name="DETAIL LITIGE" sheetId="19" state="hidden" r:id="rId17"/>
    <sheet name="SUIVI BON DE COMMANDE" sheetId="18" state="hidden" r:id="rId18"/>
    <sheet name="DETTES FINANCIÈRES" sheetId="9" state="hidden" r:id="rId19"/>
    <sheet name="VENTES" sheetId="3" state="hidden" r:id="rId20"/>
    <sheet name="SOLDE DE TRESORERIE" sheetId="6" state="hidden" r:id="rId21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s">#REF!</definedName>
    <definedName name="\t">#REF!</definedName>
    <definedName name="\u">#REF!</definedName>
    <definedName name="\z">#REF!</definedName>
    <definedName name="______________tap2">#REF!</definedName>
    <definedName name="_____________tap2">#REF!</definedName>
    <definedName name="____________tap2">#REF!</definedName>
    <definedName name="___________tap2">#REF!</definedName>
    <definedName name="__________tap2">#REF!</definedName>
    <definedName name="_________tap2">#REF!</definedName>
    <definedName name="________CI2" localSheetId="1" hidden="1">{#N/A,#N/A,FALSE,"vtcshl92";#N/A,#N/A,FALSE,"vtcshl93";#N/A,#N/A,FALSE,"vtcshl94";#N/A,#N/A,FALSE,"vtcshl95";#N/A,#N/A,FALSE,"vtcshl96"}</definedName>
    <definedName name="________CI2" hidden="1">{#N/A,#N/A,FALSE,"vtcshl92";#N/A,#N/A,FALSE,"vtcshl93";#N/A,#N/A,FALSE,"vtcshl94";#N/A,#N/A,FALSE,"vtcshl95";#N/A,#N/A,FALSE,"vtcshl96"}</definedName>
    <definedName name="________tap2">#REF!</definedName>
    <definedName name="_______tap2">#REF!</definedName>
    <definedName name="______CI2" localSheetId="1" hidden="1">{#N/A,#N/A,FALSE,"vtcshl92";#N/A,#N/A,FALSE,"vtcshl93";#N/A,#N/A,FALSE,"vtcshl94";#N/A,#N/A,FALSE,"vtcshl95";#N/A,#N/A,FALSE,"vtcshl96"}</definedName>
    <definedName name="______CI2" hidden="1">{#N/A,#N/A,FALSE,"vtcshl92";#N/A,#N/A,FALSE,"vtcshl93";#N/A,#N/A,FALSE,"vtcshl94";#N/A,#N/A,FALSE,"vtcshl95";#N/A,#N/A,FALSE,"vtcshl96"}</definedName>
    <definedName name="______tap2">#REF!</definedName>
    <definedName name="_____CI2" localSheetId="1" hidden="1">{#N/A,#N/A,FALSE,"vtcshl92";#N/A,#N/A,FALSE,"vtcshl93";#N/A,#N/A,FALSE,"vtcshl94";#N/A,#N/A,FALSE,"vtcshl95";#N/A,#N/A,FALSE,"vtcshl96"}</definedName>
    <definedName name="_____CI2" hidden="1">{#N/A,#N/A,FALSE,"vtcshl92";#N/A,#N/A,FALSE,"vtcshl93";#N/A,#N/A,FALSE,"vtcshl94";#N/A,#N/A,FALSE,"vtcshl95";#N/A,#N/A,FALSE,"vtcshl96"}</definedName>
    <definedName name="_____tap2">#REF!</definedName>
    <definedName name="____CI2" localSheetId="1" hidden="1">{#N/A,#N/A,FALSE,"vtcshl92";#N/A,#N/A,FALSE,"vtcshl93";#N/A,#N/A,FALSE,"vtcshl94";#N/A,#N/A,FALSE,"vtcshl95";#N/A,#N/A,FALSE,"vtcshl96"}</definedName>
    <definedName name="____CI2" hidden="1">{#N/A,#N/A,FALSE,"vtcshl92";#N/A,#N/A,FALSE,"vtcshl93";#N/A,#N/A,FALSE,"vtcshl94";#N/A,#N/A,FALSE,"vtcshl95";#N/A,#N/A,FALSE,"vtcshl96"}</definedName>
    <definedName name="____tap2">#REF!</definedName>
    <definedName name="___CI2" localSheetId="1" hidden="1">{#N/A,#N/A,FALSE,"vtcshl92";#N/A,#N/A,FALSE,"vtcshl93";#N/A,#N/A,FALSE,"vtcshl94";#N/A,#N/A,FALSE,"vtcshl95";#N/A,#N/A,FALSE,"vtcshl96"}</definedName>
    <definedName name="___CI2" hidden="1">{#N/A,#N/A,FALSE,"vtcshl92";#N/A,#N/A,FALSE,"vtcshl93";#N/A,#N/A,FALSE,"vtcshl94";#N/A,#N/A,FALSE,"vtcshl95";#N/A,#N/A,FALSE,"vtcshl96"}</definedName>
    <definedName name="___tap2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X" hidden="1">#REF!</definedName>
    <definedName name="__bed53">#REF!</definedName>
    <definedName name="__cav1">#REF!</definedName>
    <definedName name="__CI2" localSheetId="1" hidden="1">{#N/A,#N/A,FALSE,"vtcshl92";#N/A,#N/A,FALSE,"vtcshl93";#N/A,#N/A,FALSE,"vtcshl94";#N/A,#N/A,FALSE,"vtcshl95";#N/A,#N/A,FALSE,"vtcshl96"}</definedName>
    <definedName name="__CI2" hidden="1">{#N/A,#N/A,FALSE,"vtcshl92";#N/A,#N/A,FALSE,"vtcshl93";#N/A,#N/A,FALSE,"vtcshl94";#N/A,#N/A,FALSE,"vtcshl95";#N/A,#N/A,FALSE,"vtcshl96"}</definedName>
    <definedName name="__COM2">#REF!</definedName>
    <definedName name="__DJI2">#REF!</definedName>
    <definedName name="__EAO2">#REF!</definedName>
    <definedName name="__EAR2">#REF!</definedName>
    <definedName name="__ETH2">#REF!</definedName>
    <definedName name="__KE2">#REF!</definedName>
    <definedName name="__L">#REF!</definedName>
    <definedName name="__MAU2">#REF!</definedName>
    <definedName name="__MD2">#REF!</definedName>
    <definedName name="__MS2">#REF!</definedName>
    <definedName name="__RE2">#REF!</definedName>
    <definedName name="__SEY2">#REF!</definedName>
    <definedName name="__SM2">#REF!</definedName>
    <definedName name="__SOM2">#REF!</definedName>
    <definedName name="__tap2">#REF!</definedName>
    <definedName name="__tot1">#REF!</definedName>
    <definedName name="__tot2">#REF!</definedName>
    <definedName name="__TZ2">#REF!</definedName>
    <definedName name="__UG2">#REF!</definedName>
    <definedName name="_0_09_84">#REF!</definedName>
    <definedName name="_1">#REF!</definedName>
    <definedName name="_10003">#REF!</definedName>
    <definedName name="_10004">#REF!</definedName>
    <definedName name="_10006">#REF!</definedName>
    <definedName name="_10012">#REF!</definedName>
    <definedName name="_10015">#REF!</definedName>
    <definedName name="_10021">#REF!</definedName>
    <definedName name="_10024">#REF!</definedName>
    <definedName name="_1003">#REF!</definedName>
    <definedName name="_10030">#REF!</definedName>
    <definedName name="_10033">#REF!</definedName>
    <definedName name="_10039">#REF!</definedName>
    <definedName name="_10042">#REF!</definedName>
    <definedName name="_10048">#REF!</definedName>
    <definedName name="_10051">#REF!</definedName>
    <definedName name="_10057">#REF!</definedName>
    <definedName name="_1006">#REF!</definedName>
    <definedName name="_10060">#REF!</definedName>
    <definedName name="_10066">#REF!</definedName>
    <definedName name="_10069">#REF!</definedName>
    <definedName name="_10075">#REF!</definedName>
    <definedName name="_10078">#REF!</definedName>
    <definedName name="_10084">#REF!</definedName>
    <definedName name="_10087">#REF!</definedName>
    <definedName name="_10093">#REF!</definedName>
    <definedName name="_10096">#REF!</definedName>
    <definedName name="_10102">#REF!</definedName>
    <definedName name="_10105">#REF!</definedName>
    <definedName name="_10111">#REF!</definedName>
    <definedName name="_10114">#REF!</definedName>
    <definedName name="_1012">#REF!</definedName>
    <definedName name="_10120">#REF!</definedName>
    <definedName name="_10123">#REF!</definedName>
    <definedName name="_10129">#REF!</definedName>
    <definedName name="_10132">#REF!</definedName>
    <definedName name="_10138">#REF!</definedName>
    <definedName name="_10141">#REF!</definedName>
    <definedName name="_10147">#REF!</definedName>
    <definedName name="_1015">#REF!</definedName>
    <definedName name="_10150">#REF!</definedName>
    <definedName name="_10156">#REF!</definedName>
    <definedName name="_10159">#REF!</definedName>
    <definedName name="_10165">#REF!</definedName>
    <definedName name="_10168">#REF!</definedName>
    <definedName name="_10174">#REF!</definedName>
    <definedName name="_10177">#REF!</definedName>
    <definedName name="_10183">#REF!</definedName>
    <definedName name="_10186">#REF!</definedName>
    <definedName name="_10192">#REF!</definedName>
    <definedName name="_10195">#REF!</definedName>
    <definedName name="_10201">#REF!</definedName>
    <definedName name="_10204">#REF!</definedName>
    <definedName name="_1021">#REF!</definedName>
    <definedName name="_10210">#REF!</definedName>
    <definedName name="_10213">#REF!</definedName>
    <definedName name="_10219">#REF!</definedName>
    <definedName name="_10222">#REF!</definedName>
    <definedName name="_10228">#REF!</definedName>
    <definedName name="_10231">#REF!</definedName>
    <definedName name="_10237">#REF!</definedName>
    <definedName name="_1024">#REF!</definedName>
    <definedName name="_10240">#REF!</definedName>
    <definedName name="_10246">#REF!</definedName>
    <definedName name="_10249">#REF!</definedName>
    <definedName name="_10255">#REF!</definedName>
    <definedName name="_10258">#REF!</definedName>
    <definedName name="_10264">#REF!</definedName>
    <definedName name="_10267">#REF!</definedName>
    <definedName name="_10273">#REF!</definedName>
    <definedName name="_10276">#REF!</definedName>
    <definedName name="_10282">#REF!</definedName>
    <definedName name="_10285">#REF!</definedName>
    <definedName name="_10291">#REF!</definedName>
    <definedName name="_10294">#REF!</definedName>
    <definedName name="_103">#REF!</definedName>
    <definedName name="_1030">#REF!</definedName>
    <definedName name="_10300">#REF!</definedName>
    <definedName name="_10303">#REF!</definedName>
    <definedName name="_10309">#REF!</definedName>
    <definedName name="_10312">#REF!</definedName>
    <definedName name="_10318">#REF!</definedName>
    <definedName name="_10321">#REF!</definedName>
    <definedName name="_10327">#REF!</definedName>
    <definedName name="_1033">#REF!</definedName>
    <definedName name="_10330">#REF!</definedName>
    <definedName name="_10336">#REF!</definedName>
    <definedName name="_10339">#REF!</definedName>
    <definedName name="_10345">#REF!</definedName>
    <definedName name="_10348">#REF!</definedName>
    <definedName name="_10354">#REF!</definedName>
    <definedName name="_10357">#REF!</definedName>
    <definedName name="_10363">#REF!</definedName>
    <definedName name="_10366">#REF!</definedName>
    <definedName name="_10372">#REF!</definedName>
    <definedName name="_10375">#REF!</definedName>
    <definedName name="_10381">#REF!</definedName>
    <definedName name="_10384">#REF!</definedName>
    <definedName name="_1039">#REF!</definedName>
    <definedName name="_10390">#REF!</definedName>
    <definedName name="_10393">#REF!</definedName>
    <definedName name="_10399">#REF!</definedName>
    <definedName name="_10402">#REF!</definedName>
    <definedName name="_10408">#REF!</definedName>
    <definedName name="_10411">#REF!</definedName>
    <definedName name="_10417">#REF!</definedName>
    <definedName name="_1042">#REF!</definedName>
    <definedName name="_10420">#REF!</definedName>
    <definedName name="_10426">#REF!</definedName>
    <definedName name="_10429">#REF!</definedName>
    <definedName name="_10435">#REF!</definedName>
    <definedName name="_10438">#REF!</definedName>
    <definedName name="_10444">#REF!</definedName>
    <definedName name="_10447">#REF!</definedName>
    <definedName name="_10453">#REF!</definedName>
    <definedName name="_10456">#REF!</definedName>
    <definedName name="_10462">#REF!</definedName>
    <definedName name="_10465">#REF!</definedName>
    <definedName name="_10471">#REF!</definedName>
    <definedName name="_10474">#REF!</definedName>
    <definedName name="_1048">#REF!</definedName>
    <definedName name="_10480">#REF!</definedName>
    <definedName name="_10483">#REF!</definedName>
    <definedName name="_10489">#REF!</definedName>
    <definedName name="_10492">#REF!</definedName>
    <definedName name="_10498">#REF!</definedName>
    <definedName name="_10501">#REF!</definedName>
    <definedName name="_10507">#REF!</definedName>
    <definedName name="_1051">#REF!</definedName>
    <definedName name="_10510">#REF!</definedName>
    <definedName name="_10516">#REF!</definedName>
    <definedName name="_10519">#REF!</definedName>
    <definedName name="_10525">#REF!</definedName>
    <definedName name="_10528">#REF!</definedName>
    <definedName name="_10534">#REF!</definedName>
    <definedName name="_10537">#REF!</definedName>
    <definedName name="_10543">#REF!</definedName>
    <definedName name="_10546">#REF!</definedName>
    <definedName name="_10552">#REF!</definedName>
    <definedName name="_10555">#REF!</definedName>
    <definedName name="_10561">#REF!</definedName>
    <definedName name="_10564">#REF!</definedName>
    <definedName name="_1057">#REF!</definedName>
    <definedName name="_10570">#REF!</definedName>
    <definedName name="_10573">#REF!</definedName>
    <definedName name="_10579">#REF!</definedName>
    <definedName name="_10582">#REF!</definedName>
    <definedName name="_10588">#REF!</definedName>
    <definedName name="_10591">#REF!</definedName>
    <definedName name="_10597">#REF!</definedName>
    <definedName name="_106">#REF!</definedName>
    <definedName name="_1060">#REF!</definedName>
    <definedName name="_10600">#REF!</definedName>
    <definedName name="_10606">#REF!</definedName>
    <definedName name="_10609">#REF!</definedName>
    <definedName name="_10615">#REF!</definedName>
    <definedName name="_10618">#REF!</definedName>
    <definedName name="_10624">#REF!</definedName>
    <definedName name="_10627">#REF!</definedName>
    <definedName name="_10633">#REF!</definedName>
    <definedName name="_10636">#REF!</definedName>
    <definedName name="_10642">#REF!</definedName>
    <definedName name="_10645">#REF!</definedName>
    <definedName name="_10651">#REF!</definedName>
    <definedName name="_10654">#REF!</definedName>
    <definedName name="_1066">#REF!</definedName>
    <definedName name="_10660">#REF!</definedName>
    <definedName name="_10663">#REF!</definedName>
    <definedName name="_10669">#REF!</definedName>
    <definedName name="_10672">#REF!</definedName>
    <definedName name="_10678">#REF!</definedName>
    <definedName name="_10681">#REF!</definedName>
    <definedName name="_10687">#REF!</definedName>
    <definedName name="_1069">#REF!</definedName>
    <definedName name="_10690">#REF!</definedName>
    <definedName name="_10691">#REF!</definedName>
    <definedName name="_10696">#REF!</definedName>
    <definedName name="_10699">#REF!</definedName>
    <definedName name="_10705">#REF!</definedName>
    <definedName name="_10708">#REF!</definedName>
    <definedName name="_10714">#REF!</definedName>
    <definedName name="_10717">#REF!</definedName>
    <definedName name="_10723">#REF!</definedName>
    <definedName name="_10726">#REF!</definedName>
    <definedName name="_10732">#REF!</definedName>
    <definedName name="_10735">#REF!</definedName>
    <definedName name="_10741">#REF!</definedName>
    <definedName name="_10744">#REF!</definedName>
    <definedName name="_1075">#REF!</definedName>
    <definedName name="_10750">#REF!</definedName>
    <definedName name="_10753">#REF!</definedName>
    <definedName name="_10759">#REF!</definedName>
    <definedName name="_10762">#REF!</definedName>
    <definedName name="_10768">#REF!</definedName>
    <definedName name="_10771">#REF!</definedName>
    <definedName name="_10777">#REF!</definedName>
    <definedName name="_1078">#REF!</definedName>
    <definedName name="_10780">#REF!</definedName>
    <definedName name="_10786">#REF!</definedName>
    <definedName name="_10789">#REF!</definedName>
    <definedName name="_10795">#REF!</definedName>
    <definedName name="_10798">#REF!</definedName>
    <definedName name="_10804">#REF!</definedName>
    <definedName name="_10807">#REF!</definedName>
    <definedName name="_10813">#REF!</definedName>
    <definedName name="_10816">#REF!</definedName>
    <definedName name="_10822">#REF!</definedName>
    <definedName name="_10825">#REF!</definedName>
    <definedName name="_10831">#REF!</definedName>
    <definedName name="_10834">#REF!</definedName>
    <definedName name="_1084">#REF!</definedName>
    <definedName name="_10840">#REF!</definedName>
    <definedName name="_10843">#REF!</definedName>
    <definedName name="_10849">#REF!</definedName>
    <definedName name="_10852">#REF!</definedName>
    <definedName name="_10858">#REF!</definedName>
    <definedName name="_10861">#REF!</definedName>
    <definedName name="_10867">#REF!</definedName>
    <definedName name="_1087">#REF!</definedName>
    <definedName name="_10870">#REF!</definedName>
    <definedName name="_10876">#REF!</definedName>
    <definedName name="_10879">#REF!</definedName>
    <definedName name="_10885">#REF!</definedName>
    <definedName name="_10888">#REF!</definedName>
    <definedName name="_10894">#REF!</definedName>
    <definedName name="_10897">#REF!</definedName>
    <definedName name="_10903">#REF!</definedName>
    <definedName name="_10906">#REF!</definedName>
    <definedName name="_10912">#REF!</definedName>
    <definedName name="_10915">#REF!</definedName>
    <definedName name="_10921">#REF!</definedName>
    <definedName name="_10924">#REF!</definedName>
    <definedName name="_1093">#REF!</definedName>
    <definedName name="_10930">#REF!</definedName>
    <definedName name="_10933">#REF!</definedName>
    <definedName name="_10939">#REF!</definedName>
    <definedName name="_10942">#REF!</definedName>
    <definedName name="_10948">#REF!</definedName>
    <definedName name="_10951">#REF!</definedName>
    <definedName name="_10957">#REF!</definedName>
    <definedName name="_1096">#REF!</definedName>
    <definedName name="_10960">#REF!</definedName>
    <definedName name="_10966">#REF!</definedName>
    <definedName name="_10969">#REF!</definedName>
    <definedName name="_10975">#REF!</definedName>
    <definedName name="_10978">#REF!</definedName>
    <definedName name="_10984">#REF!</definedName>
    <definedName name="_10987">#REF!</definedName>
    <definedName name="_10993">#REF!</definedName>
    <definedName name="_10996">#REF!</definedName>
    <definedName name="_11002">#REF!</definedName>
    <definedName name="_11005">#REF!</definedName>
    <definedName name="_11011">#REF!</definedName>
    <definedName name="_11014">#REF!</definedName>
    <definedName name="_1102">#REF!</definedName>
    <definedName name="_11020">#REF!</definedName>
    <definedName name="_11023">#REF!</definedName>
    <definedName name="_11029">#REF!</definedName>
    <definedName name="_11032">#REF!</definedName>
    <definedName name="_11038">#REF!</definedName>
    <definedName name="_11041">#REF!</definedName>
    <definedName name="_11047">#REF!</definedName>
    <definedName name="_1105">#REF!</definedName>
    <definedName name="_11050">#REF!</definedName>
    <definedName name="_11056">#REF!</definedName>
    <definedName name="_11059">#REF!</definedName>
    <definedName name="_11065">#REF!</definedName>
    <definedName name="_11068">#REF!</definedName>
    <definedName name="_11074">#REF!</definedName>
    <definedName name="_11077">#REF!</definedName>
    <definedName name="_11083">#REF!</definedName>
    <definedName name="_11086">#REF!</definedName>
    <definedName name="_11092">#REF!</definedName>
    <definedName name="_11095">#REF!</definedName>
    <definedName name="_11101">#REF!</definedName>
    <definedName name="_11104">#REF!</definedName>
    <definedName name="_1111">#REF!</definedName>
    <definedName name="_11110">#REF!</definedName>
    <definedName name="_11113">#REF!</definedName>
    <definedName name="_11119">#REF!</definedName>
    <definedName name="_11122">#REF!</definedName>
    <definedName name="_11128">#REF!</definedName>
    <definedName name="_11131">#REF!</definedName>
    <definedName name="_11137">#REF!</definedName>
    <definedName name="_1114">#REF!</definedName>
    <definedName name="_11140">#REF!</definedName>
    <definedName name="_11146">#REF!</definedName>
    <definedName name="_11149">#REF!</definedName>
    <definedName name="_11155">#REF!</definedName>
    <definedName name="_11158">#REF!</definedName>
    <definedName name="_11164">#REF!</definedName>
    <definedName name="_11167">#REF!</definedName>
    <definedName name="_11173">#REF!</definedName>
    <definedName name="_11176">#REF!</definedName>
    <definedName name="_11182">#REF!</definedName>
    <definedName name="_11185">#REF!</definedName>
    <definedName name="_11191">#REF!</definedName>
    <definedName name="_11194">#REF!</definedName>
    <definedName name="_112">#REF!</definedName>
    <definedName name="_1120">#REF!</definedName>
    <definedName name="_11200">#REF!</definedName>
    <definedName name="_11203">#REF!</definedName>
    <definedName name="_11209">#REF!</definedName>
    <definedName name="_11212">#REF!</definedName>
    <definedName name="_11218">#REF!</definedName>
    <definedName name="_11221">#REF!</definedName>
    <definedName name="_11227">#REF!</definedName>
    <definedName name="_1123">#REF!</definedName>
    <definedName name="_11230">#REF!</definedName>
    <definedName name="_11236">#REF!</definedName>
    <definedName name="_11239">#REF!</definedName>
    <definedName name="_11245">#REF!</definedName>
    <definedName name="_11248">#REF!</definedName>
    <definedName name="_11254">#REF!</definedName>
    <definedName name="_11257">#REF!</definedName>
    <definedName name="_11263">#REF!</definedName>
    <definedName name="_11266">#REF!</definedName>
    <definedName name="_11272">#REF!</definedName>
    <definedName name="_11275">#REF!</definedName>
    <definedName name="_11281">#REF!</definedName>
    <definedName name="_11284">#REF!</definedName>
    <definedName name="_1129">#REF!</definedName>
    <definedName name="_11290">#REF!</definedName>
    <definedName name="_11293">#REF!</definedName>
    <definedName name="_11299">#REF!</definedName>
    <definedName name="_11302">#REF!</definedName>
    <definedName name="_11308">#REF!</definedName>
    <definedName name="_11311">#REF!</definedName>
    <definedName name="_11317">#REF!</definedName>
    <definedName name="_1132">#REF!</definedName>
    <definedName name="_11320">#REF!</definedName>
    <definedName name="_11326">#REF!</definedName>
    <definedName name="_11329">#REF!</definedName>
    <definedName name="_11335">#REF!</definedName>
    <definedName name="_11338">#REF!</definedName>
    <definedName name="_11344">#REF!</definedName>
    <definedName name="_11347">#REF!</definedName>
    <definedName name="_11353">#REF!</definedName>
    <definedName name="_11356">#REF!</definedName>
    <definedName name="_11362">#REF!</definedName>
    <definedName name="_11365">#REF!</definedName>
    <definedName name="_11371">#REF!</definedName>
    <definedName name="_11374">#REF!</definedName>
    <definedName name="_1138">#REF!</definedName>
    <definedName name="_11380">#REF!</definedName>
    <definedName name="_11383">#REF!</definedName>
    <definedName name="_11389">#REF!</definedName>
    <definedName name="_11392">#REF!</definedName>
    <definedName name="_11398">#REF!</definedName>
    <definedName name="_11399">#REF!</definedName>
    <definedName name="_11401">#REF!</definedName>
    <definedName name="_11407">#REF!</definedName>
    <definedName name="_1141">#REF!</definedName>
    <definedName name="_11410">#REF!</definedName>
    <definedName name="_11416">#REF!</definedName>
    <definedName name="_11419">#REF!</definedName>
    <definedName name="_11425">#REF!</definedName>
    <definedName name="_11428">#REF!</definedName>
    <definedName name="_11434">#REF!</definedName>
    <definedName name="_11437">#REF!</definedName>
    <definedName name="_11443">#REF!</definedName>
    <definedName name="_11446">#REF!</definedName>
    <definedName name="_11452">#REF!</definedName>
    <definedName name="_11455">#REF!</definedName>
    <definedName name="_11461">#REF!</definedName>
    <definedName name="_11464">#REF!</definedName>
    <definedName name="_1147">#REF!</definedName>
    <definedName name="_11470">#REF!</definedName>
    <definedName name="_11473">#REF!</definedName>
    <definedName name="_11479">#REF!</definedName>
    <definedName name="_11482">#REF!</definedName>
    <definedName name="_11488">#REF!</definedName>
    <definedName name="_11491">#REF!</definedName>
    <definedName name="_11497">#REF!</definedName>
    <definedName name="_115">#REF!</definedName>
    <definedName name="_1150">#REF!</definedName>
    <definedName name="_11500">#REF!</definedName>
    <definedName name="_11506">#REF!</definedName>
    <definedName name="_11509">#REF!</definedName>
    <definedName name="_11515">#REF!</definedName>
    <definedName name="_11518">#REF!</definedName>
    <definedName name="_11524">#REF!</definedName>
    <definedName name="_11527">#REF!</definedName>
    <definedName name="_11533">#REF!</definedName>
    <definedName name="_11536">#REF!</definedName>
    <definedName name="_11542">#REF!</definedName>
    <definedName name="_11545">#REF!</definedName>
    <definedName name="_11551">#REF!</definedName>
    <definedName name="_11554">#REF!</definedName>
    <definedName name="_1156">#REF!</definedName>
    <definedName name="_11560">#REF!</definedName>
    <definedName name="_11563">#REF!</definedName>
    <definedName name="_11569">#REF!</definedName>
    <definedName name="_11572">#REF!</definedName>
    <definedName name="_11578">#REF!</definedName>
    <definedName name="_11581">#REF!</definedName>
    <definedName name="_11587">#REF!</definedName>
    <definedName name="_1159">#REF!</definedName>
    <definedName name="_11590">#REF!</definedName>
    <definedName name="_11596">#REF!</definedName>
    <definedName name="_11599">#REF!</definedName>
    <definedName name="_11605">#REF!</definedName>
    <definedName name="_11608">#REF!</definedName>
    <definedName name="_11614">#REF!</definedName>
    <definedName name="_11617">#REF!</definedName>
    <definedName name="_11623">#REF!</definedName>
    <definedName name="_11626">#REF!</definedName>
    <definedName name="_11632">#REF!</definedName>
    <definedName name="_11635">#REF!</definedName>
    <definedName name="_11641">#REF!</definedName>
    <definedName name="_11644">#REF!</definedName>
    <definedName name="_1165">#REF!</definedName>
    <definedName name="_11650">#REF!</definedName>
    <definedName name="_11653">#REF!</definedName>
    <definedName name="_11659">#REF!</definedName>
    <definedName name="_11662">#REF!</definedName>
    <definedName name="_11668">#REF!</definedName>
    <definedName name="_11671">#REF!</definedName>
    <definedName name="_11677">#REF!</definedName>
    <definedName name="_1168">#REF!</definedName>
    <definedName name="_11680">#REF!</definedName>
    <definedName name="_11686">#REF!</definedName>
    <definedName name="_11689">#REF!</definedName>
    <definedName name="_11695">#REF!</definedName>
    <definedName name="_11698">#REF!</definedName>
    <definedName name="_11704">#REF!</definedName>
    <definedName name="_11707">#REF!</definedName>
    <definedName name="_11713">#REF!</definedName>
    <definedName name="_11716">#REF!</definedName>
    <definedName name="_11722">#REF!</definedName>
    <definedName name="_11725">#REF!</definedName>
    <definedName name="_11731">#REF!</definedName>
    <definedName name="_11734">#REF!</definedName>
    <definedName name="_1174">#REF!</definedName>
    <definedName name="_11740">#REF!</definedName>
    <definedName name="_11743">#REF!</definedName>
    <definedName name="_11749">#REF!</definedName>
    <definedName name="_11752">#REF!</definedName>
    <definedName name="_11758">#REF!</definedName>
    <definedName name="_11761">#REF!</definedName>
    <definedName name="_11767">#REF!</definedName>
    <definedName name="_1177">#REF!</definedName>
    <definedName name="_11770">#REF!</definedName>
    <definedName name="_11776">#REF!</definedName>
    <definedName name="_11779">#REF!</definedName>
    <definedName name="_11785">#REF!</definedName>
    <definedName name="_11788">#REF!</definedName>
    <definedName name="_11794">#REF!</definedName>
    <definedName name="_11797">#REF!</definedName>
    <definedName name="_11803">#REF!</definedName>
    <definedName name="_11806">#REF!</definedName>
    <definedName name="_11812">#REF!</definedName>
    <definedName name="_11815">#REF!</definedName>
    <definedName name="_11821">#REF!</definedName>
    <definedName name="_11824">#REF!</definedName>
    <definedName name="_1183">#REF!</definedName>
    <definedName name="_11830">#REF!</definedName>
    <definedName name="_11833">#REF!</definedName>
    <definedName name="_11839">#REF!</definedName>
    <definedName name="_11842">#REF!</definedName>
    <definedName name="_11848">#REF!</definedName>
    <definedName name="_11851">#REF!</definedName>
    <definedName name="_11857">#REF!</definedName>
    <definedName name="_1186">#REF!</definedName>
    <definedName name="_11860">#REF!</definedName>
    <definedName name="_11866">#REF!</definedName>
    <definedName name="_11869">#REF!</definedName>
    <definedName name="_11875">#REF!</definedName>
    <definedName name="_11878">#REF!</definedName>
    <definedName name="_11884">#REF!</definedName>
    <definedName name="_11887">#REF!</definedName>
    <definedName name="_11893">#REF!</definedName>
    <definedName name="_11896">#REF!</definedName>
    <definedName name="_11902">#REF!</definedName>
    <definedName name="_11905">#REF!</definedName>
    <definedName name="_11911">#REF!</definedName>
    <definedName name="_11914">#REF!</definedName>
    <definedName name="_1192">#REF!</definedName>
    <definedName name="_11920">#REF!</definedName>
    <definedName name="_11923">#REF!</definedName>
    <definedName name="_11929">#REF!</definedName>
    <definedName name="_11932">#REF!</definedName>
    <definedName name="_11938">#REF!</definedName>
    <definedName name="_11941">#REF!</definedName>
    <definedName name="_11947">#REF!</definedName>
    <definedName name="_1195">#REF!</definedName>
    <definedName name="_11950">#REF!</definedName>
    <definedName name="_11956">#REF!</definedName>
    <definedName name="_11959">#REF!</definedName>
    <definedName name="_11965">#REF!</definedName>
    <definedName name="_11968">#REF!</definedName>
    <definedName name="_11974">#REF!</definedName>
    <definedName name="_11977">#REF!</definedName>
    <definedName name="_11983">#REF!</definedName>
    <definedName name="_11986">#REF!</definedName>
    <definedName name="_11992">#REF!</definedName>
    <definedName name="_11995">#REF!</definedName>
    <definedName name="_12001">#REF!</definedName>
    <definedName name="_12004">#REF!</definedName>
    <definedName name="_1201">#REF!</definedName>
    <definedName name="_12010">#REF!</definedName>
    <definedName name="_12013">#REF!</definedName>
    <definedName name="_12019">#REF!</definedName>
    <definedName name="_12022">#REF!</definedName>
    <definedName name="_12028">#REF!</definedName>
    <definedName name="_12031">#REF!</definedName>
    <definedName name="_12037">#REF!</definedName>
    <definedName name="_1204">#REF!</definedName>
    <definedName name="_12040">#REF!</definedName>
    <definedName name="_12046">#REF!</definedName>
    <definedName name="_12049">#REF!</definedName>
    <definedName name="_12055">#REF!</definedName>
    <definedName name="_12058">#REF!</definedName>
    <definedName name="_12064">#REF!</definedName>
    <definedName name="_12067">#REF!</definedName>
    <definedName name="_12073">#REF!</definedName>
    <definedName name="_12076">#REF!</definedName>
    <definedName name="_12082">#REF!</definedName>
    <definedName name="_12085">#REF!</definedName>
    <definedName name="_12091">#REF!</definedName>
    <definedName name="_12094">#REF!</definedName>
    <definedName name="_121">#REF!</definedName>
    <definedName name="_1210">#REF!</definedName>
    <definedName name="_12100">#REF!</definedName>
    <definedName name="_12103">#REF!</definedName>
    <definedName name="_12109">#REF!</definedName>
    <definedName name="_12112">#REF!</definedName>
    <definedName name="_12118">#REF!</definedName>
    <definedName name="_12121">#REF!</definedName>
    <definedName name="_12127">#REF!</definedName>
    <definedName name="_1213">#REF!</definedName>
    <definedName name="_12130">#REF!</definedName>
    <definedName name="_12136">#REF!</definedName>
    <definedName name="_12139">#REF!</definedName>
    <definedName name="_12145">#REF!</definedName>
    <definedName name="_12148">#REF!</definedName>
    <definedName name="_12154">#REF!</definedName>
    <definedName name="_12157">#REF!</definedName>
    <definedName name="_12163">#REF!</definedName>
    <definedName name="_12166">#REF!</definedName>
    <definedName name="_12172">#REF!</definedName>
    <definedName name="_12175">#REF!</definedName>
    <definedName name="_12181">#REF!</definedName>
    <definedName name="_12184">#REF!</definedName>
    <definedName name="_1219">#REF!</definedName>
    <definedName name="_12190">#REF!</definedName>
    <definedName name="_12193">#REF!</definedName>
    <definedName name="_12199">#REF!</definedName>
    <definedName name="_12202">#REF!</definedName>
    <definedName name="_12208">#REF!</definedName>
    <definedName name="_12211">#REF!</definedName>
    <definedName name="_12217">#REF!</definedName>
    <definedName name="_1222">#REF!</definedName>
    <definedName name="_12220">#REF!</definedName>
    <definedName name="_12226">#REF!</definedName>
    <definedName name="_12229">#REF!</definedName>
    <definedName name="_12235">#REF!</definedName>
    <definedName name="_12238">#REF!</definedName>
    <definedName name="_12244">#REF!</definedName>
    <definedName name="_12247">#REF!</definedName>
    <definedName name="_12253">#REF!</definedName>
    <definedName name="_12256">#REF!</definedName>
    <definedName name="_12262">#REF!</definedName>
    <definedName name="_12265">#REF!</definedName>
    <definedName name="_12271">#REF!</definedName>
    <definedName name="_12274">#REF!</definedName>
    <definedName name="_1228">#REF!</definedName>
    <definedName name="_12280">#REF!</definedName>
    <definedName name="_12283">#REF!</definedName>
    <definedName name="_12289">#REF!</definedName>
    <definedName name="_12292">#REF!</definedName>
    <definedName name="_12298">#REF!</definedName>
    <definedName name="_12301">#REF!</definedName>
    <definedName name="_12307">#REF!</definedName>
    <definedName name="_1231">#REF!</definedName>
    <definedName name="_12310">#REF!</definedName>
    <definedName name="_12316">#REF!</definedName>
    <definedName name="_12319">#REF!</definedName>
    <definedName name="_12325">#REF!</definedName>
    <definedName name="_12328">#REF!</definedName>
    <definedName name="_12334">#REF!</definedName>
    <definedName name="_12337">#REF!</definedName>
    <definedName name="_12343">#REF!</definedName>
    <definedName name="_12346">#REF!</definedName>
    <definedName name="_12352">#REF!</definedName>
    <definedName name="_12355">#REF!</definedName>
    <definedName name="_12361">#REF!</definedName>
    <definedName name="_12364">#REF!</definedName>
    <definedName name="_1237">#REF!</definedName>
    <definedName name="_12370">#REF!</definedName>
    <definedName name="_12373">#REF!</definedName>
    <definedName name="_12379">#REF!</definedName>
    <definedName name="_12382">#REF!</definedName>
    <definedName name="_12388">#REF!</definedName>
    <definedName name="_12391">#REF!</definedName>
    <definedName name="_12397">#REF!</definedName>
    <definedName name="_124">#REF!</definedName>
    <definedName name="_1240">#REF!</definedName>
    <definedName name="_12400">#REF!</definedName>
    <definedName name="_12406">#REF!</definedName>
    <definedName name="_12409">#REF!</definedName>
    <definedName name="_12415">#REF!</definedName>
    <definedName name="_12418">#REF!</definedName>
    <definedName name="_12424">#REF!</definedName>
    <definedName name="_12427">#REF!</definedName>
    <definedName name="_12433">#REF!</definedName>
    <definedName name="_12436">#REF!</definedName>
    <definedName name="_12442">#REF!</definedName>
    <definedName name="_12445">#REF!</definedName>
    <definedName name="_12451">#REF!</definedName>
    <definedName name="_12454">#REF!</definedName>
    <definedName name="_1246">#REF!</definedName>
    <definedName name="_12460">#REF!</definedName>
    <definedName name="_12463">#REF!</definedName>
    <definedName name="_12469">#REF!</definedName>
    <definedName name="_12472">#REF!</definedName>
    <definedName name="_12478">#REF!</definedName>
    <definedName name="_12481">#REF!</definedName>
    <definedName name="_12487">#REF!</definedName>
    <definedName name="_1249">#REF!</definedName>
    <definedName name="_12490">#REF!</definedName>
    <definedName name="_12496">#REF!</definedName>
    <definedName name="_12499">#REF!</definedName>
    <definedName name="_12505">#REF!</definedName>
    <definedName name="_12508">#REF!</definedName>
    <definedName name="_12514">#REF!</definedName>
    <definedName name="_12517">#REF!</definedName>
    <definedName name="_12523">#REF!</definedName>
    <definedName name="_12526">#REF!</definedName>
    <definedName name="_12532">#REF!</definedName>
    <definedName name="_12535">#REF!</definedName>
    <definedName name="_12541">#REF!</definedName>
    <definedName name="_12544">#REF!</definedName>
    <definedName name="_1255">#REF!</definedName>
    <definedName name="_12550">#REF!</definedName>
    <definedName name="_12553">#REF!</definedName>
    <definedName name="_12559">#REF!</definedName>
    <definedName name="_12562">#REF!</definedName>
    <definedName name="_12568">#REF!</definedName>
    <definedName name="_12571">#REF!</definedName>
    <definedName name="_12577">#REF!</definedName>
    <definedName name="_1258">#REF!</definedName>
    <definedName name="_12580">#REF!</definedName>
    <definedName name="_12586">#REF!</definedName>
    <definedName name="_12589">#REF!</definedName>
    <definedName name="_12595">#REF!</definedName>
    <definedName name="_12598">#REF!</definedName>
    <definedName name="_12604">#REF!</definedName>
    <definedName name="_12607">#REF!</definedName>
    <definedName name="_12613">#REF!</definedName>
    <definedName name="_12616">#REF!</definedName>
    <definedName name="_12622">#REF!</definedName>
    <definedName name="_12625">#REF!</definedName>
    <definedName name="_12631">#REF!</definedName>
    <definedName name="_12634">#REF!</definedName>
    <definedName name="_1264">#REF!</definedName>
    <definedName name="_12640">#REF!</definedName>
    <definedName name="_12643">#REF!</definedName>
    <definedName name="_12649">#REF!</definedName>
    <definedName name="_12652">#REF!</definedName>
    <definedName name="_12658">#REF!</definedName>
    <definedName name="_12661">#REF!</definedName>
    <definedName name="_12667">#REF!</definedName>
    <definedName name="_1267">#REF!</definedName>
    <definedName name="_12670">#REF!</definedName>
    <definedName name="_12676">#REF!</definedName>
    <definedName name="_12679">#REF!</definedName>
    <definedName name="_12685">#REF!</definedName>
    <definedName name="_12688">#REF!</definedName>
    <definedName name="_12694">#REF!</definedName>
    <definedName name="_12697">#REF!</definedName>
    <definedName name="_12703">#REF!</definedName>
    <definedName name="_12706">#REF!</definedName>
    <definedName name="_12712">#REF!</definedName>
    <definedName name="_12715">#REF!</definedName>
    <definedName name="_12721">#REF!</definedName>
    <definedName name="_12724">#REF!</definedName>
    <definedName name="_1273">#REF!</definedName>
    <definedName name="_12730">#REF!</definedName>
    <definedName name="_12733">#REF!</definedName>
    <definedName name="_12739">#REF!</definedName>
    <definedName name="_12742">#REF!</definedName>
    <definedName name="_12748">#REF!</definedName>
    <definedName name="_12751">#REF!</definedName>
    <definedName name="_12757">#REF!</definedName>
    <definedName name="_1276">#REF!</definedName>
    <definedName name="_12760">#REF!</definedName>
    <definedName name="_12766">#REF!</definedName>
    <definedName name="_12769">#REF!</definedName>
    <definedName name="_12775">#REF!</definedName>
    <definedName name="_12778">#REF!</definedName>
    <definedName name="_12784">#REF!</definedName>
    <definedName name="_12787">#REF!</definedName>
    <definedName name="_12793">#REF!</definedName>
    <definedName name="_12796">#REF!</definedName>
    <definedName name="_12802">#REF!</definedName>
    <definedName name="_12805">#REF!</definedName>
    <definedName name="_12811">#REF!</definedName>
    <definedName name="_12814">#REF!</definedName>
    <definedName name="_1282">#REF!</definedName>
    <definedName name="_12820">#REF!</definedName>
    <definedName name="_12823">#REF!</definedName>
    <definedName name="_12829">#REF!</definedName>
    <definedName name="_12832">#REF!</definedName>
    <definedName name="_12838">#REF!</definedName>
    <definedName name="_12841">#REF!</definedName>
    <definedName name="_12847">#REF!</definedName>
    <definedName name="_1285">#REF!</definedName>
    <definedName name="_12850">#REF!</definedName>
    <definedName name="_12856">#REF!</definedName>
    <definedName name="_12859">#REF!</definedName>
    <definedName name="_12865">#REF!</definedName>
    <definedName name="_12868">#REF!</definedName>
    <definedName name="_12874">#REF!</definedName>
    <definedName name="_12877">#REF!</definedName>
    <definedName name="_12883">#REF!</definedName>
    <definedName name="_12886">#REF!</definedName>
    <definedName name="_12892">#REF!</definedName>
    <definedName name="_12895">#REF!</definedName>
    <definedName name="_12901">#REF!</definedName>
    <definedName name="_12904">#REF!</definedName>
    <definedName name="_1291">#REF!</definedName>
    <definedName name="_12910">#REF!</definedName>
    <definedName name="_12913">#REF!</definedName>
    <definedName name="_12919">#REF!</definedName>
    <definedName name="_12922">#REF!</definedName>
    <definedName name="_12928">#REF!</definedName>
    <definedName name="_12931">#REF!</definedName>
    <definedName name="_12937">#REF!</definedName>
    <definedName name="_1294">#REF!</definedName>
    <definedName name="_12940">#REF!</definedName>
    <definedName name="_12946">#REF!</definedName>
    <definedName name="_12949">#REF!</definedName>
    <definedName name="_12955">#REF!</definedName>
    <definedName name="_12958">#REF!</definedName>
    <definedName name="_12964">#REF!</definedName>
    <definedName name="_12967">#REF!</definedName>
    <definedName name="_12973">#REF!</definedName>
    <definedName name="_12976">#REF!</definedName>
    <definedName name="_12982">#REF!</definedName>
    <definedName name="_12985">#REF!</definedName>
    <definedName name="_12991">#REF!</definedName>
    <definedName name="_12994">#REF!</definedName>
    <definedName name="_130">#REF!</definedName>
    <definedName name="_1300">#REF!</definedName>
    <definedName name="_13000">#REF!</definedName>
    <definedName name="_13003">#REF!</definedName>
    <definedName name="_13009">#REF!</definedName>
    <definedName name="_13012">#REF!</definedName>
    <definedName name="_13018">#REF!</definedName>
    <definedName name="_13021">#REF!</definedName>
    <definedName name="_13027">#REF!</definedName>
    <definedName name="_1303">#REF!</definedName>
    <definedName name="_13030">#REF!</definedName>
    <definedName name="_13036">#REF!</definedName>
    <definedName name="_13039">#REF!</definedName>
    <definedName name="_13045">#REF!</definedName>
    <definedName name="_13048">#REF!</definedName>
    <definedName name="_13054">#REF!</definedName>
    <definedName name="_13057">#REF!</definedName>
    <definedName name="_13063">#REF!</definedName>
    <definedName name="_13066">#REF!</definedName>
    <definedName name="_13072">#REF!</definedName>
    <definedName name="_13075">#REF!</definedName>
    <definedName name="_13081">#REF!</definedName>
    <definedName name="_13084">#REF!</definedName>
    <definedName name="_1309">#REF!</definedName>
    <definedName name="_13090">#REF!</definedName>
    <definedName name="_13093">#REF!</definedName>
    <definedName name="_13099">#REF!</definedName>
    <definedName name="_13102">#REF!</definedName>
    <definedName name="_13108">#REF!</definedName>
    <definedName name="_13111">#REF!</definedName>
    <definedName name="_13117">#REF!</definedName>
    <definedName name="_1312">#REF!</definedName>
    <definedName name="_13120">#REF!</definedName>
    <definedName name="_13126">#REF!</definedName>
    <definedName name="_13129">#REF!</definedName>
    <definedName name="_13135">#REF!</definedName>
    <definedName name="_13138">#REF!</definedName>
    <definedName name="_13144">#REF!</definedName>
    <definedName name="_13147">#REF!</definedName>
    <definedName name="_13153">#REF!</definedName>
    <definedName name="_13156">#REF!</definedName>
    <definedName name="_13162">#REF!</definedName>
    <definedName name="_13165">#REF!</definedName>
    <definedName name="_13171">#REF!</definedName>
    <definedName name="_13174">#REF!</definedName>
    <definedName name="_1318">#REF!</definedName>
    <definedName name="_13180">#REF!</definedName>
    <definedName name="_13183">#REF!</definedName>
    <definedName name="_13189">#REF!</definedName>
    <definedName name="_13192">#REF!</definedName>
    <definedName name="_13198">#REF!</definedName>
    <definedName name="_13201">#REF!</definedName>
    <definedName name="_13207">#REF!</definedName>
    <definedName name="_1321">#REF!</definedName>
    <definedName name="_13210">#REF!</definedName>
    <definedName name="_13216">#REF!</definedName>
    <definedName name="_13219">#REF!</definedName>
    <definedName name="_13225">#REF!</definedName>
    <definedName name="_13228">#REF!</definedName>
    <definedName name="_13234">#REF!</definedName>
    <definedName name="_13237">#REF!</definedName>
    <definedName name="_13243">#REF!</definedName>
    <definedName name="_13246">#REF!</definedName>
    <definedName name="_13252">#REF!</definedName>
    <definedName name="_13255">#REF!</definedName>
    <definedName name="_13261">#REF!</definedName>
    <definedName name="_13264">#REF!</definedName>
    <definedName name="_1327">#REF!</definedName>
    <definedName name="_13270">#REF!</definedName>
    <definedName name="_13273">#REF!</definedName>
    <definedName name="_13279">#REF!</definedName>
    <definedName name="_13282">#REF!</definedName>
    <definedName name="_13288">#REF!</definedName>
    <definedName name="_13291">#REF!</definedName>
    <definedName name="_13297">#REF!</definedName>
    <definedName name="_133">#REF!</definedName>
    <definedName name="_1330">#REF!</definedName>
    <definedName name="_13300">#REF!</definedName>
    <definedName name="_13306">#REF!</definedName>
    <definedName name="_13309">#REF!</definedName>
    <definedName name="_13315">#REF!</definedName>
    <definedName name="_13318">#REF!</definedName>
    <definedName name="_13324">#REF!</definedName>
    <definedName name="_13327">#REF!</definedName>
    <definedName name="_13333">#REF!</definedName>
    <definedName name="_13336">#REF!</definedName>
    <definedName name="_13342">#REF!</definedName>
    <definedName name="_13345">#REF!</definedName>
    <definedName name="_13351">#REF!</definedName>
    <definedName name="_13354">#REF!</definedName>
    <definedName name="_1336">#REF!</definedName>
    <definedName name="_13360">#REF!</definedName>
    <definedName name="_13363">#REF!</definedName>
    <definedName name="_13369">#REF!</definedName>
    <definedName name="_13372">#REF!</definedName>
    <definedName name="_13378">#REF!</definedName>
    <definedName name="_13381">#REF!</definedName>
    <definedName name="_13387">#REF!</definedName>
    <definedName name="_1339">#REF!</definedName>
    <definedName name="_13390">#REF!</definedName>
    <definedName name="_13396">#REF!</definedName>
    <definedName name="_13399">#REF!</definedName>
    <definedName name="_13405">#REF!</definedName>
    <definedName name="_13408">#REF!</definedName>
    <definedName name="_13414">#REF!</definedName>
    <definedName name="_13417">#REF!</definedName>
    <definedName name="_13423">#REF!</definedName>
    <definedName name="_13426">#REF!</definedName>
    <definedName name="_13432">#REF!</definedName>
    <definedName name="_13435">#REF!</definedName>
    <definedName name="_13441">#REF!</definedName>
    <definedName name="_13444">#REF!</definedName>
    <definedName name="_1345">#REF!</definedName>
    <definedName name="_13450">#REF!</definedName>
    <definedName name="_13453">#REF!</definedName>
    <definedName name="_13459">#REF!</definedName>
    <definedName name="_13462">#REF!</definedName>
    <definedName name="_13468">#REF!</definedName>
    <definedName name="_13471">#REF!</definedName>
    <definedName name="_13477">#REF!</definedName>
    <definedName name="_1348">#REF!</definedName>
    <definedName name="_13480">#REF!</definedName>
    <definedName name="_13486">#REF!</definedName>
    <definedName name="_13489">#REF!</definedName>
    <definedName name="_13495">#REF!</definedName>
    <definedName name="_13498">#REF!</definedName>
    <definedName name="_13504">#REF!</definedName>
    <definedName name="_13507">#REF!</definedName>
    <definedName name="_13513">#REF!</definedName>
    <definedName name="_13516">#REF!</definedName>
    <definedName name="_13522">#REF!</definedName>
    <definedName name="_13525">#REF!</definedName>
    <definedName name="_13531">#REF!</definedName>
    <definedName name="_13534">#REF!</definedName>
    <definedName name="_1354">#REF!</definedName>
    <definedName name="_13540">#REF!</definedName>
    <definedName name="_13543">#REF!</definedName>
    <definedName name="_13549">#REF!</definedName>
    <definedName name="_13552">#REF!</definedName>
    <definedName name="_13558">#REF!</definedName>
    <definedName name="_13561">#REF!</definedName>
    <definedName name="_13567">#REF!</definedName>
    <definedName name="_1357">#REF!</definedName>
    <definedName name="_13570">#REF!</definedName>
    <definedName name="_13576">#REF!</definedName>
    <definedName name="_13579">#REF!</definedName>
    <definedName name="_13585">#REF!</definedName>
    <definedName name="_13588">#REF!</definedName>
    <definedName name="_13594">#REF!</definedName>
    <definedName name="_13597">#REF!</definedName>
    <definedName name="_13603">#REF!</definedName>
    <definedName name="_13606">#REF!</definedName>
    <definedName name="_13612">#REF!</definedName>
    <definedName name="_13615">#REF!</definedName>
    <definedName name="_13621">#REF!</definedName>
    <definedName name="_13624">#REF!</definedName>
    <definedName name="_1363">#REF!</definedName>
    <definedName name="_13630">#REF!</definedName>
    <definedName name="_13633">#REF!</definedName>
    <definedName name="_13639">#REF!</definedName>
    <definedName name="_13642">#REF!</definedName>
    <definedName name="_13648">#REF!</definedName>
    <definedName name="_13651">#REF!</definedName>
    <definedName name="_13657">#REF!</definedName>
    <definedName name="_1366">#REF!</definedName>
    <definedName name="_13660">#REF!</definedName>
    <definedName name="_13666">#REF!</definedName>
    <definedName name="_13669">#REF!</definedName>
    <definedName name="_13675">#REF!</definedName>
    <definedName name="_13678">#REF!</definedName>
    <definedName name="_13684">#REF!</definedName>
    <definedName name="_13687">#REF!</definedName>
    <definedName name="_13693">#REF!</definedName>
    <definedName name="_13696">#REF!</definedName>
    <definedName name="_13702">#REF!</definedName>
    <definedName name="_13705">#REF!</definedName>
    <definedName name="_13711">#REF!</definedName>
    <definedName name="_13714">#REF!</definedName>
    <definedName name="_1372">#REF!</definedName>
    <definedName name="_13720">#REF!</definedName>
    <definedName name="_13723">#REF!</definedName>
    <definedName name="_13729">#REF!</definedName>
    <definedName name="_13732">#REF!</definedName>
    <definedName name="_13738">#REF!</definedName>
    <definedName name="_13741">#REF!</definedName>
    <definedName name="_13747">#REF!</definedName>
    <definedName name="_1375">#REF!</definedName>
    <definedName name="_13750">#REF!</definedName>
    <definedName name="_13756">#REF!</definedName>
    <definedName name="_13759">#REF!</definedName>
    <definedName name="_13765">#REF!</definedName>
    <definedName name="_13768">#REF!</definedName>
    <definedName name="_13774">#REF!</definedName>
    <definedName name="_13777">#REF!</definedName>
    <definedName name="_13783">#REF!</definedName>
    <definedName name="_13786">#REF!</definedName>
    <definedName name="_13792">#REF!</definedName>
    <definedName name="_13795">#REF!</definedName>
    <definedName name="_13801">#REF!</definedName>
    <definedName name="_13804">#REF!</definedName>
    <definedName name="_1381">#REF!</definedName>
    <definedName name="_13810">#REF!</definedName>
    <definedName name="_13813">#REF!</definedName>
    <definedName name="_13819">#REF!</definedName>
    <definedName name="_13822">#REF!</definedName>
    <definedName name="_13828">#REF!</definedName>
    <definedName name="_13831">#REF!</definedName>
    <definedName name="_13837">#REF!</definedName>
    <definedName name="_1384">#REF!</definedName>
    <definedName name="_13840">#REF!</definedName>
    <definedName name="_13846">#REF!</definedName>
    <definedName name="_13849">#REF!</definedName>
    <definedName name="_13855">#REF!</definedName>
    <definedName name="_13858">#REF!</definedName>
    <definedName name="_13864">#REF!</definedName>
    <definedName name="_13867">#REF!</definedName>
    <definedName name="_13873">#REF!</definedName>
    <definedName name="_13876">#REF!</definedName>
    <definedName name="_13882">#REF!</definedName>
    <definedName name="_13885">#REF!</definedName>
    <definedName name="_13891">#REF!</definedName>
    <definedName name="_13894">#REF!</definedName>
    <definedName name="_139">#REF!</definedName>
    <definedName name="_1390">#REF!</definedName>
    <definedName name="_13900">#REF!</definedName>
    <definedName name="_13903">#REF!</definedName>
    <definedName name="_13909">#REF!</definedName>
    <definedName name="_13912">#REF!</definedName>
    <definedName name="_13918">#REF!</definedName>
    <definedName name="_13921">#REF!</definedName>
    <definedName name="_13927">#REF!</definedName>
    <definedName name="_1393">#REF!</definedName>
    <definedName name="_13930">#REF!</definedName>
    <definedName name="_13936">#REF!</definedName>
    <definedName name="_13939">#REF!</definedName>
    <definedName name="_13945">#REF!</definedName>
    <definedName name="_13948">#REF!</definedName>
    <definedName name="_13954">#REF!</definedName>
    <definedName name="_13957">#REF!</definedName>
    <definedName name="_13963">#REF!</definedName>
    <definedName name="_13966">#REF!</definedName>
    <definedName name="_13972">#REF!</definedName>
    <definedName name="_13975">#REF!</definedName>
    <definedName name="_13981">#REF!</definedName>
    <definedName name="_13984">#REF!</definedName>
    <definedName name="_1399">#REF!</definedName>
    <definedName name="_13990">#REF!</definedName>
    <definedName name="_13993">#REF!</definedName>
    <definedName name="_13999">#REF!</definedName>
    <definedName name="_14002">#REF!</definedName>
    <definedName name="_14008">#REF!</definedName>
    <definedName name="_14011">#REF!</definedName>
    <definedName name="_14017">#REF!</definedName>
    <definedName name="_1402">#REF!</definedName>
    <definedName name="_14020">#REF!</definedName>
    <definedName name="_14026">#REF!</definedName>
    <definedName name="_14029">#REF!</definedName>
    <definedName name="_14035">#REF!</definedName>
    <definedName name="_14038">#REF!</definedName>
    <definedName name="_14044">#REF!</definedName>
    <definedName name="_14047">#REF!</definedName>
    <definedName name="_14053">#REF!</definedName>
    <definedName name="_14056">#REF!</definedName>
    <definedName name="_14062">#REF!</definedName>
    <definedName name="_14065">#REF!</definedName>
    <definedName name="_14071">#REF!</definedName>
    <definedName name="_14074">#REF!</definedName>
    <definedName name="_1408">#REF!</definedName>
    <definedName name="_14080">#REF!</definedName>
    <definedName name="_14083">#REF!</definedName>
    <definedName name="_14089">#REF!</definedName>
    <definedName name="_14092">#REF!</definedName>
    <definedName name="_14098">#REF!</definedName>
    <definedName name="_14101">#REF!</definedName>
    <definedName name="_14107">#REF!</definedName>
    <definedName name="_1411">#REF!</definedName>
    <definedName name="_14110">#REF!</definedName>
    <definedName name="_14116">#REF!</definedName>
    <definedName name="_14119">#REF!</definedName>
    <definedName name="_14125">#REF!</definedName>
    <definedName name="_14128">#REF!</definedName>
    <definedName name="_14134">#REF!</definedName>
    <definedName name="_14137">#REF!</definedName>
    <definedName name="_14143">#REF!</definedName>
    <definedName name="_14146">#REF!</definedName>
    <definedName name="_14152">#REF!</definedName>
    <definedName name="_14155">#REF!</definedName>
    <definedName name="_14161">#REF!</definedName>
    <definedName name="_14164">#REF!</definedName>
    <definedName name="_1417">#REF!</definedName>
    <definedName name="_14170">#REF!</definedName>
    <definedName name="_14173">#REF!</definedName>
    <definedName name="_14179">#REF!</definedName>
    <definedName name="_14182">#REF!</definedName>
    <definedName name="_14188">#REF!</definedName>
    <definedName name="_14191">#REF!</definedName>
    <definedName name="_14197">#REF!</definedName>
    <definedName name="_142">#REF!</definedName>
    <definedName name="_1420">#REF!</definedName>
    <definedName name="_14200">#REF!</definedName>
    <definedName name="_14206">#REF!</definedName>
    <definedName name="_14209">#REF!</definedName>
    <definedName name="_14215">#REF!</definedName>
    <definedName name="_14218">#REF!</definedName>
    <definedName name="_14224">#REF!</definedName>
    <definedName name="_14227">#REF!</definedName>
    <definedName name="_14233">#REF!</definedName>
    <definedName name="_14236">#REF!</definedName>
    <definedName name="_14242">#REF!</definedName>
    <definedName name="_14245">#REF!</definedName>
    <definedName name="_14251">#REF!</definedName>
    <definedName name="_14254">#REF!</definedName>
    <definedName name="_1426">#REF!</definedName>
    <definedName name="_14260">#REF!</definedName>
    <definedName name="_14263">#REF!</definedName>
    <definedName name="_14269">#REF!</definedName>
    <definedName name="_14272">#REF!</definedName>
    <definedName name="_14278">#REF!</definedName>
    <definedName name="_14281">#REF!</definedName>
    <definedName name="_14287">#REF!</definedName>
    <definedName name="_1429">#REF!</definedName>
    <definedName name="_14290">#REF!</definedName>
    <definedName name="_14296">#REF!</definedName>
    <definedName name="_14299">#REF!</definedName>
    <definedName name="_14305">#REF!</definedName>
    <definedName name="_14308">#REF!</definedName>
    <definedName name="_14314">#REF!</definedName>
    <definedName name="_14317">#REF!</definedName>
    <definedName name="_14323">#REF!</definedName>
    <definedName name="_14326">#REF!</definedName>
    <definedName name="_14332">#REF!</definedName>
    <definedName name="_14335">#REF!</definedName>
    <definedName name="_14341">#REF!</definedName>
    <definedName name="_14344">#REF!</definedName>
    <definedName name="_1435">#REF!</definedName>
    <definedName name="_14350">#REF!</definedName>
    <definedName name="_14353">#REF!</definedName>
    <definedName name="_14359">#REF!</definedName>
    <definedName name="_14362">#REF!</definedName>
    <definedName name="_14368">#REF!</definedName>
    <definedName name="_14371">#REF!</definedName>
    <definedName name="_14377">#REF!</definedName>
    <definedName name="_1438">#REF!</definedName>
    <definedName name="_14380">#REF!</definedName>
    <definedName name="_14386">#REF!</definedName>
    <definedName name="_14389">#REF!</definedName>
    <definedName name="_14395">#REF!</definedName>
    <definedName name="_14398">#REF!</definedName>
    <definedName name="_14404">#REF!</definedName>
    <definedName name="_14407">#REF!</definedName>
    <definedName name="_14413">#REF!</definedName>
    <definedName name="_14416">#REF!</definedName>
    <definedName name="_14422">#REF!</definedName>
    <definedName name="_14425">#REF!</definedName>
    <definedName name="_14431">#REF!</definedName>
    <definedName name="_14434">#REF!</definedName>
    <definedName name="_1444">#REF!</definedName>
    <definedName name="_14440">#REF!</definedName>
    <definedName name="_14443">#REF!</definedName>
    <definedName name="_14449">#REF!</definedName>
    <definedName name="_14452">#REF!</definedName>
    <definedName name="_14458">#REF!</definedName>
    <definedName name="_14461">#REF!</definedName>
    <definedName name="_14467">#REF!</definedName>
    <definedName name="_1447">#REF!</definedName>
    <definedName name="_14470">#REF!</definedName>
    <definedName name="_14476">#REF!</definedName>
    <definedName name="_14479">#REF!</definedName>
    <definedName name="_14485">#REF!</definedName>
    <definedName name="_14488">#REF!</definedName>
    <definedName name="_14494">#REF!</definedName>
    <definedName name="_14497">#REF!</definedName>
    <definedName name="_14503">#REF!</definedName>
    <definedName name="_14506">#REF!</definedName>
    <definedName name="_14512">#REF!</definedName>
    <definedName name="_14515">#REF!</definedName>
    <definedName name="_14521">#REF!</definedName>
    <definedName name="_14524">#REF!</definedName>
    <definedName name="_1453">#REF!</definedName>
    <definedName name="_14530">#REF!</definedName>
    <definedName name="_14533">#REF!</definedName>
    <definedName name="_14539">#REF!</definedName>
    <definedName name="_14542">#REF!</definedName>
    <definedName name="_14548">#REF!</definedName>
    <definedName name="_14551">#REF!</definedName>
    <definedName name="_14557">#REF!</definedName>
    <definedName name="_1456">#REF!</definedName>
    <definedName name="_14560">#REF!</definedName>
    <definedName name="_14566">#REF!</definedName>
    <definedName name="_14569">#REF!</definedName>
    <definedName name="_14575">#REF!</definedName>
    <definedName name="_14578">#REF!</definedName>
    <definedName name="_14584">#REF!</definedName>
    <definedName name="_14587">#REF!</definedName>
    <definedName name="_14593">#REF!</definedName>
    <definedName name="_14596">#REF!</definedName>
    <definedName name="_14602">#REF!</definedName>
    <definedName name="_14605">#REF!</definedName>
    <definedName name="_14611">#REF!</definedName>
    <definedName name="_14614">#REF!</definedName>
    <definedName name="_1462">#REF!</definedName>
    <definedName name="_14620">#REF!</definedName>
    <definedName name="_14623">#REF!</definedName>
    <definedName name="_14629">#REF!</definedName>
    <definedName name="_14632">#REF!</definedName>
    <definedName name="_14638">#REF!</definedName>
    <definedName name="_14641">#REF!</definedName>
    <definedName name="_14647">#REF!</definedName>
    <definedName name="_1465">#REF!</definedName>
    <definedName name="_14650">#REF!</definedName>
    <definedName name="_14656">#REF!</definedName>
    <definedName name="_14659">#REF!</definedName>
    <definedName name="_14665">#REF!</definedName>
    <definedName name="_14668">#REF!</definedName>
    <definedName name="_14674">#REF!</definedName>
    <definedName name="_14677">#REF!</definedName>
    <definedName name="_14683">#REF!</definedName>
    <definedName name="_14686">#REF!</definedName>
    <definedName name="_14692">#REF!</definedName>
    <definedName name="_14695">#REF!</definedName>
    <definedName name="_14701">#REF!</definedName>
    <definedName name="_14704">#REF!</definedName>
    <definedName name="_1471">#REF!</definedName>
    <definedName name="_14710">#REF!</definedName>
    <definedName name="_14713">#REF!</definedName>
    <definedName name="_14719">#REF!</definedName>
    <definedName name="_14722">#REF!</definedName>
    <definedName name="_14728">#REF!</definedName>
    <definedName name="_14731">#REF!</definedName>
    <definedName name="_14737">#REF!</definedName>
    <definedName name="_1474">#REF!</definedName>
    <definedName name="_14740">#REF!</definedName>
    <definedName name="_14746">#REF!</definedName>
    <definedName name="_14749">#REF!</definedName>
    <definedName name="_14755">#REF!</definedName>
    <definedName name="_14758">#REF!</definedName>
    <definedName name="_14764">#REF!</definedName>
    <definedName name="_14767">#REF!</definedName>
    <definedName name="_14773">#REF!</definedName>
    <definedName name="_14776">#REF!</definedName>
    <definedName name="_14782">#REF!</definedName>
    <definedName name="_14785">#REF!</definedName>
    <definedName name="_14791">#REF!</definedName>
    <definedName name="_14794">#REF!</definedName>
    <definedName name="_148">#REF!</definedName>
    <definedName name="_1480">#REF!</definedName>
    <definedName name="_14800">#REF!</definedName>
    <definedName name="_14803">#REF!</definedName>
    <definedName name="_14809">#REF!</definedName>
    <definedName name="_14812">#REF!</definedName>
    <definedName name="_14818">#REF!</definedName>
    <definedName name="_14821">#REF!</definedName>
    <definedName name="_14827">#REF!</definedName>
    <definedName name="_1483">#REF!</definedName>
    <definedName name="_14830">#REF!</definedName>
    <definedName name="_14836">#REF!</definedName>
    <definedName name="_14839">#REF!</definedName>
    <definedName name="_14845">#REF!</definedName>
    <definedName name="_14848">#REF!</definedName>
    <definedName name="_14854">#REF!</definedName>
    <definedName name="_14857">#REF!</definedName>
    <definedName name="_14863">#REF!</definedName>
    <definedName name="_14866">#REF!</definedName>
    <definedName name="_14872">#REF!</definedName>
    <definedName name="_14875">#REF!</definedName>
    <definedName name="_14881">#REF!</definedName>
    <definedName name="_14884">#REF!</definedName>
    <definedName name="_1489">#REF!</definedName>
    <definedName name="_14890">#REF!</definedName>
    <definedName name="_14893">#REF!</definedName>
    <definedName name="_14899">#REF!</definedName>
    <definedName name="_14902">#REF!</definedName>
    <definedName name="_14908">#REF!</definedName>
    <definedName name="_14911">#REF!</definedName>
    <definedName name="_14917">#REF!</definedName>
    <definedName name="_1492">#REF!</definedName>
    <definedName name="_14920">#REF!</definedName>
    <definedName name="_14926">#REF!</definedName>
    <definedName name="_14929">#REF!</definedName>
    <definedName name="_14935">#REF!</definedName>
    <definedName name="_14938">#REF!</definedName>
    <definedName name="_14944">#REF!</definedName>
    <definedName name="_14947">#REF!</definedName>
    <definedName name="_14953">#REF!</definedName>
    <definedName name="_14956">#REF!</definedName>
    <definedName name="_14962">#REF!</definedName>
    <definedName name="_14965">#REF!</definedName>
    <definedName name="_14971">#REF!</definedName>
    <definedName name="_14974">#REF!</definedName>
    <definedName name="_1498">#REF!</definedName>
    <definedName name="_14980">#REF!</definedName>
    <definedName name="_14983">#REF!</definedName>
    <definedName name="_14989">#REF!</definedName>
    <definedName name="_14992">#REF!</definedName>
    <definedName name="_14998">#REF!</definedName>
    <definedName name="_15001">#REF!</definedName>
    <definedName name="_15007">#REF!</definedName>
    <definedName name="_1501">#REF!</definedName>
    <definedName name="_15010">#REF!</definedName>
    <definedName name="_15016">#REF!</definedName>
    <definedName name="_15019">#REF!</definedName>
    <definedName name="_15025">#REF!</definedName>
    <definedName name="_15028">#REF!</definedName>
    <definedName name="_15034">#REF!</definedName>
    <definedName name="_15037">#REF!</definedName>
    <definedName name="_15043">#REF!</definedName>
    <definedName name="_15046">#REF!</definedName>
    <definedName name="_15052">#REF!</definedName>
    <definedName name="_15055">#REF!</definedName>
    <definedName name="_15061">#REF!</definedName>
    <definedName name="_15064">#REF!</definedName>
    <definedName name="_1507">#REF!</definedName>
    <definedName name="_15070">#REF!</definedName>
    <definedName name="_15073">#REF!</definedName>
    <definedName name="_15079">#REF!</definedName>
    <definedName name="_15082">#REF!</definedName>
    <definedName name="_15088">#REF!</definedName>
    <definedName name="_15091">#REF!</definedName>
    <definedName name="_15097">#REF!</definedName>
    <definedName name="_151">#REF!</definedName>
    <definedName name="_1510">#REF!</definedName>
    <definedName name="_15100">#REF!</definedName>
    <definedName name="_15106">#REF!</definedName>
    <definedName name="_15109">#REF!</definedName>
    <definedName name="_15115">#REF!</definedName>
    <definedName name="_15118">#REF!</definedName>
    <definedName name="_15124">#REF!</definedName>
    <definedName name="_15127">#REF!</definedName>
    <definedName name="_15133">#REF!</definedName>
    <definedName name="_15136">#REF!</definedName>
    <definedName name="_15142">#REF!</definedName>
    <definedName name="_15145">#REF!</definedName>
    <definedName name="_15151">#REF!</definedName>
    <definedName name="_15154">#REF!</definedName>
    <definedName name="_1516">#REF!</definedName>
    <definedName name="_15160">#REF!</definedName>
    <definedName name="_15163">#REF!</definedName>
    <definedName name="_15169">#REF!</definedName>
    <definedName name="_15172">#REF!</definedName>
    <definedName name="_15178">#REF!</definedName>
    <definedName name="_15181">#REF!</definedName>
    <definedName name="_15187">#REF!</definedName>
    <definedName name="_1519">#REF!</definedName>
    <definedName name="_15190">#REF!</definedName>
    <definedName name="_15196">#REF!</definedName>
    <definedName name="_15199">#REF!</definedName>
    <definedName name="_15205">#REF!</definedName>
    <definedName name="_15208">#REF!</definedName>
    <definedName name="_15214">#REF!</definedName>
    <definedName name="_15217">#REF!</definedName>
    <definedName name="_15223">#REF!</definedName>
    <definedName name="_15226">#REF!</definedName>
    <definedName name="_15232">#REF!</definedName>
    <definedName name="_15235">#REF!</definedName>
    <definedName name="_15241">#REF!</definedName>
    <definedName name="_152415">#REF!</definedName>
    <definedName name="_15244">#REF!</definedName>
    <definedName name="_1525">#REF!</definedName>
    <definedName name="_15250">#REF!</definedName>
    <definedName name="_15253">#REF!</definedName>
    <definedName name="_15259">#REF!</definedName>
    <definedName name="_15262">#REF!</definedName>
    <definedName name="_15268">#REF!</definedName>
    <definedName name="_15271">#REF!</definedName>
    <definedName name="_15277">#REF!</definedName>
    <definedName name="_1528">#REF!</definedName>
    <definedName name="_15280">#REF!</definedName>
    <definedName name="_15286">#REF!</definedName>
    <definedName name="_15289">#REF!</definedName>
    <definedName name="_15295">#REF!</definedName>
    <definedName name="_15298">#REF!</definedName>
    <definedName name="_15304">#REF!</definedName>
    <definedName name="_15307">#REF!</definedName>
    <definedName name="_15313">#REF!</definedName>
    <definedName name="_15316">#REF!</definedName>
    <definedName name="_15322">#REF!</definedName>
    <definedName name="_15325">#REF!</definedName>
    <definedName name="_15331">#REF!</definedName>
    <definedName name="_15334">#REF!</definedName>
    <definedName name="_1534">#REF!</definedName>
    <definedName name="_15340">#REF!</definedName>
    <definedName name="_15343">#REF!</definedName>
    <definedName name="_15349">#REF!</definedName>
    <definedName name="_15352">#REF!</definedName>
    <definedName name="_15358">#REF!</definedName>
    <definedName name="_15361">#REF!</definedName>
    <definedName name="_15367">#REF!</definedName>
    <definedName name="_1537">#REF!</definedName>
    <definedName name="_15370">#REF!</definedName>
    <definedName name="_15376">#REF!</definedName>
    <definedName name="_15379">#REF!</definedName>
    <definedName name="_15385">#REF!</definedName>
    <definedName name="_15388">#REF!</definedName>
    <definedName name="_15394">#REF!</definedName>
    <definedName name="_15397">#REF!</definedName>
    <definedName name="_15403">#REF!</definedName>
    <definedName name="_15406">#REF!</definedName>
    <definedName name="_15412">#REF!</definedName>
    <definedName name="_15415">#REF!</definedName>
    <definedName name="_15421">#REF!</definedName>
    <definedName name="_15424">#REF!</definedName>
    <definedName name="_1543">#REF!</definedName>
    <definedName name="_15430">#REF!</definedName>
    <definedName name="_15433">#REF!</definedName>
    <definedName name="_15439">#REF!</definedName>
    <definedName name="_15442">#REF!</definedName>
    <definedName name="_1546">#REF!</definedName>
    <definedName name="_1552">#REF!</definedName>
    <definedName name="_1555">#REF!</definedName>
    <definedName name="_1561">#REF!</definedName>
    <definedName name="_1564">#REF!</definedName>
    <definedName name="_157">#REF!</definedName>
    <definedName name="_1570">#REF!</definedName>
    <definedName name="_1573">#REF!</definedName>
    <definedName name="_1579">#REF!</definedName>
    <definedName name="_1582">#REF!</definedName>
    <definedName name="_1588">#REF!</definedName>
    <definedName name="_1591">#REF!</definedName>
    <definedName name="_1597">#REF!</definedName>
    <definedName name="_160">#REF!</definedName>
    <definedName name="_1600">#REF!</definedName>
    <definedName name="_1606">#REF!</definedName>
    <definedName name="_1609">#REF!</definedName>
    <definedName name="_1615">#REF!</definedName>
    <definedName name="_1618">#REF!</definedName>
    <definedName name="_1624">#REF!</definedName>
    <definedName name="_1627">#REF!</definedName>
    <definedName name="_1633">#REF!</definedName>
    <definedName name="_1636">#REF!</definedName>
    <definedName name="_1642">#REF!</definedName>
    <definedName name="_1645">#REF!</definedName>
    <definedName name="_1651">#REF!</definedName>
    <definedName name="_1654">#REF!</definedName>
    <definedName name="_166">#REF!</definedName>
    <definedName name="_1660">#REF!</definedName>
    <definedName name="_1663">#REF!</definedName>
    <definedName name="_1669">#REF!</definedName>
    <definedName name="_1672">#REF!</definedName>
    <definedName name="_1678">#REF!</definedName>
    <definedName name="_1681">#REF!</definedName>
    <definedName name="_1687">#REF!</definedName>
    <definedName name="_169">#REF!</definedName>
    <definedName name="_1690">#REF!</definedName>
    <definedName name="_1696">#REF!</definedName>
    <definedName name="_1699">#REF!</definedName>
    <definedName name="_1705">#REF!</definedName>
    <definedName name="_1708">#REF!</definedName>
    <definedName name="_1714">#REF!</definedName>
    <definedName name="_1717">#REF!</definedName>
    <definedName name="_1723">#REF!</definedName>
    <definedName name="_1726">#REF!</definedName>
    <definedName name="_1732">#REF!</definedName>
    <definedName name="_1735">#REF!</definedName>
    <definedName name="_1741">#REF!</definedName>
    <definedName name="_1744">#REF!</definedName>
    <definedName name="_175">#REF!</definedName>
    <definedName name="_1750">#REF!</definedName>
    <definedName name="_1753">#REF!</definedName>
    <definedName name="_1759">#REF!</definedName>
    <definedName name="_1762">#REF!</definedName>
    <definedName name="_1768">#REF!</definedName>
    <definedName name="_1771">#REF!</definedName>
    <definedName name="_1777">#REF!</definedName>
    <definedName name="_178">#REF!</definedName>
    <definedName name="_1780">#REF!</definedName>
    <definedName name="_1786">#REF!</definedName>
    <definedName name="_1789">#REF!</definedName>
    <definedName name="_1795">#REF!</definedName>
    <definedName name="_1798">#REF!</definedName>
    <definedName name="_1804">#REF!</definedName>
    <definedName name="_1807">#REF!</definedName>
    <definedName name="_1813">#REF!</definedName>
    <definedName name="_1816">#REF!</definedName>
    <definedName name="_1822">#REF!</definedName>
    <definedName name="_1825">#REF!</definedName>
    <definedName name="_1831">#REF!</definedName>
    <definedName name="_1834">#REF!</definedName>
    <definedName name="_184">#REF!</definedName>
    <definedName name="_1840">#REF!</definedName>
    <definedName name="_1843">#REF!</definedName>
    <definedName name="_1849">#REF!</definedName>
    <definedName name="_1852">#REF!</definedName>
    <definedName name="_1858">#REF!</definedName>
    <definedName name="_1861">#REF!</definedName>
    <definedName name="_1867">#REF!</definedName>
    <definedName name="_187">#REF!</definedName>
    <definedName name="_1870">#REF!</definedName>
    <definedName name="_1876">#REF!</definedName>
    <definedName name="_1879">#REF!</definedName>
    <definedName name="_1885">#REF!</definedName>
    <definedName name="_1888">#REF!</definedName>
    <definedName name="_1894">#REF!</definedName>
    <definedName name="_1897">#REF!</definedName>
    <definedName name="_1903">#REF!</definedName>
    <definedName name="_1906">#REF!</definedName>
    <definedName name="_1912">#REF!</definedName>
    <definedName name="_1915">#REF!</definedName>
    <definedName name="_1921">#REF!</definedName>
    <definedName name="_1924">#REF!</definedName>
    <definedName name="_193">#REF!</definedName>
    <definedName name="_1930">#REF!</definedName>
    <definedName name="_1933">#REF!</definedName>
    <definedName name="_1939">#REF!</definedName>
    <definedName name="_1942">#REF!</definedName>
    <definedName name="_1948">#REF!</definedName>
    <definedName name="_1951">#REF!</definedName>
    <definedName name="_1957">#REF!</definedName>
    <definedName name="_196">#REF!</definedName>
    <definedName name="_1960">#REF!</definedName>
    <definedName name="_1966">#REF!</definedName>
    <definedName name="_1969">#REF!</definedName>
    <definedName name="_1975">#REF!</definedName>
    <definedName name="_1978">#REF!</definedName>
    <definedName name="_1984">#REF!</definedName>
    <definedName name="_1987">#REF!</definedName>
    <definedName name="_1993">#REF!</definedName>
    <definedName name="_1996">#REF!</definedName>
    <definedName name="_2">#REF!</definedName>
    <definedName name="_2002">#REF!</definedName>
    <definedName name="_2005">#REF!</definedName>
    <definedName name="_2011">#REF!</definedName>
    <definedName name="_2014">#REF!</definedName>
    <definedName name="_202">#REF!</definedName>
    <definedName name="_2020">#REF!</definedName>
    <definedName name="_2023">#REF!</definedName>
    <definedName name="_2029">#REF!</definedName>
    <definedName name="_2032">#REF!</definedName>
    <definedName name="_2038">#REF!</definedName>
    <definedName name="_2041">#REF!</definedName>
    <definedName name="_2047">#REF!</definedName>
    <definedName name="_205">#REF!</definedName>
    <definedName name="_2050">#REF!</definedName>
    <definedName name="_2056">#REF!</definedName>
    <definedName name="_2059">#REF!</definedName>
    <definedName name="_2065">#REF!</definedName>
    <definedName name="_2068">#REF!</definedName>
    <definedName name="_2074">#REF!</definedName>
    <definedName name="_2077">#REF!</definedName>
    <definedName name="_2083">#REF!</definedName>
    <definedName name="_2086">#REF!</definedName>
    <definedName name="_2092">#REF!</definedName>
    <definedName name="_2095">#REF!</definedName>
    <definedName name="_2101">#REF!</definedName>
    <definedName name="_2104">#REF!</definedName>
    <definedName name="_211">#REF!</definedName>
    <definedName name="_2110">#REF!</definedName>
    <definedName name="_2113">#REF!</definedName>
    <definedName name="_2119">#REF!</definedName>
    <definedName name="_2122">#REF!</definedName>
    <definedName name="_2128">#REF!</definedName>
    <definedName name="_2131">#REF!</definedName>
    <definedName name="_2137">#REF!</definedName>
    <definedName name="_214">#REF!</definedName>
    <definedName name="_2140">#REF!</definedName>
    <definedName name="_2146">#REF!</definedName>
    <definedName name="_2149">#REF!</definedName>
    <definedName name="_2155">#REF!</definedName>
    <definedName name="_2158">#REF!</definedName>
    <definedName name="_2164">#REF!</definedName>
    <definedName name="_2167">#REF!</definedName>
    <definedName name="_2173">#REF!</definedName>
    <definedName name="_2176">#REF!</definedName>
    <definedName name="_2182">#REF!</definedName>
    <definedName name="_2185">#REF!</definedName>
    <definedName name="_2191">#REF!</definedName>
    <definedName name="_2194">#REF!</definedName>
    <definedName name="_22">#REF!</definedName>
    <definedName name="_220">#REF!</definedName>
    <definedName name="_2200">#REF!</definedName>
    <definedName name="_2203">#REF!</definedName>
    <definedName name="_2209">#REF!</definedName>
    <definedName name="_2212">#REF!</definedName>
    <definedName name="_2218">#REF!</definedName>
    <definedName name="_2221">#REF!</definedName>
    <definedName name="_2227">#REF!</definedName>
    <definedName name="_223">#REF!</definedName>
    <definedName name="_2230">#REF!</definedName>
    <definedName name="_2236">#REF!</definedName>
    <definedName name="_2239">#REF!</definedName>
    <definedName name="_2245">#REF!</definedName>
    <definedName name="_2248">#REF!</definedName>
    <definedName name="_2254">#REF!</definedName>
    <definedName name="_2257">#REF!</definedName>
    <definedName name="_2263">#REF!</definedName>
    <definedName name="_2266">#REF!</definedName>
    <definedName name="_2272">#REF!</definedName>
    <definedName name="_2275">#REF!</definedName>
    <definedName name="_2281">#REF!</definedName>
    <definedName name="_2284">#REF!</definedName>
    <definedName name="_229">#REF!</definedName>
    <definedName name="_2290">#REF!</definedName>
    <definedName name="_2293">#REF!</definedName>
    <definedName name="_2299">#REF!</definedName>
    <definedName name="_2302">#REF!</definedName>
    <definedName name="_2308">#REF!</definedName>
    <definedName name="_2311">#REF!</definedName>
    <definedName name="_2317">#REF!</definedName>
    <definedName name="_232">#REF!</definedName>
    <definedName name="_2320">#REF!</definedName>
    <definedName name="_2326">#REF!</definedName>
    <definedName name="_2329">#REF!</definedName>
    <definedName name="_2335">#REF!</definedName>
    <definedName name="_2338">#REF!</definedName>
    <definedName name="_2344">#REF!</definedName>
    <definedName name="_2347">#REF!</definedName>
    <definedName name="_2353">#REF!</definedName>
    <definedName name="_2356">#REF!</definedName>
    <definedName name="_2362">#REF!</definedName>
    <definedName name="_2365">#REF!</definedName>
    <definedName name="_2371">#REF!</definedName>
    <definedName name="_2374">#REF!</definedName>
    <definedName name="_238">#REF!</definedName>
    <definedName name="_2380">#REF!</definedName>
    <definedName name="_2383">#REF!</definedName>
    <definedName name="_2389">#REF!</definedName>
    <definedName name="_2392">#REF!</definedName>
    <definedName name="_2398">#REF!</definedName>
    <definedName name="_2401">#REF!</definedName>
    <definedName name="_2407">#REF!</definedName>
    <definedName name="_241">#REF!</definedName>
    <definedName name="_2410">#REF!</definedName>
    <definedName name="_2416">#REF!</definedName>
    <definedName name="_2419">#REF!</definedName>
    <definedName name="_2425">#REF!</definedName>
    <definedName name="_2428">#REF!</definedName>
    <definedName name="_2434">#REF!</definedName>
    <definedName name="_2437">#REF!</definedName>
    <definedName name="_2443">#REF!</definedName>
    <definedName name="_2446">#REF!</definedName>
    <definedName name="_2452">#REF!</definedName>
    <definedName name="_2455">#REF!</definedName>
    <definedName name="_2461">#REF!</definedName>
    <definedName name="_2464">#REF!</definedName>
    <definedName name="_247">#REF!</definedName>
    <definedName name="_2470">#REF!</definedName>
    <definedName name="_2473">#REF!</definedName>
    <definedName name="_2479">#REF!</definedName>
    <definedName name="_2482">#REF!</definedName>
    <definedName name="_2488">#REF!</definedName>
    <definedName name="_2491">#REF!</definedName>
    <definedName name="_2497">#REF!</definedName>
    <definedName name="_250">#REF!</definedName>
    <definedName name="_2500">#REF!</definedName>
    <definedName name="_2506">#REF!</definedName>
    <definedName name="_2509">#REF!</definedName>
    <definedName name="_2515">#REF!</definedName>
    <definedName name="_2518">#REF!</definedName>
    <definedName name="_2524">#REF!</definedName>
    <definedName name="_2527">#REF!</definedName>
    <definedName name="_2533">#REF!</definedName>
    <definedName name="_2536">#REF!</definedName>
    <definedName name="_2542">#REF!</definedName>
    <definedName name="_2545">#REF!</definedName>
    <definedName name="_2551">#REF!</definedName>
    <definedName name="_2554">#REF!</definedName>
    <definedName name="_256">#REF!</definedName>
    <definedName name="_2560">#REF!</definedName>
    <definedName name="_2563">#REF!</definedName>
    <definedName name="_2569">#REF!</definedName>
    <definedName name="_2572">#REF!</definedName>
    <definedName name="_2578">#REF!</definedName>
    <definedName name="_2581">#REF!</definedName>
    <definedName name="_2587">#REF!</definedName>
    <definedName name="_259">#REF!</definedName>
    <definedName name="_2590">#REF!</definedName>
    <definedName name="_2596">#REF!</definedName>
    <definedName name="_2599">#REF!</definedName>
    <definedName name="_26">#REF!</definedName>
    <definedName name="_2605">#REF!</definedName>
    <definedName name="_2608">#REF!</definedName>
    <definedName name="_2614">#REF!</definedName>
    <definedName name="_2617">#REF!</definedName>
    <definedName name="_2623">#REF!</definedName>
    <definedName name="_2626">#REF!</definedName>
    <definedName name="_2632">#REF!</definedName>
    <definedName name="_2635">#REF!</definedName>
    <definedName name="_2641">#REF!</definedName>
    <definedName name="_2644">#REF!</definedName>
    <definedName name="_265">#REF!</definedName>
    <definedName name="_2650">#REF!</definedName>
    <definedName name="_2653">#REF!</definedName>
    <definedName name="_2659">#REF!</definedName>
    <definedName name="_2662">#REF!</definedName>
    <definedName name="_2668">#REF!</definedName>
    <definedName name="_2671">#REF!</definedName>
    <definedName name="_2677">#REF!</definedName>
    <definedName name="_268">#REF!</definedName>
    <definedName name="_2680">#REF!</definedName>
    <definedName name="_2686">#REF!</definedName>
    <definedName name="_2689">#REF!</definedName>
    <definedName name="_2695">#REF!</definedName>
    <definedName name="_2698">#REF!</definedName>
    <definedName name="_2704">#REF!</definedName>
    <definedName name="_2707">#REF!</definedName>
    <definedName name="_2713">#REF!</definedName>
    <definedName name="_2716">#REF!</definedName>
    <definedName name="_2722">#REF!</definedName>
    <definedName name="_2725">#REF!</definedName>
    <definedName name="_2731">#REF!</definedName>
    <definedName name="_2734">#REF!</definedName>
    <definedName name="_274">#REF!</definedName>
    <definedName name="_2740">#REF!</definedName>
    <definedName name="_2743">#REF!</definedName>
    <definedName name="_2749">#REF!</definedName>
    <definedName name="_2752">#REF!</definedName>
    <definedName name="_2758">#REF!</definedName>
    <definedName name="_2761">#REF!</definedName>
    <definedName name="_2767">#REF!</definedName>
    <definedName name="_277">#REF!</definedName>
    <definedName name="_2770">#REF!</definedName>
    <definedName name="_2776">#REF!</definedName>
    <definedName name="_2779">#REF!</definedName>
    <definedName name="_2785">#REF!</definedName>
    <definedName name="_2788">#REF!</definedName>
    <definedName name="_2794">#REF!</definedName>
    <definedName name="_2797">#REF!</definedName>
    <definedName name="_2803">#REF!</definedName>
    <definedName name="_2806">#REF!</definedName>
    <definedName name="_2812">#REF!</definedName>
    <definedName name="_2815">#REF!</definedName>
    <definedName name="_2821">#REF!</definedName>
    <definedName name="_2824">#REF!</definedName>
    <definedName name="_283">#REF!</definedName>
    <definedName name="_2830">#REF!</definedName>
    <definedName name="_2833">#REF!</definedName>
    <definedName name="_2839">#REF!</definedName>
    <definedName name="_2842">#REF!</definedName>
    <definedName name="_2848">#REF!</definedName>
    <definedName name="_2851">#REF!</definedName>
    <definedName name="_2857">#REF!</definedName>
    <definedName name="_286">#REF!</definedName>
    <definedName name="_2860">#REF!</definedName>
    <definedName name="_2866">#REF!</definedName>
    <definedName name="_2869">#REF!</definedName>
    <definedName name="_2875">#REF!</definedName>
    <definedName name="_2878">#REF!</definedName>
    <definedName name="_2884">#REF!</definedName>
    <definedName name="_2887">#REF!</definedName>
    <definedName name="_2893">#REF!</definedName>
    <definedName name="_2896">#REF!</definedName>
    <definedName name="_2902">#REF!</definedName>
    <definedName name="_2905">#REF!</definedName>
    <definedName name="_2911">#REF!</definedName>
    <definedName name="_2914">#REF!</definedName>
    <definedName name="_292">#REF!</definedName>
    <definedName name="_2920">#REF!</definedName>
    <definedName name="_2923">#REF!</definedName>
    <definedName name="_2929">#REF!</definedName>
    <definedName name="_2932">#REF!</definedName>
    <definedName name="_2938">#REF!</definedName>
    <definedName name="_2941">#REF!</definedName>
    <definedName name="_2947">#REF!</definedName>
    <definedName name="_295">#REF!</definedName>
    <definedName name="_2950">#REF!</definedName>
    <definedName name="_2956">#REF!</definedName>
    <definedName name="_2959">#REF!</definedName>
    <definedName name="_2965">#REF!</definedName>
    <definedName name="_2968">#REF!</definedName>
    <definedName name="_2974">#REF!</definedName>
    <definedName name="_2977">#REF!</definedName>
    <definedName name="_2983">#REF!</definedName>
    <definedName name="_2986">#REF!</definedName>
    <definedName name="_2992">#REF!</definedName>
    <definedName name="_2995">#REF!</definedName>
    <definedName name="_30_cl">#REF!</definedName>
    <definedName name="_3001">#REF!</definedName>
    <definedName name="_3004">#REF!</definedName>
    <definedName name="_301">#REF!</definedName>
    <definedName name="_3010">#REF!</definedName>
    <definedName name="_3013">#REF!</definedName>
    <definedName name="_3019">#REF!</definedName>
    <definedName name="_3022">#REF!</definedName>
    <definedName name="_3028">#REF!</definedName>
    <definedName name="_3031">#REF!</definedName>
    <definedName name="_3037">#REF!</definedName>
    <definedName name="_304">#REF!</definedName>
    <definedName name="_3040">#REF!</definedName>
    <definedName name="_3046">#REF!</definedName>
    <definedName name="_3049">#REF!</definedName>
    <definedName name="_3055">#REF!</definedName>
    <definedName name="_3058">#REF!</definedName>
    <definedName name="_3064">#REF!</definedName>
    <definedName name="_3067">#REF!</definedName>
    <definedName name="_3073">#REF!</definedName>
    <definedName name="_3076">#REF!</definedName>
    <definedName name="_3082">#REF!</definedName>
    <definedName name="_3085">#REF!</definedName>
    <definedName name="_3091">#REF!</definedName>
    <definedName name="_3094">#REF!</definedName>
    <definedName name="_31">#REF!</definedName>
    <definedName name="_310">#REF!</definedName>
    <definedName name="_3100">#REF!</definedName>
    <definedName name="_3103">#REF!</definedName>
    <definedName name="_3109">#REF!</definedName>
    <definedName name="_3112">#REF!</definedName>
    <definedName name="_3118">#REF!</definedName>
    <definedName name="_3121">#REF!</definedName>
    <definedName name="_3127">#REF!</definedName>
    <definedName name="_313">#REF!</definedName>
    <definedName name="_3130">#REF!</definedName>
    <definedName name="_3136">#REF!</definedName>
    <definedName name="_3139">#REF!</definedName>
    <definedName name="_3145">#REF!</definedName>
    <definedName name="_3148">#REF!</definedName>
    <definedName name="_3154">#REF!</definedName>
    <definedName name="_3157">#REF!</definedName>
    <definedName name="_3163">#REF!</definedName>
    <definedName name="_3166">#REF!</definedName>
    <definedName name="_3172">#REF!</definedName>
    <definedName name="_3175">#REF!</definedName>
    <definedName name="_3181">#REF!</definedName>
    <definedName name="_3184">#REF!</definedName>
    <definedName name="_319">#REF!</definedName>
    <definedName name="_3190">#REF!</definedName>
    <definedName name="_3193">#REF!</definedName>
    <definedName name="_3199">#REF!</definedName>
    <definedName name="_3202">#REF!</definedName>
    <definedName name="_3208">#REF!</definedName>
    <definedName name="_3211">#REF!</definedName>
    <definedName name="_3217">#REF!</definedName>
    <definedName name="_322">#REF!</definedName>
    <definedName name="_3220">#REF!</definedName>
    <definedName name="_3226">#REF!</definedName>
    <definedName name="_3229">#REF!</definedName>
    <definedName name="_3235">#REF!</definedName>
    <definedName name="_3238">#REF!</definedName>
    <definedName name="_3244">#REF!</definedName>
    <definedName name="_3247">#REF!</definedName>
    <definedName name="_3253">#REF!</definedName>
    <definedName name="_3256">#REF!</definedName>
    <definedName name="_3262">#REF!</definedName>
    <definedName name="_3265">#REF!</definedName>
    <definedName name="_3271">#REF!</definedName>
    <definedName name="_3274">#REF!</definedName>
    <definedName name="_328">#REF!</definedName>
    <definedName name="_3280">#REF!</definedName>
    <definedName name="_3283">#REF!</definedName>
    <definedName name="_3289">#REF!</definedName>
    <definedName name="_3292">#REF!</definedName>
    <definedName name="_3298">#REF!</definedName>
    <definedName name="_3301">#REF!</definedName>
    <definedName name="_3307">#REF!</definedName>
    <definedName name="_331">#REF!</definedName>
    <definedName name="_3310">#REF!</definedName>
    <definedName name="_3316">#REF!</definedName>
    <definedName name="_3319">#REF!</definedName>
    <definedName name="_3325">#REF!</definedName>
    <definedName name="_3328">#REF!</definedName>
    <definedName name="_3334">#REF!</definedName>
    <definedName name="_3337">#REF!</definedName>
    <definedName name="_3343">#REF!</definedName>
    <definedName name="_3346">#REF!</definedName>
    <definedName name="_3352">#REF!</definedName>
    <definedName name="_3355">#REF!</definedName>
    <definedName name="_3361">#REF!</definedName>
    <definedName name="_3364">#REF!</definedName>
    <definedName name="_337">#REF!</definedName>
    <definedName name="_3370">#REF!</definedName>
    <definedName name="_3373">#REF!</definedName>
    <definedName name="_3379">#REF!</definedName>
    <definedName name="_3382">#REF!</definedName>
    <definedName name="_3388">#REF!</definedName>
    <definedName name="_3391">#REF!</definedName>
    <definedName name="_3397">#REF!</definedName>
    <definedName name="_34">#REF!</definedName>
    <definedName name="_340">#REF!</definedName>
    <definedName name="_3400">#REF!</definedName>
    <definedName name="_3406">#REF!</definedName>
    <definedName name="_3409">#REF!</definedName>
    <definedName name="_3415">#REF!</definedName>
    <definedName name="_3418">#REF!</definedName>
    <definedName name="_3424">#REF!</definedName>
    <definedName name="_3427">#REF!</definedName>
    <definedName name="_3433">#REF!</definedName>
    <definedName name="_3436">#REF!</definedName>
    <definedName name="_3442">#REF!</definedName>
    <definedName name="_3445">#REF!</definedName>
    <definedName name="_3451">#REF!</definedName>
    <definedName name="_3454">#REF!</definedName>
    <definedName name="_346">#REF!</definedName>
    <definedName name="_3460">#REF!</definedName>
    <definedName name="_3463">#REF!</definedName>
    <definedName name="_3469">#REF!</definedName>
    <definedName name="_3472">#REF!</definedName>
    <definedName name="_3478">#REF!</definedName>
    <definedName name="_3481">#REF!</definedName>
    <definedName name="_3487">#REF!</definedName>
    <definedName name="_349">#REF!</definedName>
    <definedName name="_3490">#REF!</definedName>
    <definedName name="_3496">#REF!</definedName>
    <definedName name="_3499">#REF!</definedName>
    <definedName name="_3505">#REF!</definedName>
    <definedName name="_3508">#REF!</definedName>
    <definedName name="_3514">#REF!</definedName>
    <definedName name="_3517">#REF!</definedName>
    <definedName name="_3523">#REF!</definedName>
    <definedName name="_3526">#REF!</definedName>
    <definedName name="_3532">#REF!</definedName>
    <definedName name="_3535">#REF!</definedName>
    <definedName name="_3541">#REF!</definedName>
    <definedName name="_3544">#REF!</definedName>
    <definedName name="_355">#REF!</definedName>
    <definedName name="_3550">#REF!</definedName>
    <definedName name="_3553">#REF!</definedName>
    <definedName name="_3559">#REF!</definedName>
    <definedName name="_3562">#REF!</definedName>
    <definedName name="_3568">#REF!</definedName>
    <definedName name="_3571">#REF!</definedName>
    <definedName name="_3577">#REF!</definedName>
    <definedName name="_358">#REF!</definedName>
    <definedName name="_3580">#REF!</definedName>
    <definedName name="_3586">#REF!</definedName>
    <definedName name="_3589">#REF!</definedName>
    <definedName name="_3595">#REF!</definedName>
    <definedName name="_3598">#REF!</definedName>
    <definedName name="_3604">#REF!</definedName>
    <definedName name="_3607">#REF!</definedName>
    <definedName name="_3613">#REF!</definedName>
    <definedName name="_3616">#REF!</definedName>
    <definedName name="_3622">#REF!</definedName>
    <definedName name="_3625">#REF!</definedName>
    <definedName name="_3631">#REF!</definedName>
    <definedName name="_3634">#REF!</definedName>
    <definedName name="_364">#REF!</definedName>
    <definedName name="_3640">#REF!</definedName>
    <definedName name="_3643">#REF!</definedName>
    <definedName name="_3649">#REF!</definedName>
    <definedName name="_3652">#REF!</definedName>
    <definedName name="_3658">#REF!</definedName>
    <definedName name="_3661">#REF!</definedName>
    <definedName name="_3667">#REF!</definedName>
    <definedName name="_367">#REF!</definedName>
    <definedName name="_3670">#REF!</definedName>
    <definedName name="_3676">#REF!</definedName>
    <definedName name="_3679">#REF!</definedName>
    <definedName name="_3685">#REF!</definedName>
    <definedName name="_3688">#REF!</definedName>
    <definedName name="_3694">#REF!</definedName>
    <definedName name="_3697">#REF!</definedName>
    <definedName name="_3703">#REF!</definedName>
    <definedName name="_3706">#REF!</definedName>
    <definedName name="_3712">#REF!</definedName>
    <definedName name="_3715">#REF!</definedName>
    <definedName name="_3721">#REF!</definedName>
    <definedName name="_3724">#REF!</definedName>
    <definedName name="_373">#REF!</definedName>
    <definedName name="_3730">#REF!</definedName>
    <definedName name="_3733">#REF!</definedName>
    <definedName name="_3739">#REF!</definedName>
    <definedName name="_3742">#REF!</definedName>
    <definedName name="_3748">#REF!</definedName>
    <definedName name="_3751">#REF!</definedName>
    <definedName name="_3757">#REF!</definedName>
    <definedName name="_376">#REF!</definedName>
    <definedName name="_3760">#REF!</definedName>
    <definedName name="_3766">#REF!</definedName>
    <definedName name="_3769">#REF!</definedName>
    <definedName name="_3775">#REF!</definedName>
    <definedName name="_3778">#REF!</definedName>
    <definedName name="_3784">#REF!</definedName>
    <definedName name="_3787">#REF!</definedName>
    <definedName name="_3793">#REF!</definedName>
    <definedName name="_3796">#REF!</definedName>
    <definedName name="_3802">#REF!</definedName>
    <definedName name="_3805">#REF!</definedName>
    <definedName name="_3811">#REF!</definedName>
    <definedName name="_3814">#REF!</definedName>
    <definedName name="_382">#REF!</definedName>
    <definedName name="_3820">#REF!</definedName>
    <definedName name="_3823">#REF!</definedName>
    <definedName name="_3829">#REF!</definedName>
    <definedName name="_3832">#REF!</definedName>
    <definedName name="_3838">#REF!</definedName>
    <definedName name="_3841">#REF!</definedName>
    <definedName name="_3847">#REF!</definedName>
    <definedName name="_385">#REF!</definedName>
    <definedName name="_3850">#REF!</definedName>
    <definedName name="_3856">#REF!</definedName>
    <definedName name="_3859">#REF!</definedName>
    <definedName name="_3865">#REF!</definedName>
    <definedName name="_3868">#REF!</definedName>
    <definedName name="_3874">#REF!</definedName>
    <definedName name="_3877">#REF!</definedName>
    <definedName name="_3883">#REF!</definedName>
    <definedName name="_3886">#REF!</definedName>
    <definedName name="_3892">#REF!</definedName>
    <definedName name="_3895">#REF!</definedName>
    <definedName name="_3901">#REF!</definedName>
    <definedName name="_3904">#REF!</definedName>
    <definedName name="_391">#REF!</definedName>
    <definedName name="_3910">#REF!</definedName>
    <definedName name="_3913">#REF!</definedName>
    <definedName name="_3919">#REF!</definedName>
    <definedName name="_3922">#REF!</definedName>
    <definedName name="_3928">#REF!</definedName>
    <definedName name="_3931">#REF!</definedName>
    <definedName name="_3937">#REF!</definedName>
    <definedName name="_394">#REF!</definedName>
    <definedName name="_3940">#REF!</definedName>
    <definedName name="_3946">#REF!</definedName>
    <definedName name="_3949">#REF!</definedName>
    <definedName name="_3955">#REF!</definedName>
    <definedName name="_3958">#REF!</definedName>
    <definedName name="_3964">#REF!</definedName>
    <definedName name="_3967">#REF!</definedName>
    <definedName name="_3973">#REF!</definedName>
    <definedName name="_3976">#REF!</definedName>
    <definedName name="_3982">#REF!</definedName>
    <definedName name="_3985">#REF!</definedName>
    <definedName name="_3991">#REF!</definedName>
    <definedName name="_3994">#REF!</definedName>
    <definedName name="_40">#REF!</definedName>
    <definedName name="_400">#REF!</definedName>
    <definedName name="_4000">#REF!</definedName>
    <definedName name="_4003">#REF!</definedName>
    <definedName name="_4009">#REF!</definedName>
    <definedName name="_4012">#REF!</definedName>
    <definedName name="_4018">#REF!</definedName>
    <definedName name="_4021">#REF!</definedName>
    <definedName name="_4027">#REF!</definedName>
    <definedName name="_403">#REF!</definedName>
    <definedName name="_4030">#REF!</definedName>
    <definedName name="_4036">#REF!</definedName>
    <definedName name="_4039">#REF!</definedName>
    <definedName name="_4045">#REF!</definedName>
    <definedName name="_4048">#REF!</definedName>
    <definedName name="_4054">#REF!</definedName>
    <definedName name="_4057">#REF!</definedName>
    <definedName name="_4063">#REF!</definedName>
    <definedName name="_4066">#REF!</definedName>
    <definedName name="_4072">#REF!</definedName>
    <definedName name="_4075">#REF!</definedName>
    <definedName name="_4081">#REF!</definedName>
    <definedName name="_4084">#REF!</definedName>
    <definedName name="_409">#REF!</definedName>
    <definedName name="_4090">#REF!</definedName>
    <definedName name="_4093">#REF!</definedName>
    <definedName name="_4099">#REF!</definedName>
    <definedName name="_4102">#REF!</definedName>
    <definedName name="_4108">#REF!</definedName>
    <definedName name="_4111">#REF!</definedName>
    <definedName name="_4117">#REF!</definedName>
    <definedName name="_412">#REF!</definedName>
    <definedName name="_4120">#REF!</definedName>
    <definedName name="_4126">#REF!</definedName>
    <definedName name="_4129">#REF!</definedName>
    <definedName name="_4135">#REF!</definedName>
    <definedName name="_4138">#REF!</definedName>
    <definedName name="_4144">#REF!</definedName>
    <definedName name="_4147">#REF!</definedName>
    <definedName name="_4153">#REF!</definedName>
    <definedName name="_4156">#REF!</definedName>
    <definedName name="_4162">#REF!</definedName>
    <definedName name="_4165">#REF!</definedName>
    <definedName name="_4171">#REF!</definedName>
    <definedName name="_4174">#REF!</definedName>
    <definedName name="_418">#REF!</definedName>
    <definedName name="_4180">#REF!</definedName>
    <definedName name="_4183">#REF!</definedName>
    <definedName name="_4189">#REF!</definedName>
    <definedName name="_4192">#REF!</definedName>
    <definedName name="_4198">#REF!</definedName>
    <definedName name="_4201">#REF!</definedName>
    <definedName name="_4207">#REF!</definedName>
    <definedName name="_421">#REF!</definedName>
    <definedName name="_4210">#REF!</definedName>
    <definedName name="_4216">#REF!</definedName>
    <definedName name="_4219">#REF!</definedName>
    <definedName name="_4225">#REF!</definedName>
    <definedName name="_4228">#REF!</definedName>
    <definedName name="_4234">#REF!</definedName>
    <definedName name="_4237">#REF!</definedName>
    <definedName name="_4243">#REF!</definedName>
    <definedName name="_4246">#REF!</definedName>
    <definedName name="_4252">#REF!</definedName>
    <definedName name="_4255">#REF!</definedName>
    <definedName name="_4261">#REF!</definedName>
    <definedName name="_4264">#REF!</definedName>
    <definedName name="_427">#REF!</definedName>
    <definedName name="_4270">#REF!</definedName>
    <definedName name="_4273">#REF!</definedName>
    <definedName name="_4279">#REF!</definedName>
    <definedName name="_4282">#REF!</definedName>
    <definedName name="_4288">#REF!</definedName>
    <definedName name="_4291">#REF!</definedName>
    <definedName name="_4297">#REF!</definedName>
    <definedName name="_43">#REF!</definedName>
    <definedName name="_430">#REF!</definedName>
    <definedName name="_4300">#REF!</definedName>
    <definedName name="_4306">#REF!</definedName>
    <definedName name="_4309">#REF!</definedName>
    <definedName name="_4315">#REF!</definedName>
    <definedName name="_4318">#REF!</definedName>
    <definedName name="_4324">#REF!</definedName>
    <definedName name="_4327">#REF!</definedName>
    <definedName name="_4333">#REF!</definedName>
    <definedName name="_4336">#REF!</definedName>
    <definedName name="_4342">#REF!</definedName>
    <definedName name="_4345">#REF!</definedName>
    <definedName name="_4351">#REF!</definedName>
    <definedName name="_4354">#REF!</definedName>
    <definedName name="_436">#REF!</definedName>
    <definedName name="_4360">#REF!</definedName>
    <definedName name="_4363">#REF!</definedName>
    <definedName name="_4369">#REF!</definedName>
    <definedName name="_4372">#REF!</definedName>
    <definedName name="_4378">#REF!</definedName>
    <definedName name="_4381">#REF!</definedName>
    <definedName name="_4387">#REF!</definedName>
    <definedName name="_439">#REF!</definedName>
    <definedName name="_4390">#REF!</definedName>
    <definedName name="_4396">#REF!</definedName>
    <definedName name="_4399">#REF!</definedName>
    <definedName name="_4405">#REF!</definedName>
    <definedName name="_4408">#REF!</definedName>
    <definedName name="_4414">#REF!</definedName>
    <definedName name="_4417">#REF!</definedName>
    <definedName name="_4423">#REF!</definedName>
    <definedName name="_4426">#REF!</definedName>
    <definedName name="_4432">#REF!</definedName>
    <definedName name="_4435">#REF!</definedName>
    <definedName name="_4441">#REF!</definedName>
    <definedName name="_4444">#REF!</definedName>
    <definedName name="_445">#REF!</definedName>
    <definedName name="_4450">#REF!</definedName>
    <definedName name="_4453">#REF!</definedName>
    <definedName name="_4459">#REF!</definedName>
    <definedName name="_4462">#REF!</definedName>
    <definedName name="_4468">#REF!</definedName>
    <definedName name="_4471">#REF!</definedName>
    <definedName name="_4477">#REF!</definedName>
    <definedName name="_448">#REF!</definedName>
    <definedName name="_4480">#REF!</definedName>
    <definedName name="_4486">#REF!</definedName>
    <definedName name="_4489">#REF!</definedName>
    <definedName name="_4495">#REF!</definedName>
    <definedName name="_4498">#REF!</definedName>
    <definedName name="_4504">#REF!</definedName>
    <definedName name="_4507">#REF!</definedName>
    <definedName name="_4513">#REF!</definedName>
    <definedName name="_4516">#REF!</definedName>
    <definedName name="_4522">#REF!</definedName>
    <definedName name="_4525">#REF!</definedName>
    <definedName name="_4531">#REF!</definedName>
    <definedName name="_4534">#REF!</definedName>
    <definedName name="_454">#REF!</definedName>
    <definedName name="_4540">#REF!</definedName>
    <definedName name="_4543">#REF!</definedName>
    <definedName name="_4549">#REF!</definedName>
    <definedName name="_4552">#REF!</definedName>
    <definedName name="_4558">#REF!</definedName>
    <definedName name="_4561">#REF!</definedName>
    <definedName name="_4567">#REF!</definedName>
    <definedName name="_457">#REF!</definedName>
    <definedName name="_4570">#REF!</definedName>
    <definedName name="_4576">#REF!</definedName>
    <definedName name="_4579">#REF!</definedName>
    <definedName name="_4585">#REF!</definedName>
    <definedName name="_4588">#REF!</definedName>
    <definedName name="_4594">#REF!</definedName>
    <definedName name="_4597">#REF!</definedName>
    <definedName name="_4603">#REF!</definedName>
    <definedName name="_4606">#REF!</definedName>
    <definedName name="_4612">#REF!</definedName>
    <definedName name="_4615">#REF!</definedName>
    <definedName name="_4621">#REF!</definedName>
    <definedName name="_4624">#REF!</definedName>
    <definedName name="_463">#REF!</definedName>
    <definedName name="_4630">#REF!</definedName>
    <definedName name="_4633">#REF!</definedName>
    <definedName name="_4639">#REF!</definedName>
    <definedName name="_4642">#REF!</definedName>
    <definedName name="_4648">#REF!</definedName>
    <definedName name="_4651">#REF!</definedName>
    <definedName name="_4657">#REF!</definedName>
    <definedName name="_466">#REF!</definedName>
    <definedName name="_4660">#REF!</definedName>
    <definedName name="_4666">#REF!</definedName>
    <definedName name="_4669">#REF!</definedName>
    <definedName name="_4675">#REF!</definedName>
    <definedName name="_4678">#REF!</definedName>
    <definedName name="_4684">#REF!</definedName>
    <definedName name="_4687">#REF!</definedName>
    <definedName name="_4693">#REF!</definedName>
    <definedName name="_4696">#REF!</definedName>
    <definedName name="_4702">#REF!</definedName>
    <definedName name="_4705">#REF!</definedName>
    <definedName name="_4711">#REF!</definedName>
    <definedName name="_4714">#REF!</definedName>
    <definedName name="_472">#REF!</definedName>
    <definedName name="_4720">#REF!</definedName>
    <definedName name="_4723">#REF!</definedName>
    <definedName name="_4729">#REF!</definedName>
    <definedName name="_4732">#REF!</definedName>
    <definedName name="_4738">#REF!</definedName>
    <definedName name="_4741">#REF!</definedName>
    <definedName name="_4747">#REF!</definedName>
    <definedName name="_475">#REF!</definedName>
    <definedName name="_4750">#REF!</definedName>
    <definedName name="_4756">#REF!</definedName>
    <definedName name="_4759">#REF!</definedName>
    <definedName name="_4765">#REF!</definedName>
    <definedName name="_4768">#REF!</definedName>
    <definedName name="_4774">#REF!</definedName>
    <definedName name="_4777">#REF!</definedName>
    <definedName name="_4783">#REF!</definedName>
    <definedName name="_4786">#REF!</definedName>
    <definedName name="_4792">#REF!</definedName>
    <definedName name="_4795">#REF!</definedName>
    <definedName name="_4801">#REF!</definedName>
    <definedName name="_4804">#REF!</definedName>
    <definedName name="_481">#REF!</definedName>
    <definedName name="_4810">#REF!</definedName>
    <definedName name="_4813">#REF!</definedName>
    <definedName name="_4819">#REF!</definedName>
    <definedName name="_4822">#REF!</definedName>
    <definedName name="_4828">#REF!</definedName>
    <definedName name="_4831">#REF!</definedName>
    <definedName name="_4837">#REF!</definedName>
    <definedName name="_484">#REF!</definedName>
    <definedName name="_4840">#REF!</definedName>
    <definedName name="_4846">#REF!</definedName>
    <definedName name="_4849">#REF!</definedName>
    <definedName name="_4855">#REF!</definedName>
    <definedName name="_4858">#REF!</definedName>
    <definedName name="_4864">#REF!</definedName>
    <definedName name="_4867">#REF!</definedName>
    <definedName name="_4873">#REF!</definedName>
    <definedName name="_4876">#REF!</definedName>
    <definedName name="_4882">#REF!</definedName>
    <definedName name="_4885">#REF!</definedName>
    <definedName name="_4891">#REF!</definedName>
    <definedName name="_4894">#REF!</definedName>
    <definedName name="_49">#REF!</definedName>
    <definedName name="_490">#REF!</definedName>
    <definedName name="_4900">#REF!</definedName>
    <definedName name="_4903">#REF!</definedName>
    <definedName name="_4909">#REF!</definedName>
    <definedName name="_4912">#REF!</definedName>
    <definedName name="_4918">#REF!</definedName>
    <definedName name="_4921">#REF!</definedName>
    <definedName name="_4927">#REF!</definedName>
    <definedName name="_493">#REF!</definedName>
    <definedName name="_4930">#REF!</definedName>
    <definedName name="_4936">#REF!</definedName>
    <definedName name="_4939">#REF!</definedName>
    <definedName name="_4945">#REF!</definedName>
    <definedName name="_4948">#REF!</definedName>
    <definedName name="_4954">#REF!</definedName>
    <definedName name="_4957">#REF!</definedName>
    <definedName name="_4963">#REF!</definedName>
    <definedName name="_4966">#REF!</definedName>
    <definedName name="_4972">#REF!</definedName>
    <definedName name="_4975">#REF!</definedName>
    <definedName name="_4981">#REF!</definedName>
    <definedName name="_4984">#REF!</definedName>
    <definedName name="_499">#REF!</definedName>
    <definedName name="_4990">#REF!</definedName>
    <definedName name="_4993">#REF!</definedName>
    <definedName name="_4999">#REF!</definedName>
    <definedName name="_5002">#REF!</definedName>
    <definedName name="_5008">#REF!</definedName>
    <definedName name="_5011">#REF!</definedName>
    <definedName name="_5017">#REF!</definedName>
    <definedName name="_502">#REF!</definedName>
    <definedName name="_5020">#REF!</definedName>
    <definedName name="_5026">#REF!</definedName>
    <definedName name="_5029">#REF!</definedName>
    <definedName name="_5035">#REF!</definedName>
    <definedName name="_5038">#REF!</definedName>
    <definedName name="_5044">#REF!</definedName>
    <definedName name="_5047">#REF!</definedName>
    <definedName name="_5053">#REF!</definedName>
    <definedName name="_5056">#REF!</definedName>
    <definedName name="_5062">#REF!</definedName>
    <definedName name="_5065">#REF!</definedName>
    <definedName name="_5071">#REF!</definedName>
    <definedName name="_5074">#REF!</definedName>
    <definedName name="_508">#REF!</definedName>
    <definedName name="_5080">#REF!</definedName>
    <definedName name="_5083">#REF!</definedName>
    <definedName name="_5089">#REF!</definedName>
    <definedName name="_5092">#REF!</definedName>
    <definedName name="_5098">#REF!</definedName>
    <definedName name="_5101">#REF!</definedName>
    <definedName name="_5107">#REF!</definedName>
    <definedName name="_511">#REF!</definedName>
    <definedName name="_5110">#REF!</definedName>
    <definedName name="_5116">#REF!</definedName>
    <definedName name="_5119">#REF!</definedName>
    <definedName name="_5125">#REF!</definedName>
    <definedName name="_5128">#REF!</definedName>
    <definedName name="_5134">#REF!</definedName>
    <definedName name="_5137">#REF!</definedName>
    <definedName name="_5143">#REF!</definedName>
    <definedName name="_5146">#REF!</definedName>
    <definedName name="_5152">#REF!</definedName>
    <definedName name="_5155">#REF!</definedName>
    <definedName name="_5161">#REF!</definedName>
    <definedName name="_5164">#REF!</definedName>
    <definedName name="_517">#REF!</definedName>
    <definedName name="_5170">#REF!</definedName>
    <definedName name="_5173">#REF!</definedName>
    <definedName name="_5179">#REF!</definedName>
    <definedName name="_5182">#REF!</definedName>
    <definedName name="_5188">#REF!</definedName>
    <definedName name="_5191">#REF!</definedName>
    <definedName name="_5197">#REF!</definedName>
    <definedName name="_52">#REF!</definedName>
    <definedName name="_520">#REF!</definedName>
    <definedName name="_5200">#REF!</definedName>
    <definedName name="_5206">#REF!</definedName>
    <definedName name="_5209">#REF!</definedName>
    <definedName name="_5215">#REF!</definedName>
    <definedName name="_5218">#REF!</definedName>
    <definedName name="_5224">#REF!</definedName>
    <definedName name="_5227">#REF!</definedName>
    <definedName name="_5233">#REF!</definedName>
    <definedName name="_5236">#REF!</definedName>
    <definedName name="_5242">#REF!</definedName>
    <definedName name="_5245">#REF!</definedName>
    <definedName name="_5251">#REF!</definedName>
    <definedName name="_5254">#REF!</definedName>
    <definedName name="_526">#REF!</definedName>
    <definedName name="_5260">#REF!</definedName>
    <definedName name="_5263">#REF!</definedName>
    <definedName name="_5269">#REF!</definedName>
    <definedName name="_5272">#REF!</definedName>
    <definedName name="_5278">#REF!</definedName>
    <definedName name="_5281">#REF!</definedName>
    <definedName name="_5287">#REF!</definedName>
    <definedName name="_529">#REF!</definedName>
    <definedName name="_5290">#REF!</definedName>
    <definedName name="_5296">#REF!</definedName>
    <definedName name="_5299">#REF!</definedName>
    <definedName name="_5305">#REF!</definedName>
    <definedName name="_5308">#REF!</definedName>
    <definedName name="_5314">#REF!</definedName>
    <definedName name="_5317">#REF!</definedName>
    <definedName name="_5323">#REF!</definedName>
    <definedName name="_5326">#REF!</definedName>
    <definedName name="_5332">#REF!</definedName>
    <definedName name="_5335">#REF!</definedName>
    <definedName name="_5341">#REF!</definedName>
    <definedName name="_5344">#REF!</definedName>
    <definedName name="_535">#REF!</definedName>
    <definedName name="_5350">#REF!</definedName>
    <definedName name="_5353">#REF!</definedName>
    <definedName name="_5359">#REF!</definedName>
    <definedName name="_5362">#REF!</definedName>
    <definedName name="_5368">#REF!</definedName>
    <definedName name="_5371">#REF!</definedName>
    <definedName name="_5377">#REF!</definedName>
    <definedName name="_538">#REF!</definedName>
    <definedName name="_5380">#REF!</definedName>
    <definedName name="_5386">#REF!</definedName>
    <definedName name="_5389">#REF!</definedName>
    <definedName name="_5395">#REF!</definedName>
    <definedName name="_5398">#REF!</definedName>
    <definedName name="_5404">#REF!</definedName>
    <definedName name="_5407">#REF!</definedName>
    <definedName name="_5413">#REF!</definedName>
    <definedName name="_5416">#REF!</definedName>
    <definedName name="_5422">#REF!</definedName>
    <definedName name="_5425">#REF!</definedName>
    <definedName name="_5431">#REF!</definedName>
    <definedName name="_5434">#REF!</definedName>
    <definedName name="_544">#REF!</definedName>
    <definedName name="_5440">#REF!</definedName>
    <definedName name="_5443">#REF!</definedName>
    <definedName name="_5449">#REF!</definedName>
    <definedName name="_5452">#REF!</definedName>
    <definedName name="_5458">#REF!</definedName>
    <definedName name="_5461">#REF!</definedName>
    <definedName name="_5467">#REF!</definedName>
    <definedName name="_547">#REF!</definedName>
    <definedName name="_5470">#REF!</definedName>
    <definedName name="_5476">#REF!</definedName>
    <definedName name="_5479">#REF!</definedName>
    <definedName name="_5485">#REF!</definedName>
    <definedName name="_5488">#REF!</definedName>
    <definedName name="_5494">#REF!</definedName>
    <definedName name="_5497">#REF!</definedName>
    <definedName name="_5503">#REF!</definedName>
    <definedName name="_5506">#REF!</definedName>
    <definedName name="_5512">#REF!</definedName>
    <definedName name="_5515">#REF!</definedName>
    <definedName name="_5521">#REF!</definedName>
    <definedName name="_5524">#REF!</definedName>
    <definedName name="_553">#REF!</definedName>
    <definedName name="_5530">#REF!</definedName>
    <definedName name="_5533">#REF!</definedName>
    <definedName name="_5539">#REF!</definedName>
    <definedName name="_5542">#REF!</definedName>
    <definedName name="_5548">#REF!</definedName>
    <definedName name="_5551">#REF!</definedName>
    <definedName name="_5557">#REF!</definedName>
    <definedName name="_556">#REF!</definedName>
    <definedName name="_5560">#REF!</definedName>
    <definedName name="_5566">#REF!</definedName>
    <definedName name="_5569">#REF!</definedName>
    <definedName name="_5575">#REF!</definedName>
    <definedName name="_5578">#REF!</definedName>
    <definedName name="_5584">#REF!</definedName>
    <definedName name="_5587">#REF!</definedName>
    <definedName name="_5593">#REF!</definedName>
    <definedName name="_5596">#REF!</definedName>
    <definedName name="_5602">#REF!</definedName>
    <definedName name="_5605">#REF!</definedName>
    <definedName name="_5611">#REF!</definedName>
    <definedName name="_5614">#REF!</definedName>
    <definedName name="_562">#REF!</definedName>
    <definedName name="_5620">#REF!</definedName>
    <definedName name="_5623">#REF!</definedName>
    <definedName name="_5629">#REF!</definedName>
    <definedName name="_5632">#REF!</definedName>
    <definedName name="_5638">#REF!</definedName>
    <definedName name="_5641">#REF!</definedName>
    <definedName name="_5647">#REF!</definedName>
    <definedName name="_565">#REF!</definedName>
    <definedName name="_5650">#REF!</definedName>
    <definedName name="_5656">#REF!</definedName>
    <definedName name="_5659">#REF!</definedName>
    <definedName name="_5665">#REF!</definedName>
    <definedName name="_5668">#REF!</definedName>
    <definedName name="_5674">#REF!</definedName>
    <definedName name="_5677">#REF!</definedName>
    <definedName name="_5683">#REF!</definedName>
    <definedName name="_5686">#REF!</definedName>
    <definedName name="_5692">#REF!</definedName>
    <definedName name="_5695">#REF!</definedName>
    <definedName name="_5701">#REF!</definedName>
    <definedName name="_5704">#REF!</definedName>
    <definedName name="_571">#REF!</definedName>
    <definedName name="_5710">#REF!</definedName>
    <definedName name="_5713">#REF!</definedName>
    <definedName name="_5719">#REF!</definedName>
    <definedName name="_5722">#REF!</definedName>
    <definedName name="_5728">#REF!</definedName>
    <definedName name="_5731">#REF!</definedName>
    <definedName name="_5737">#REF!</definedName>
    <definedName name="_574">#REF!</definedName>
    <definedName name="_5740">#REF!</definedName>
    <definedName name="_5746">#REF!</definedName>
    <definedName name="_5749">#REF!</definedName>
    <definedName name="_5755">#REF!</definedName>
    <definedName name="_5758">#REF!</definedName>
    <definedName name="_5764">#REF!</definedName>
    <definedName name="_5767">#REF!</definedName>
    <definedName name="_5773">#REF!</definedName>
    <definedName name="_5776">#REF!</definedName>
    <definedName name="_5782">#REF!</definedName>
    <definedName name="_5785">#REF!</definedName>
    <definedName name="_5791">#REF!</definedName>
    <definedName name="_5794">#REF!</definedName>
    <definedName name="_58">#REF!</definedName>
    <definedName name="_580">#REF!</definedName>
    <definedName name="_5800">#REF!</definedName>
    <definedName name="_5803">#REF!</definedName>
    <definedName name="_5809">#REF!</definedName>
    <definedName name="_5812">#REF!</definedName>
    <definedName name="_5818">#REF!</definedName>
    <definedName name="_5821">#REF!</definedName>
    <definedName name="_5827">#REF!</definedName>
    <definedName name="_583">#REF!</definedName>
    <definedName name="_5830">#REF!</definedName>
    <definedName name="_5836">#REF!</definedName>
    <definedName name="_5839">#REF!</definedName>
    <definedName name="_5845">#REF!</definedName>
    <definedName name="_5848">#REF!</definedName>
    <definedName name="_5854">#REF!</definedName>
    <definedName name="_5857">#REF!</definedName>
    <definedName name="_5863">#REF!</definedName>
    <definedName name="_5866">#REF!</definedName>
    <definedName name="_5872">#REF!</definedName>
    <definedName name="_5875">#REF!</definedName>
    <definedName name="_5881">#REF!</definedName>
    <definedName name="_5884">#REF!</definedName>
    <definedName name="_589">#REF!</definedName>
    <definedName name="_5890">#REF!</definedName>
    <definedName name="_5893">#REF!</definedName>
    <definedName name="_5899">#REF!</definedName>
    <definedName name="_5902">#REF!</definedName>
    <definedName name="_5908">#REF!</definedName>
    <definedName name="_5911">#REF!</definedName>
    <definedName name="_5917">#REF!</definedName>
    <definedName name="_592">#REF!</definedName>
    <definedName name="_5920">#REF!</definedName>
    <definedName name="_5926">#REF!</definedName>
    <definedName name="_5929">#REF!</definedName>
    <definedName name="_5935">#REF!</definedName>
    <definedName name="_5938">#REF!</definedName>
    <definedName name="_5944">#REF!</definedName>
    <definedName name="_5947">#REF!</definedName>
    <definedName name="_5953">#REF!</definedName>
    <definedName name="_5956">#REF!</definedName>
    <definedName name="_5962">#REF!</definedName>
    <definedName name="_5965">#REF!</definedName>
    <definedName name="_5971">#REF!</definedName>
    <definedName name="_5974">#REF!</definedName>
    <definedName name="_598">#REF!</definedName>
    <definedName name="_5980">#REF!</definedName>
    <definedName name="_5983">#REF!</definedName>
    <definedName name="_5989">#REF!</definedName>
    <definedName name="_5992">#REF!</definedName>
    <definedName name="_5998">#REF!</definedName>
    <definedName name="_6001">#REF!</definedName>
    <definedName name="_6007">#REF!</definedName>
    <definedName name="_601">#REF!</definedName>
    <definedName name="_6010">#REF!</definedName>
    <definedName name="_6016">#REF!</definedName>
    <definedName name="_6019">#REF!</definedName>
    <definedName name="_6025">#REF!</definedName>
    <definedName name="_6028">#REF!</definedName>
    <definedName name="_6034">#REF!</definedName>
    <definedName name="_6037">#REF!</definedName>
    <definedName name="_6043">#REF!</definedName>
    <definedName name="_6046">#REF!</definedName>
    <definedName name="_6052">#REF!</definedName>
    <definedName name="_6055">#REF!</definedName>
    <definedName name="_6061">#REF!</definedName>
    <definedName name="_6064">#REF!</definedName>
    <definedName name="_607">#REF!</definedName>
    <definedName name="_6070">#REF!</definedName>
    <definedName name="_6073">#REF!</definedName>
    <definedName name="_6079">#REF!</definedName>
    <definedName name="_6082">#REF!</definedName>
    <definedName name="_6088">#REF!</definedName>
    <definedName name="_6091">#REF!</definedName>
    <definedName name="_6097">#REF!</definedName>
    <definedName name="_61">#REF!</definedName>
    <definedName name="_610">#REF!</definedName>
    <definedName name="_6100">#REF!</definedName>
    <definedName name="_6106">#REF!</definedName>
    <definedName name="_6109">#REF!</definedName>
    <definedName name="_6115">#REF!</definedName>
    <definedName name="_6118">#REF!</definedName>
    <definedName name="_6124">#REF!</definedName>
    <definedName name="_6127">#REF!</definedName>
    <definedName name="_6133">#REF!</definedName>
    <definedName name="_6136">#REF!</definedName>
    <definedName name="_6142">#REF!</definedName>
    <definedName name="_6145">#REF!</definedName>
    <definedName name="_6151">#REF!</definedName>
    <definedName name="_6154">#REF!</definedName>
    <definedName name="_616">#REF!</definedName>
    <definedName name="_6160">#REF!</definedName>
    <definedName name="_6163">#REF!</definedName>
    <definedName name="_6169">#REF!</definedName>
    <definedName name="_6172">#REF!</definedName>
    <definedName name="_6178">#REF!</definedName>
    <definedName name="_6181">#REF!</definedName>
    <definedName name="_6187">#REF!</definedName>
    <definedName name="_619">#REF!</definedName>
    <definedName name="_6190">#REF!</definedName>
    <definedName name="_6196">#REF!</definedName>
    <definedName name="_6199">#REF!</definedName>
    <definedName name="_6205">#REF!</definedName>
    <definedName name="_6208">#REF!</definedName>
    <definedName name="_6214">#REF!</definedName>
    <definedName name="_6217">#REF!</definedName>
    <definedName name="_6223">#REF!</definedName>
    <definedName name="_6226">#REF!</definedName>
    <definedName name="_6232">#REF!</definedName>
    <definedName name="_6235">#REF!</definedName>
    <definedName name="_6241">#REF!</definedName>
    <definedName name="_6244">#REF!</definedName>
    <definedName name="_625">#REF!</definedName>
    <definedName name="_6250">#REF!</definedName>
    <definedName name="_6253">#REF!</definedName>
    <definedName name="_6259">#REF!</definedName>
    <definedName name="_6262">#REF!</definedName>
    <definedName name="_6268">#REF!</definedName>
    <definedName name="_6271">#REF!</definedName>
    <definedName name="_6277">#REF!</definedName>
    <definedName name="_628">#REF!</definedName>
    <definedName name="_6280">#REF!</definedName>
    <definedName name="_6286">#REF!</definedName>
    <definedName name="_6289">#REF!</definedName>
    <definedName name="_6295">#REF!</definedName>
    <definedName name="_6298">#REF!</definedName>
    <definedName name="_6304">#REF!</definedName>
    <definedName name="_6307">#REF!</definedName>
    <definedName name="_6313">#REF!</definedName>
    <definedName name="_6316">#REF!</definedName>
    <definedName name="_6322">#REF!</definedName>
    <definedName name="_6325">#REF!</definedName>
    <definedName name="_6331">#REF!</definedName>
    <definedName name="_6334">#REF!</definedName>
    <definedName name="_634">#REF!</definedName>
    <definedName name="_6340">#REF!</definedName>
    <definedName name="_6343">#REF!</definedName>
    <definedName name="_6349">#REF!</definedName>
    <definedName name="_6352">#REF!</definedName>
    <definedName name="_6358">#REF!</definedName>
    <definedName name="_6361">#REF!</definedName>
    <definedName name="_6367">#REF!</definedName>
    <definedName name="_637">#REF!</definedName>
    <definedName name="_6370">#REF!</definedName>
    <definedName name="_6376">#REF!</definedName>
    <definedName name="_6379">#REF!</definedName>
    <definedName name="_6385">#REF!</definedName>
    <definedName name="_6388">#REF!</definedName>
    <definedName name="_6394">#REF!</definedName>
    <definedName name="_6397">#REF!</definedName>
    <definedName name="_6403">#REF!</definedName>
    <definedName name="_6406">#REF!</definedName>
    <definedName name="_6412">#REF!</definedName>
    <definedName name="_6415">#REF!</definedName>
    <definedName name="_6421">#REF!</definedName>
    <definedName name="_6424">#REF!</definedName>
    <definedName name="_643">#REF!</definedName>
    <definedName name="_6430">#REF!</definedName>
    <definedName name="_6433">#REF!</definedName>
    <definedName name="_6439">#REF!</definedName>
    <definedName name="_644">#REF!</definedName>
    <definedName name="_6442">#REF!</definedName>
    <definedName name="_6448">#REF!</definedName>
    <definedName name="_6451">#REF!</definedName>
    <definedName name="_6457">#REF!</definedName>
    <definedName name="_646">#REF!</definedName>
    <definedName name="_6460">#REF!</definedName>
    <definedName name="_6466">#REF!</definedName>
    <definedName name="_6469">#REF!</definedName>
    <definedName name="_6475">#REF!</definedName>
    <definedName name="_6478">#REF!</definedName>
    <definedName name="_6484">#REF!</definedName>
    <definedName name="_6487">#REF!</definedName>
    <definedName name="_6493">#REF!</definedName>
    <definedName name="_6496">#REF!</definedName>
    <definedName name="_65">#REF!</definedName>
    <definedName name="_6502">#REF!</definedName>
    <definedName name="_6505">#REF!</definedName>
    <definedName name="_6511">#REF!</definedName>
    <definedName name="_6514">#REF!</definedName>
    <definedName name="_652">#REF!</definedName>
    <definedName name="_6520">#REF!</definedName>
    <definedName name="_6523">#REF!</definedName>
    <definedName name="_6529">#REF!</definedName>
    <definedName name="_6532">#REF!</definedName>
    <definedName name="_6538">#REF!</definedName>
    <definedName name="_6541">#REF!</definedName>
    <definedName name="_6547">#REF!</definedName>
    <definedName name="_655">#REF!</definedName>
    <definedName name="_6550">#REF!</definedName>
    <definedName name="_6556">#REF!</definedName>
    <definedName name="_6559">#REF!</definedName>
    <definedName name="_6565">#REF!</definedName>
    <definedName name="_6568">#REF!</definedName>
    <definedName name="_6574">#REF!</definedName>
    <definedName name="_6577">#REF!</definedName>
    <definedName name="_6583">#REF!</definedName>
    <definedName name="_6586">#REF!</definedName>
    <definedName name="_6592">#REF!</definedName>
    <definedName name="_6595">#REF!</definedName>
    <definedName name="_6601">#REF!</definedName>
    <definedName name="_6604">#REF!</definedName>
    <definedName name="_661">#REF!</definedName>
    <definedName name="_6610">#REF!</definedName>
    <definedName name="_6613">#REF!</definedName>
    <definedName name="_6619">#REF!</definedName>
    <definedName name="_6622">#REF!</definedName>
    <definedName name="_6628">#REF!</definedName>
    <definedName name="_6631">#REF!</definedName>
    <definedName name="_6637">#REF!</definedName>
    <definedName name="_664">#REF!</definedName>
    <definedName name="_6640">#REF!</definedName>
    <definedName name="_6646">#REF!</definedName>
    <definedName name="_6649">#REF!</definedName>
    <definedName name="_6655">#REF!</definedName>
    <definedName name="_6658">#REF!</definedName>
    <definedName name="_6664">#REF!</definedName>
    <definedName name="_6667">#REF!</definedName>
    <definedName name="_6673">#REF!</definedName>
    <definedName name="_6676">#REF!</definedName>
    <definedName name="_6682">#REF!</definedName>
    <definedName name="_6685">#REF!</definedName>
    <definedName name="_6691">#REF!</definedName>
    <definedName name="_6694">#REF!</definedName>
    <definedName name="_67">#REF!</definedName>
    <definedName name="_670">#REF!</definedName>
    <definedName name="_6700">#REF!</definedName>
    <definedName name="_6703">#REF!</definedName>
    <definedName name="_6709">#REF!</definedName>
    <definedName name="_6712">#REF!</definedName>
    <definedName name="_6718">#REF!</definedName>
    <definedName name="_6721">#REF!</definedName>
    <definedName name="_6727">#REF!</definedName>
    <definedName name="_673">#REF!</definedName>
    <definedName name="_6730">#REF!</definedName>
    <definedName name="_6736">#REF!</definedName>
    <definedName name="_6739">#REF!</definedName>
    <definedName name="_6745">#REF!</definedName>
    <definedName name="_6748">#REF!</definedName>
    <definedName name="_6754">#REF!</definedName>
    <definedName name="_6757">#REF!</definedName>
    <definedName name="_6763">#REF!</definedName>
    <definedName name="_6766">#REF!</definedName>
    <definedName name="_6772">#REF!</definedName>
    <definedName name="_6775">#REF!</definedName>
    <definedName name="_6781">#REF!</definedName>
    <definedName name="_6784">#REF!</definedName>
    <definedName name="_679">#REF!</definedName>
    <definedName name="_6790">#REF!</definedName>
    <definedName name="_6793">#REF!</definedName>
    <definedName name="_6799">#REF!</definedName>
    <definedName name="_6802">#REF!</definedName>
    <definedName name="_6808">#REF!</definedName>
    <definedName name="_6811">#REF!</definedName>
    <definedName name="_6817">#REF!</definedName>
    <definedName name="_682">#REF!</definedName>
    <definedName name="_6820">#REF!</definedName>
    <definedName name="_6826">#REF!</definedName>
    <definedName name="_6829">#REF!</definedName>
    <definedName name="_6835">#REF!</definedName>
    <definedName name="_6838">#REF!</definedName>
    <definedName name="_6844">#REF!</definedName>
    <definedName name="_6847">#REF!</definedName>
    <definedName name="_6853">#REF!</definedName>
    <definedName name="_6856">#REF!</definedName>
    <definedName name="_6862">#REF!</definedName>
    <definedName name="_6865">#REF!</definedName>
    <definedName name="_6871">#REF!</definedName>
    <definedName name="_6874">#REF!</definedName>
    <definedName name="_688">#REF!</definedName>
    <definedName name="_6880">#REF!</definedName>
    <definedName name="_6883">#REF!</definedName>
    <definedName name="_6889">#REF!</definedName>
    <definedName name="_6892">#REF!</definedName>
    <definedName name="_6898">#REF!</definedName>
    <definedName name="_6901">#REF!</definedName>
    <definedName name="_6907">#REF!</definedName>
    <definedName name="_691">#REF!</definedName>
    <definedName name="_6910">#REF!</definedName>
    <definedName name="_6916">#REF!</definedName>
    <definedName name="_6919">#REF!</definedName>
    <definedName name="_6925">#REF!</definedName>
    <definedName name="_6928">#REF!</definedName>
    <definedName name="_6934">#REF!</definedName>
    <definedName name="_6937">#REF!</definedName>
    <definedName name="_6943">#REF!</definedName>
    <definedName name="_6946">#REF!</definedName>
    <definedName name="_6952">#REF!</definedName>
    <definedName name="_6955">#REF!</definedName>
    <definedName name="_6961">#REF!</definedName>
    <definedName name="_6964">#REF!</definedName>
    <definedName name="_697">#REF!</definedName>
    <definedName name="_6970">#REF!</definedName>
    <definedName name="_6973">#REF!</definedName>
    <definedName name="_6979">#REF!</definedName>
    <definedName name="_6982">#REF!</definedName>
    <definedName name="_6988">#REF!</definedName>
    <definedName name="_6991">#REF!</definedName>
    <definedName name="_6997">#REF!</definedName>
    <definedName name="_70">#REF!</definedName>
    <definedName name="_700">#REF!</definedName>
    <definedName name="_7000">#REF!</definedName>
    <definedName name="_7006">#REF!</definedName>
    <definedName name="_7009">#REF!</definedName>
    <definedName name="_7015">#REF!</definedName>
    <definedName name="_7018">#REF!</definedName>
    <definedName name="_7024">#REF!</definedName>
    <definedName name="_7027">#REF!</definedName>
    <definedName name="_7033">#REF!</definedName>
    <definedName name="_7036">#REF!</definedName>
    <definedName name="_7042">#REF!</definedName>
    <definedName name="_7045">#REF!</definedName>
    <definedName name="_7051">#REF!</definedName>
    <definedName name="_7054">#REF!</definedName>
    <definedName name="_706">#REF!</definedName>
    <definedName name="_7060">#REF!</definedName>
    <definedName name="_7063">#REF!</definedName>
    <definedName name="_7069">#REF!</definedName>
    <definedName name="_7072">#REF!</definedName>
    <definedName name="_7078">#REF!</definedName>
    <definedName name="_7081">#REF!</definedName>
    <definedName name="_7087">#REF!</definedName>
    <definedName name="_709">#REF!</definedName>
    <definedName name="_7090">#REF!</definedName>
    <definedName name="_7096">#REF!</definedName>
    <definedName name="_7099">#REF!</definedName>
    <definedName name="_7105">#REF!</definedName>
    <definedName name="_7108">#REF!</definedName>
    <definedName name="_7114">#REF!</definedName>
    <definedName name="_7117">#REF!</definedName>
    <definedName name="_7123">#REF!</definedName>
    <definedName name="_7126">#REF!</definedName>
    <definedName name="_7132">#REF!</definedName>
    <definedName name="_7135">#REF!</definedName>
    <definedName name="_7141">#REF!</definedName>
    <definedName name="_7144">#REF!</definedName>
    <definedName name="_715">#REF!</definedName>
    <definedName name="_7150">#REF!</definedName>
    <definedName name="_7153">#REF!</definedName>
    <definedName name="_7159">#REF!</definedName>
    <definedName name="_7162">#REF!</definedName>
    <definedName name="_7168">#REF!</definedName>
    <definedName name="_7171">#REF!</definedName>
    <definedName name="_7177">#REF!</definedName>
    <definedName name="_718">#REF!</definedName>
    <definedName name="_7180">#REF!</definedName>
    <definedName name="_7186">#REF!</definedName>
    <definedName name="_7189">#REF!</definedName>
    <definedName name="_7195">#REF!</definedName>
    <definedName name="_7198">#REF!</definedName>
    <definedName name="_7204">#REF!</definedName>
    <definedName name="_7207">#REF!</definedName>
    <definedName name="_7213">#REF!</definedName>
    <definedName name="_7216">#REF!</definedName>
    <definedName name="_7222">#REF!</definedName>
    <definedName name="_7225">#REF!</definedName>
    <definedName name="_7231">#REF!</definedName>
    <definedName name="_7234">#REF!</definedName>
    <definedName name="_724">#REF!</definedName>
    <definedName name="_7240">#REF!</definedName>
    <definedName name="_7243">#REF!</definedName>
    <definedName name="_7249">#REF!</definedName>
    <definedName name="_7252">#REF!</definedName>
    <definedName name="_7258">#REF!</definedName>
    <definedName name="_7261">#REF!</definedName>
    <definedName name="_7267">#REF!</definedName>
    <definedName name="_727">#REF!</definedName>
    <definedName name="_7270">#REF!</definedName>
    <definedName name="_7276">#REF!</definedName>
    <definedName name="_7279">#REF!</definedName>
    <definedName name="_7285">#REF!</definedName>
    <definedName name="_7288">#REF!</definedName>
    <definedName name="_7294">#REF!</definedName>
    <definedName name="_7297">#REF!</definedName>
    <definedName name="_7303">#REF!</definedName>
    <definedName name="_7306">#REF!</definedName>
    <definedName name="_7312">#REF!</definedName>
    <definedName name="_7315">#REF!</definedName>
    <definedName name="_7321">#REF!</definedName>
    <definedName name="_7324">#REF!</definedName>
    <definedName name="_733">#REF!</definedName>
    <definedName name="_7330">#REF!</definedName>
    <definedName name="_7333">#REF!</definedName>
    <definedName name="_7339">#REF!</definedName>
    <definedName name="_7342">#REF!</definedName>
    <definedName name="_7348">#REF!</definedName>
    <definedName name="_7351">#REF!</definedName>
    <definedName name="_7357">#REF!</definedName>
    <definedName name="_736">#REF!</definedName>
    <definedName name="_7360">#REF!</definedName>
    <definedName name="_7366">#REF!</definedName>
    <definedName name="_7369">#REF!</definedName>
    <definedName name="_7375">#REF!</definedName>
    <definedName name="_7378">#REF!</definedName>
    <definedName name="_7384">#REF!</definedName>
    <definedName name="_7387">#REF!</definedName>
    <definedName name="_7393">#REF!</definedName>
    <definedName name="_7396">#REF!</definedName>
    <definedName name="_7402">#REF!</definedName>
    <definedName name="_7405">#REF!</definedName>
    <definedName name="_7411">#REF!</definedName>
    <definedName name="_7414">#REF!</definedName>
    <definedName name="_742">#REF!</definedName>
    <definedName name="_7420">#REF!</definedName>
    <definedName name="_7423">#REF!</definedName>
    <definedName name="_7429">#REF!</definedName>
    <definedName name="_7432">#REF!</definedName>
    <definedName name="_7438">#REF!</definedName>
    <definedName name="_7441">#REF!</definedName>
    <definedName name="_7447">#REF!</definedName>
    <definedName name="_745">#REF!</definedName>
    <definedName name="_7450">#REF!</definedName>
    <definedName name="_7456">#REF!</definedName>
    <definedName name="_7459">#REF!</definedName>
    <definedName name="_7465">#REF!</definedName>
    <definedName name="_7468">#REF!</definedName>
    <definedName name="_7474">#REF!</definedName>
    <definedName name="_7477">#REF!</definedName>
    <definedName name="_7483">#REF!</definedName>
    <definedName name="_7486">#REF!</definedName>
    <definedName name="_7492">#REF!</definedName>
    <definedName name="_7495">#REF!</definedName>
    <definedName name="_7501">#REF!</definedName>
    <definedName name="_7504">#REF!</definedName>
    <definedName name="_751">#REF!</definedName>
    <definedName name="_7510">#REF!</definedName>
    <definedName name="_7513">#REF!</definedName>
    <definedName name="_7519">#REF!</definedName>
    <definedName name="_7522">#REF!</definedName>
    <definedName name="_7528">#REF!</definedName>
    <definedName name="_7531">#REF!</definedName>
    <definedName name="_7537">#REF!</definedName>
    <definedName name="_754">#REF!</definedName>
    <definedName name="_7540">#REF!</definedName>
    <definedName name="_7546">#REF!</definedName>
    <definedName name="_7549">#REF!</definedName>
    <definedName name="_7555">#REF!</definedName>
    <definedName name="_7558">#REF!</definedName>
    <definedName name="_7564">#REF!</definedName>
    <definedName name="_7567">#REF!</definedName>
    <definedName name="_7573">#REF!</definedName>
    <definedName name="_7576">#REF!</definedName>
    <definedName name="_7582">#REF!</definedName>
    <definedName name="_7585">#REF!</definedName>
    <definedName name="_7591">#REF!</definedName>
    <definedName name="_7594">#REF!</definedName>
    <definedName name="_76">#REF!</definedName>
    <definedName name="_760">#REF!</definedName>
    <definedName name="_7600">#REF!</definedName>
    <definedName name="_7603">#REF!</definedName>
    <definedName name="_7609">#REF!</definedName>
    <definedName name="_7612">#REF!</definedName>
    <definedName name="_7618">#REF!</definedName>
    <definedName name="_7621">#REF!</definedName>
    <definedName name="_7627">#REF!</definedName>
    <definedName name="_763">#REF!</definedName>
    <definedName name="_7630">#REF!</definedName>
    <definedName name="_7636">#REF!</definedName>
    <definedName name="_7639">#REF!</definedName>
    <definedName name="_7645">#REF!</definedName>
    <definedName name="_7648">#REF!</definedName>
    <definedName name="_7654">#REF!</definedName>
    <definedName name="_7657">#REF!</definedName>
    <definedName name="_7663">#REF!</definedName>
    <definedName name="_7666">#REF!</definedName>
    <definedName name="_7672">#REF!</definedName>
    <definedName name="_7675">#REF!</definedName>
    <definedName name="_7681">#REF!</definedName>
    <definedName name="_7684">#REF!</definedName>
    <definedName name="_769">#REF!</definedName>
    <definedName name="_7690">#REF!</definedName>
    <definedName name="_7693">#REF!</definedName>
    <definedName name="_7699">#REF!</definedName>
    <definedName name="_7702">#REF!</definedName>
    <definedName name="_7708">#REF!</definedName>
    <definedName name="_7711">#REF!</definedName>
    <definedName name="_7717">#REF!</definedName>
    <definedName name="_772">#REF!</definedName>
    <definedName name="_7720">#REF!</definedName>
    <definedName name="_7726">#REF!</definedName>
    <definedName name="_7729">#REF!</definedName>
    <definedName name="_7735">#REF!</definedName>
    <definedName name="_7738">#REF!</definedName>
    <definedName name="_7744">#REF!</definedName>
    <definedName name="_7747">#REF!</definedName>
    <definedName name="_7753">#REF!</definedName>
    <definedName name="_7756">#REF!</definedName>
    <definedName name="_7762">#REF!</definedName>
    <definedName name="_7765">#REF!</definedName>
    <definedName name="_7771">#REF!</definedName>
    <definedName name="_7774">#REF!</definedName>
    <definedName name="_778">#REF!</definedName>
    <definedName name="_7780">#REF!</definedName>
    <definedName name="_7783">#REF!</definedName>
    <definedName name="_7789">#REF!</definedName>
    <definedName name="_7792">#REF!</definedName>
    <definedName name="_7798">#REF!</definedName>
    <definedName name="_7801">#REF!</definedName>
    <definedName name="_7807">#REF!</definedName>
    <definedName name="_781">#REF!</definedName>
    <definedName name="_7810">#REF!</definedName>
    <definedName name="_7816">#REF!</definedName>
    <definedName name="_7819">#REF!</definedName>
    <definedName name="_7825">#REF!</definedName>
    <definedName name="_7828">#REF!</definedName>
    <definedName name="_7834">#REF!</definedName>
    <definedName name="_7837">#REF!</definedName>
    <definedName name="_7843">#REF!</definedName>
    <definedName name="_7846">#REF!</definedName>
    <definedName name="_7852">#REF!</definedName>
    <definedName name="_7855">#REF!</definedName>
    <definedName name="_7861">#REF!</definedName>
    <definedName name="_7864">#REF!</definedName>
    <definedName name="_787">#REF!</definedName>
    <definedName name="_7870">#REF!</definedName>
    <definedName name="_7873">#REF!</definedName>
    <definedName name="_7879">#REF!</definedName>
    <definedName name="_7882">#REF!</definedName>
    <definedName name="_7888">#REF!</definedName>
    <definedName name="_7891">#REF!</definedName>
    <definedName name="_7897">#REF!</definedName>
    <definedName name="_79">#REF!</definedName>
    <definedName name="_790">#REF!</definedName>
    <definedName name="_7900">#REF!</definedName>
    <definedName name="_7906">#REF!</definedName>
    <definedName name="_7909">#REF!</definedName>
    <definedName name="_7915">#REF!</definedName>
    <definedName name="_7918">#REF!</definedName>
    <definedName name="_7924">#REF!</definedName>
    <definedName name="_7927">#REF!</definedName>
    <definedName name="_7933">#REF!</definedName>
    <definedName name="_7936">#REF!</definedName>
    <definedName name="_7942">#REF!</definedName>
    <definedName name="_7945">#REF!</definedName>
    <definedName name="_7951">#REF!</definedName>
    <definedName name="_7954">#REF!</definedName>
    <definedName name="_796">#REF!</definedName>
    <definedName name="_7960">#REF!</definedName>
    <definedName name="_7963">#REF!</definedName>
    <definedName name="_7969">#REF!</definedName>
    <definedName name="_7972">#REF!</definedName>
    <definedName name="_7978">#REF!</definedName>
    <definedName name="_7981">#REF!</definedName>
    <definedName name="_7987">#REF!</definedName>
    <definedName name="_799">#REF!</definedName>
    <definedName name="_7990">#REF!</definedName>
    <definedName name="_7996">#REF!</definedName>
    <definedName name="_7999">#REF!</definedName>
    <definedName name="_8005">#REF!</definedName>
    <definedName name="_8008">#REF!</definedName>
    <definedName name="_8014">#REF!</definedName>
    <definedName name="_8017">#REF!</definedName>
    <definedName name="_8023">#REF!</definedName>
    <definedName name="_8026">#REF!</definedName>
    <definedName name="_8032">#REF!</definedName>
    <definedName name="_8035">#REF!</definedName>
    <definedName name="_8041">#REF!</definedName>
    <definedName name="_8044">#REF!</definedName>
    <definedName name="_805">#REF!</definedName>
    <definedName name="_8050">#REF!</definedName>
    <definedName name="_8053">#REF!</definedName>
    <definedName name="_8059">#REF!</definedName>
    <definedName name="_8062">#REF!</definedName>
    <definedName name="_8068">#REF!</definedName>
    <definedName name="_8071">#REF!</definedName>
    <definedName name="_8077">#REF!</definedName>
    <definedName name="_808">#REF!</definedName>
    <definedName name="_8080">#REF!</definedName>
    <definedName name="_8086">#REF!</definedName>
    <definedName name="_8089">#REF!</definedName>
    <definedName name="_8095">#REF!</definedName>
    <definedName name="_8098">#REF!</definedName>
    <definedName name="_8104">#REF!</definedName>
    <definedName name="_8107">#REF!</definedName>
    <definedName name="_8113">#REF!</definedName>
    <definedName name="_8116">#REF!</definedName>
    <definedName name="_8122">#REF!</definedName>
    <definedName name="_8125">#REF!</definedName>
    <definedName name="_8131">#REF!</definedName>
    <definedName name="_8134">#REF!</definedName>
    <definedName name="_814">#REF!</definedName>
    <definedName name="_8140">#REF!</definedName>
    <definedName name="_8143">#REF!</definedName>
    <definedName name="_8149">#REF!</definedName>
    <definedName name="_8152">#REF!</definedName>
    <definedName name="_8158">#REF!</definedName>
    <definedName name="_8161">#REF!</definedName>
    <definedName name="_8167">#REF!</definedName>
    <definedName name="_817">#REF!</definedName>
    <definedName name="_8170">#REF!</definedName>
    <definedName name="_8176">#REF!</definedName>
    <definedName name="_8179">#REF!</definedName>
    <definedName name="_8185">#REF!</definedName>
    <definedName name="_8188">#REF!</definedName>
    <definedName name="_8194">#REF!</definedName>
    <definedName name="_8197">#REF!</definedName>
    <definedName name="_8203">#REF!</definedName>
    <definedName name="_8206">#REF!</definedName>
    <definedName name="_8212">#REF!</definedName>
    <definedName name="_8215">#REF!</definedName>
    <definedName name="_8221">#REF!</definedName>
    <definedName name="_8224">#REF!</definedName>
    <definedName name="_823">#REF!</definedName>
    <definedName name="_8230">#REF!</definedName>
    <definedName name="_8233">#REF!</definedName>
    <definedName name="_8239">#REF!</definedName>
    <definedName name="_8242">#REF!</definedName>
    <definedName name="_8248">#REF!</definedName>
    <definedName name="_8251">#REF!</definedName>
    <definedName name="_8257">#REF!</definedName>
    <definedName name="_826">#REF!</definedName>
    <definedName name="_8260">#REF!</definedName>
    <definedName name="_8266">#REF!</definedName>
    <definedName name="_8269">#REF!</definedName>
    <definedName name="_8275">#REF!</definedName>
    <definedName name="_8278">#REF!</definedName>
    <definedName name="_8284">#REF!</definedName>
    <definedName name="_8287">#REF!</definedName>
    <definedName name="_8293">#REF!</definedName>
    <definedName name="_8296">#REF!</definedName>
    <definedName name="_8302">#REF!</definedName>
    <definedName name="_8305">#REF!</definedName>
    <definedName name="_8311">#REF!</definedName>
    <definedName name="_8314">#REF!</definedName>
    <definedName name="_832">#REF!</definedName>
    <definedName name="_8320">#REF!</definedName>
    <definedName name="_8323">#REF!</definedName>
    <definedName name="_8329">#REF!</definedName>
    <definedName name="_8332">#REF!</definedName>
    <definedName name="_8338">#REF!</definedName>
    <definedName name="_8341">#REF!</definedName>
    <definedName name="_8347">#REF!</definedName>
    <definedName name="_835">#REF!</definedName>
    <definedName name="_8350">#REF!</definedName>
    <definedName name="_8356">#REF!</definedName>
    <definedName name="_8359">#REF!</definedName>
    <definedName name="_8365">#REF!</definedName>
    <definedName name="_8368">#REF!</definedName>
    <definedName name="_8374">#REF!</definedName>
    <definedName name="_8377">#REF!</definedName>
    <definedName name="_8383">#REF!</definedName>
    <definedName name="_8386">#REF!</definedName>
    <definedName name="_8392">#REF!</definedName>
    <definedName name="_8395">#REF!</definedName>
    <definedName name="_8401">#REF!</definedName>
    <definedName name="_8404">#REF!</definedName>
    <definedName name="_841">#REF!</definedName>
    <definedName name="_8410">#REF!</definedName>
    <definedName name="_8413">#REF!</definedName>
    <definedName name="_8419">#REF!</definedName>
    <definedName name="_8422">#REF!</definedName>
    <definedName name="_8428">#REF!</definedName>
    <definedName name="_8431">#REF!</definedName>
    <definedName name="_8437">#REF!</definedName>
    <definedName name="_844">#REF!</definedName>
    <definedName name="_8440">#REF!</definedName>
    <definedName name="_8446">#REF!</definedName>
    <definedName name="_8449">#REF!</definedName>
    <definedName name="_8455">#REF!</definedName>
    <definedName name="_8458">#REF!</definedName>
    <definedName name="_8464">#REF!</definedName>
    <definedName name="_8467">#REF!</definedName>
    <definedName name="_8473">#REF!</definedName>
    <definedName name="_8476">#REF!</definedName>
    <definedName name="_8482">#REF!</definedName>
    <definedName name="_8485">#REF!</definedName>
    <definedName name="_8491">#REF!</definedName>
    <definedName name="_8494">#REF!</definedName>
    <definedName name="_85">#REF!</definedName>
    <definedName name="_850">#REF!</definedName>
    <definedName name="_8500">#REF!</definedName>
    <definedName name="_8503">#REF!</definedName>
    <definedName name="_8509">#REF!</definedName>
    <definedName name="_8512">#REF!</definedName>
    <definedName name="_8518">#REF!</definedName>
    <definedName name="_8521">#REF!</definedName>
    <definedName name="_8527">#REF!</definedName>
    <definedName name="_853">#REF!</definedName>
    <definedName name="_8530">#REF!</definedName>
    <definedName name="_8536">#REF!</definedName>
    <definedName name="_8539">#REF!</definedName>
    <definedName name="_8545">#REF!</definedName>
    <definedName name="_8548">#REF!</definedName>
    <definedName name="_8554">#REF!</definedName>
    <definedName name="_8557">#REF!</definedName>
    <definedName name="_8563">#REF!</definedName>
    <definedName name="_8566">#REF!</definedName>
    <definedName name="_8572">#REF!</definedName>
    <definedName name="_8575">#REF!</definedName>
    <definedName name="_8581">#REF!</definedName>
    <definedName name="_8584">#REF!</definedName>
    <definedName name="_859">#REF!</definedName>
    <definedName name="_8590">#REF!</definedName>
    <definedName name="_8593">#REF!</definedName>
    <definedName name="_8599">#REF!</definedName>
    <definedName name="_8602">#REF!</definedName>
    <definedName name="_8608">#REF!</definedName>
    <definedName name="_8611">#REF!</definedName>
    <definedName name="_8617">#REF!</definedName>
    <definedName name="_862">#REF!</definedName>
    <definedName name="_8620">#REF!</definedName>
    <definedName name="_8626">#REF!</definedName>
    <definedName name="_8629">#REF!</definedName>
    <definedName name="_8635">#REF!</definedName>
    <definedName name="_8638">#REF!</definedName>
    <definedName name="_8644">#REF!</definedName>
    <definedName name="_8647">#REF!</definedName>
    <definedName name="_8653">#REF!</definedName>
    <definedName name="_8656">#REF!</definedName>
    <definedName name="_8662">#REF!</definedName>
    <definedName name="_8665">#REF!</definedName>
    <definedName name="_8671">#REF!</definedName>
    <definedName name="_8674">#REF!</definedName>
    <definedName name="_868">#REF!</definedName>
    <definedName name="_8680">#REF!</definedName>
    <definedName name="_8683">#REF!</definedName>
    <definedName name="_8689">#REF!</definedName>
    <definedName name="_8692">#REF!</definedName>
    <definedName name="_8698">#REF!</definedName>
    <definedName name="_8701">#REF!</definedName>
    <definedName name="_8707">#REF!</definedName>
    <definedName name="_871">#REF!</definedName>
    <definedName name="_8710">#REF!</definedName>
    <definedName name="_8716">#REF!</definedName>
    <definedName name="_8719">#REF!</definedName>
    <definedName name="_8725">#REF!</definedName>
    <definedName name="_8728">#REF!</definedName>
    <definedName name="_8734">#REF!</definedName>
    <definedName name="_8737">#REF!</definedName>
    <definedName name="_8743">#REF!</definedName>
    <definedName name="_8746">#REF!</definedName>
    <definedName name="_8752">#REF!</definedName>
    <definedName name="_8755">#REF!</definedName>
    <definedName name="_8761">#REF!</definedName>
    <definedName name="_8764">#REF!</definedName>
    <definedName name="_877">#REF!</definedName>
    <definedName name="_8770">#REF!</definedName>
    <definedName name="_8773">#REF!</definedName>
    <definedName name="_8779">#REF!</definedName>
    <definedName name="_8782">#REF!</definedName>
    <definedName name="_8788">#REF!</definedName>
    <definedName name="_8791">#REF!</definedName>
    <definedName name="_8797">#REF!</definedName>
    <definedName name="_88">#REF!</definedName>
    <definedName name="_880">#REF!</definedName>
    <definedName name="_8800">#REF!</definedName>
    <definedName name="_8806">#REF!</definedName>
    <definedName name="_8809">#REF!</definedName>
    <definedName name="_8815">#REF!</definedName>
    <definedName name="_8818">#REF!</definedName>
    <definedName name="_8824">#REF!</definedName>
    <definedName name="_8827">#REF!</definedName>
    <definedName name="_8833">#REF!</definedName>
    <definedName name="_8836">#REF!</definedName>
    <definedName name="_8842">#REF!</definedName>
    <definedName name="_8845">#REF!</definedName>
    <definedName name="_8851">#REF!</definedName>
    <definedName name="_8854">#REF!</definedName>
    <definedName name="_886">#REF!</definedName>
    <definedName name="_8860">#REF!</definedName>
    <definedName name="_8863">#REF!</definedName>
    <definedName name="_8869">#REF!</definedName>
    <definedName name="_8872">#REF!</definedName>
    <definedName name="_8878">#REF!</definedName>
    <definedName name="_8881">#REF!</definedName>
    <definedName name="_8887">#REF!</definedName>
    <definedName name="_889">#REF!</definedName>
    <definedName name="_8890">#REF!</definedName>
    <definedName name="_8896">#REF!</definedName>
    <definedName name="_8899">#REF!</definedName>
    <definedName name="_8905">#REF!</definedName>
    <definedName name="_8908">#REF!</definedName>
    <definedName name="_8914">#REF!</definedName>
    <definedName name="_8917">#REF!</definedName>
    <definedName name="_8923">#REF!</definedName>
    <definedName name="_8926">#REF!</definedName>
    <definedName name="_8932">#REF!</definedName>
    <definedName name="_8935">#REF!</definedName>
    <definedName name="_8941">#REF!</definedName>
    <definedName name="_8944">#REF!</definedName>
    <definedName name="_895">#REF!</definedName>
    <definedName name="_8950">#REF!</definedName>
    <definedName name="_8953">#REF!</definedName>
    <definedName name="_8959">#REF!</definedName>
    <definedName name="_8962">#REF!</definedName>
    <definedName name="_8968">#REF!</definedName>
    <definedName name="_8971">#REF!</definedName>
    <definedName name="_8977">#REF!</definedName>
    <definedName name="_898">#REF!</definedName>
    <definedName name="_8980">#REF!</definedName>
    <definedName name="_8986">#REF!</definedName>
    <definedName name="_8989">#REF!</definedName>
    <definedName name="_8995">#REF!</definedName>
    <definedName name="_8998">#REF!</definedName>
    <definedName name="_9004">#REF!</definedName>
    <definedName name="_9007">#REF!</definedName>
    <definedName name="_9013">#REF!</definedName>
    <definedName name="_9016">#REF!</definedName>
    <definedName name="_9022">#REF!</definedName>
    <definedName name="_9025">#REF!</definedName>
    <definedName name="_9031">#REF!</definedName>
    <definedName name="_9034">#REF!</definedName>
    <definedName name="_904">#REF!</definedName>
    <definedName name="_9040">#REF!</definedName>
    <definedName name="_9043">#REF!</definedName>
    <definedName name="_9049">#REF!</definedName>
    <definedName name="_9052">#REF!</definedName>
    <definedName name="_9058">#REF!</definedName>
    <definedName name="_9061">#REF!</definedName>
    <definedName name="_9067">#REF!</definedName>
    <definedName name="_907">#REF!</definedName>
    <definedName name="_9070">#REF!</definedName>
    <definedName name="_9076">#REF!</definedName>
    <definedName name="_9079">#REF!</definedName>
    <definedName name="_9085">#REF!</definedName>
    <definedName name="_9088">#REF!</definedName>
    <definedName name="_9094">#REF!</definedName>
    <definedName name="_9097">#REF!</definedName>
    <definedName name="_9103">#REF!</definedName>
    <definedName name="_9106">#REF!</definedName>
    <definedName name="_9112">#REF!</definedName>
    <definedName name="_9115">#REF!</definedName>
    <definedName name="_9121">#REF!</definedName>
    <definedName name="_9124">#REF!</definedName>
    <definedName name="_913">#REF!</definedName>
    <definedName name="_9130">#REF!</definedName>
    <definedName name="_9133">#REF!</definedName>
    <definedName name="_9139">#REF!</definedName>
    <definedName name="_9142">#REF!</definedName>
    <definedName name="_9148">#REF!</definedName>
    <definedName name="_9151">#REF!</definedName>
    <definedName name="_9157">#REF!</definedName>
    <definedName name="_916">#REF!</definedName>
    <definedName name="_9160">#REF!</definedName>
    <definedName name="_9166">#REF!</definedName>
    <definedName name="_9169">#REF!</definedName>
    <definedName name="_9175">#REF!</definedName>
    <definedName name="_9178">#REF!</definedName>
    <definedName name="_9184">#REF!</definedName>
    <definedName name="_9187">#REF!</definedName>
    <definedName name="_9193">#REF!</definedName>
    <definedName name="_9196">#REF!</definedName>
    <definedName name="_9202">#REF!</definedName>
    <definedName name="_9205">#REF!</definedName>
    <definedName name="_9211">#REF!</definedName>
    <definedName name="_9214">#REF!</definedName>
    <definedName name="_922">#REF!</definedName>
    <definedName name="_9220">#REF!</definedName>
    <definedName name="_9223">#REF!</definedName>
    <definedName name="_9229">#REF!</definedName>
    <definedName name="_9232">#REF!</definedName>
    <definedName name="_9238">#REF!</definedName>
    <definedName name="_9241">#REF!</definedName>
    <definedName name="_9247">#REF!</definedName>
    <definedName name="_925">#REF!</definedName>
    <definedName name="_9250">#REF!</definedName>
    <definedName name="_9256">#REF!</definedName>
    <definedName name="_9259">#REF!</definedName>
    <definedName name="_9265">#REF!</definedName>
    <definedName name="_9268">#REF!</definedName>
    <definedName name="_9274">#REF!</definedName>
    <definedName name="_9277">#REF!</definedName>
    <definedName name="_9283">#REF!</definedName>
    <definedName name="_9286">#REF!</definedName>
    <definedName name="_9292">#REF!</definedName>
    <definedName name="_9295">#REF!</definedName>
    <definedName name="_9301">#REF!</definedName>
    <definedName name="_9304">#REF!</definedName>
    <definedName name="_931">#REF!</definedName>
    <definedName name="_9310">#REF!</definedName>
    <definedName name="_9313">#REF!</definedName>
    <definedName name="_9319">#REF!</definedName>
    <definedName name="_9322">#REF!</definedName>
    <definedName name="_9328">#REF!</definedName>
    <definedName name="_9331">#REF!</definedName>
    <definedName name="_9337">#REF!</definedName>
    <definedName name="_934">#REF!</definedName>
    <definedName name="_9340">#REF!</definedName>
    <definedName name="_9346">#REF!</definedName>
    <definedName name="_9349">#REF!</definedName>
    <definedName name="_9355">#REF!</definedName>
    <definedName name="_9358">#REF!</definedName>
    <definedName name="_9364">#REF!</definedName>
    <definedName name="_9367">#REF!</definedName>
    <definedName name="_9373">#REF!</definedName>
    <definedName name="_9376">#REF!</definedName>
    <definedName name="_9382">#REF!</definedName>
    <definedName name="_9385">#REF!</definedName>
    <definedName name="_9391">#REF!</definedName>
    <definedName name="_9394">#REF!</definedName>
    <definedName name="_94">#REF!</definedName>
    <definedName name="_940">#REF!</definedName>
    <definedName name="_9400">#REF!</definedName>
    <definedName name="_9403">#REF!</definedName>
    <definedName name="_9409">#REF!</definedName>
    <definedName name="_9412">#REF!</definedName>
    <definedName name="_9418">#REF!</definedName>
    <definedName name="_9421">#REF!</definedName>
    <definedName name="_9427">#REF!</definedName>
    <definedName name="_943">#REF!</definedName>
    <definedName name="_9430">#REF!</definedName>
    <definedName name="_9436">#REF!</definedName>
    <definedName name="_9439">#REF!</definedName>
    <definedName name="_9445">#REF!</definedName>
    <definedName name="_9448">#REF!</definedName>
    <definedName name="_9454">#REF!</definedName>
    <definedName name="_9457">#REF!</definedName>
    <definedName name="_9463">#REF!</definedName>
    <definedName name="_9466">#REF!</definedName>
    <definedName name="_9472">#REF!</definedName>
    <definedName name="_9475">#REF!</definedName>
    <definedName name="_9481">#REF!</definedName>
    <definedName name="_9484">#REF!</definedName>
    <definedName name="_949">#REF!</definedName>
    <definedName name="_9490">#REF!</definedName>
    <definedName name="_9493">#REF!</definedName>
    <definedName name="_9499">#REF!</definedName>
    <definedName name="_9502">#REF!</definedName>
    <definedName name="_9508">#REF!</definedName>
    <definedName name="_9511">#REF!</definedName>
    <definedName name="_9517">#REF!</definedName>
    <definedName name="_952">#REF!</definedName>
    <definedName name="_9520">#REF!</definedName>
    <definedName name="_9526">#REF!</definedName>
    <definedName name="_9529">#REF!</definedName>
    <definedName name="_9535">#REF!</definedName>
    <definedName name="_9538">#REF!</definedName>
    <definedName name="_9544">#REF!</definedName>
    <definedName name="_9547">#REF!</definedName>
    <definedName name="_9553">#REF!</definedName>
    <definedName name="_9556">#REF!</definedName>
    <definedName name="_9557">#REF!</definedName>
    <definedName name="_9562">#REF!</definedName>
    <definedName name="_9565">#REF!</definedName>
    <definedName name="_9571">#REF!</definedName>
    <definedName name="_9574">#REF!</definedName>
    <definedName name="_958">#REF!</definedName>
    <definedName name="_9580">#REF!</definedName>
    <definedName name="_9583">#REF!</definedName>
    <definedName name="_9589">#REF!</definedName>
    <definedName name="_9592">#REF!</definedName>
    <definedName name="_9598">#REF!</definedName>
    <definedName name="_9601">#REF!</definedName>
    <definedName name="_9607">#REF!</definedName>
    <definedName name="_961">#REF!</definedName>
    <definedName name="_9610">#REF!</definedName>
    <definedName name="_9616">#REF!</definedName>
    <definedName name="_9619">#REF!</definedName>
    <definedName name="_9625">#REF!</definedName>
    <definedName name="_9628">#REF!</definedName>
    <definedName name="_9634">#REF!</definedName>
    <definedName name="_9637">#REF!</definedName>
    <definedName name="_9643">#REF!</definedName>
    <definedName name="_9646">#REF!</definedName>
    <definedName name="_9652">#REF!</definedName>
    <definedName name="_9655">#REF!</definedName>
    <definedName name="_9661">#REF!</definedName>
    <definedName name="_9664">#REF!</definedName>
    <definedName name="_967">#REF!</definedName>
    <definedName name="_9670">#REF!</definedName>
    <definedName name="_9673">#REF!</definedName>
    <definedName name="_9679">#REF!</definedName>
    <definedName name="_9682">#REF!</definedName>
    <definedName name="_9688">#REF!</definedName>
    <definedName name="_9691">#REF!</definedName>
    <definedName name="_9697">#REF!</definedName>
    <definedName name="_97">#REF!</definedName>
    <definedName name="_970">#REF!</definedName>
    <definedName name="_9700">#REF!</definedName>
    <definedName name="_9706">#REF!</definedName>
    <definedName name="_9709">#REF!</definedName>
    <definedName name="_9715">#REF!</definedName>
    <definedName name="_9718">#REF!</definedName>
    <definedName name="_9724">#REF!</definedName>
    <definedName name="_9727">#REF!</definedName>
    <definedName name="_9733">#REF!</definedName>
    <definedName name="_9736">#REF!</definedName>
    <definedName name="_9742">#REF!</definedName>
    <definedName name="_9745">#REF!</definedName>
    <definedName name="_9751">#REF!</definedName>
    <definedName name="_9754">#REF!</definedName>
    <definedName name="_976">#REF!</definedName>
    <definedName name="_9760">#REF!</definedName>
    <definedName name="_9763">#REF!</definedName>
    <definedName name="_9769">#REF!</definedName>
    <definedName name="_9772">#REF!</definedName>
    <definedName name="_9778">#REF!</definedName>
    <definedName name="_9781">#REF!</definedName>
    <definedName name="_9787">#REF!</definedName>
    <definedName name="_979">#REF!</definedName>
    <definedName name="_9790">#REF!</definedName>
    <definedName name="_9796">#REF!</definedName>
    <definedName name="_9799">#REF!</definedName>
    <definedName name="_9805">#REF!</definedName>
    <definedName name="_9808">#REF!</definedName>
    <definedName name="_9814">#REF!</definedName>
    <definedName name="_9817">#REF!</definedName>
    <definedName name="_9823">#REF!</definedName>
    <definedName name="_9826">#REF!</definedName>
    <definedName name="_9832">#REF!</definedName>
    <definedName name="_9835">#REF!</definedName>
    <definedName name="_9841">#REF!</definedName>
    <definedName name="_9844">#REF!</definedName>
    <definedName name="_985">#REF!</definedName>
    <definedName name="_9850">#REF!</definedName>
    <definedName name="_9853">#REF!</definedName>
    <definedName name="_9859">#REF!</definedName>
    <definedName name="_9862">#REF!</definedName>
    <definedName name="_9868">#REF!</definedName>
    <definedName name="_9871">#REF!</definedName>
    <definedName name="_9877">#REF!</definedName>
    <definedName name="_988">#REF!</definedName>
    <definedName name="_9880">#REF!</definedName>
    <definedName name="_9886">#REF!</definedName>
    <definedName name="_9889">#REF!</definedName>
    <definedName name="_9895">#REF!</definedName>
    <definedName name="_9898">#REF!</definedName>
    <definedName name="_9904">#REF!</definedName>
    <definedName name="_9907">#REF!</definedName>
    <definedName name="_9913">#REF!</definedName>
    <definedName name="_9916">#REF!</definedName>
    <definedName name="_9922">#REF!</definedName>
    <definedName name="_9925">#REF!</definedName>
    <definedName name="_9931">#REF!</definedName>
    <definedName name="_9934">#REF!</definedName>
    <definedName name="_994">#REF!</definedName>
    <definedName name="_9940">#REF!</definedName>
    <definedName name="_9943">#REF!</definedName>
    <definedName name="_9949">#REF!</definedName>
    <definedName name="_9952">#REF!</definedName>
    <definedName name="_9958">#REF!</definedName>
    <definedName name="_9961">#REF!</definedName>
    <definedName name="_9967">#REF!</definedName>
    <definedName name="_997">#REF!</definedName>
    <definedName name="_9970">#REF!</definedName>
    <definedName name="_9976">#REF!</definedName>
    <definedName name="_9979">#REF!</definedName>
    <definedName name="_9985">#REF!</definedName>
    <definedName name="_9988">#REF!</definedName>
    <definedName name="_9994">#REF!</definedName>
    <definedName name="_9997">#REF!</definedName>
    <definedName name="_bed53">#REF!</definedName>
    <definedName name="_cav1">#REF!</definedName>
    <definedName name="_centreImpot">"CENTRE DES IMPOTS DE "</definedName>
    <definedName name="_CI2" localSheetId="1" hidden="1">{#N/A,#N/A,FALSE,"vtcshl92";#N/A,#N/A,FALSE,"vtcshl93";#N/A,#N/A,FALSE,"vtcshl94";#N/A,#N/A,FALSE,"vtcshl95";#N/A,#N/A,FALSE,"vtcshl96"}</definedName>
    <definedName name="_CI2" hidden="1">{#N/A,#N/A,FALSE,"vtcshl92";#N/A,#N/A,FALSE,"vtcshl93";#N/A,#N/A,FALSE,"vtcshl94";#N/A,#N/A,FALSE,"vtcshl95";#N/A,#N/A,FALSE,"vtcshl96"}</definedName>
    <definedName name="_COM2">#REF!</definedName>
    <definedName name="_dAn">" 2017"</definedName>
    <definedName name="_dDeb">" 01/01/2017"</definedName>
    <definedName name="_dFin">" 31/12/2017"</definedName>
    <definedName name="_DJI2">#REF!</definedName>
    <definedName name="_Duree">"Durée (en mois) 12"</definedName>
    <definedName name="_EAO2">#REF!</definedName>
    <definedName name="_EAR2">#REF!</definedName>
    <definedName name="_ees1" localSheetId="1" hidden="1">{#N/A,#N/A,FALSE,"Détail"}</definedName>
    <definedName name="_ees1" hidden="1">{#N/A,#N/A,FALSE,"Détail"}</definedName>
    <definedName name="_ees2" localSheetId="1" hidden="1">{#N/A,#N/A,FALSE,"Détail"}</definedName>
    <definedName name="_ees2" hidden="1">{#N/A,#N/A,FALSE,"Détail"}</definedName>
    <definedName name="_ETH2">#REF!</definedName>
    <definedName name="_ExerClos">"Exercice clos le 31/12/2017"</definedName>
    <definedName name="_ExerClot">"  31/12/2017"</definedName>
    <definedName name="_ExerFin">" 31/12/2017"</definedName>
    <definedName name="_ExerFin1">" 31/12/2016"</definedName>
    <definedName name="_insae">" "</definedName>
    <definedName name="_KE2">#REF!</definedName>
    <definedName name="_Key1" hidden="1">#REF!</definedName>
    <definedName name="_Key2" hidden="1">#REF!</definedName>
    <definedName name="_L">#REF!</definedName>
    <definedName name="_MAU2">#REF!</definedName>
    <definedName name="_MD2">#REF!</definedName>
    <definedName name="_Mois">12</definedName>
    <definedName name="_MS2">#REF!</definedName>
    <definedName name="_nbMois">12</definedName>
    <definedName name="_nCompletPays">"REPUBLIQUE DU BENIN"</definedName>
    <definedName name="_nSo">" "</definedName>
    <definedName name="_Order1" hidden="1">0</definedName>
    <definedName name="_Order2" hidden="1">0</definedName>
    <definedName name="_Pays">"REPUBLIQUE DU BENIN"</definedName>
    <definedName name="_R65555">#REF!</definedName>
    <definedName name="_RE2">#REF!</definedName>
    <definedName name="_regCom">" "</definedName>
    <definedName name="_SEY2">#REF!</definedName>
    <definedName name="_sigle">" "</definedName>
    <definedName name="_SM2">#REF!</definedName>
    <definedName name="_soAdr">" "</definedName>
    <definedName name="_soAg1">" "</definedName>
    <definedName name="_soAg2">" "</definedName>
    <definedName name="_SOCIETE">#REF!</definedName>
    <definedName name="_soId">" "</definedName>
    <definedName name="_SOM2">#REF!</definedName>
    <definedName name="_soNom">" "</definedName>
    <definedName name="_soNumFisc">" "</definedName>
    <definedName name="_Sort" hidden="1">#REF!</definedName>
    <definedName name="_soSigle">" "</definedName>
    <definedName name="_sTabExer">"Tableau financiers au 31/12/2017"</definedName>
    <definedName name="_tap2">#REF!</definedName>
    <definedName name="_tot1">#REF!</definedName>
    <definedName name="_tot2">#REF!</definedName>
    <definedName name="_TZ2">#REF!</definedName>
    <definedName name="_UG2">#REF!</definedName>
    <definedName name="_URGENCE">#REF!</definedName>
    <definedName name="_Ville">"CENTRE DES IMPÔTS DE COTONOU"</definedName>
    <definedName name="A">#REF!</definedName>
    <definedName name="aaa">#REF!</definedName>
    <definedName name="aaaaaa">#REF!</definedName>
    <definedName name="aaaaaaa">#REF!</definedName>
    <definedName name="ab">#REF!</definedName>
    <definedName name="AI">#REF!</definedName>
    <definedName name="AIRSI">#REF!</definedName>
    <definedName name="alcr">#REF!</definedName>
    <definedName name="AOUT">#REF!</definedName>
    <definedName name="AS">#REF!</definedName>
    <definedName name="AS2DocOpenMode" hidden="1">"AS2DocumentEdit"</definedName>
    <definedName name="AS2HasNoAutoHeaderFooter" hidden="1">" "</definedName>
    <definedName name="au_col">#REF!</definedName>
    <definedName name="AVRIL">#REF!</definedName>
    <definedName name="AVRL">#REF!</definedName>
    <definedName name="B">#REF!</definedName>
    <definedName name="B.G.">#REF!</definedName>
    <definedName name="_xlnm.Database">#REF!</definedName>
    <definedName name="bb">#REF!</definedName>
    <definedName name="BDTED">#REF!</definedName>
    <definedName name="Beg_Bal">#REF!</definedName>
    <definedName name="BFESQ">#REF!</definedName>
    <definedName name="BGFC">#REF!</definedName>
    <definedName name="BI">#REF!</definedName>
    <definedName name="BIC">#REF!</definedName>
    <definedName name="BICPGAZ">#REF!</definedName>
    <definedName name="biere">#REF!</definedName>
    <definedName name="BIL">#REF!</definedName>
    <definedName name="BILA">#REF!</definedName>
    <definedName name="Bilan">#REF!</definedName>
    <definedName name="Bilan_data">#REF!</definedName>
    <definedName name="Bilan_Détails">#REF!</definedName>
    <definedName name="Bilan_Structure">#REF!</definedName>
    <definedName name="Bilan1">#REF!</definedName>
    <definedName name="BLACKI">#REF!</definedName>
    <definedName name="BNC">#REF!</definedName>
    <definedName name="BOF">#REF!</definedName>
    <definedName name="BOOF">#REF!</definedName>
    <definedName name="BOOOF">#REF!</definedName>
    <definedName name="BOOOOF">#REF!</definedName>
    <definedName name="BOOOOOF">#REF!</definedName>
    <definedName name="BOOOOOOF">#REF!</definedName>
    <definedName name="budget">#N/A</definedName>
    <definedName name="budget09">#N/A</definedName>
    <definedName name="C_">#REF!</definedName>
    <definedName name="C_C">#REF!</definedName>
    <definedName name="CA">#REF!</definedName>
    <definedName name="CALC_CPTE_TVA">#REF!</definedName>
    <definedName name="CAN">#REF!</definedName>
    <definedName name="CANAL">#REF!</definedName>
    <definedName name="CANAUX">#REF!</definedName>
    <definedName name="casses">#REF!</definedName>
    <definedName name="Categ">#REF!</definedName>
    <definedName name="CATXMQ">#REF!</definedName>
    <definedName name="cb">#REF!</definedName>
    <definedName name="cbg">#REF!</definedName>
    <definedName name="cbgr">#REF!</definedName>
    <definedName name="Cbox_BNC">#REF!</definedName>
    <definedName name="cbr">#REF!</definedName>
    <definedName name="ccc">#REF!</definedName>
    <definedName name="CCRSRH">#REF!</definedName>
    <definedName name="cd">#REF!</definedName>
    <definedName name="CDECADE">#REF!</definedName>
    <definedName name="ce">#REF!</definedName>
    <definedName name="Cel_Lock">#REF!</definedName>
    <definedName name="Cel_Lock_B">#REF!</definedName>
    <definedName name="Cel_Lock_E">#REF!</definedName>
    <definedName name="Cel_Lock_MPC">#REF!</definedName>
    <definedName name="Cel_Lock_R">#REF!</definedName>
    <definedName name="CESDIV">#REF!</definedName>
    <definedName name="cessdiv">#REF!</definedName>
    <definedName name="cesspub">#REF!</definedName>
    <definedName name="CF">#REF!</definedName>
    <definedName name="cfb">#REF!</definedName>
    <definedName name="Charges_Mois">#REF!</definedName>
    <definedName name="CHGM">#REF!</definedName>
    <definedName name="CHPM">#REF!</definedName>
    <definedName name="CI" localSheetId="1" hidden="1">{#N/A,#N/A,FALSE,"vtcshl92";#N/A,#N/A,FALSE,"vtcshl93";#N/A,#N/A,FALSE,"vtcshl94";#N/A,#N/A,FALSE,"vtcshl95";#N/A,#N/A,FALSE,"vtcshl96"}</definedName>
    <definedName name="CI" hidden="1">{#N/A,#N/A,FALSE,"vtcshl92";#N/A,#N/A,FALSE,"vtcshl93";#N/A,#N/A,FALSE,"vtcshl94";#N/A,#N/A,FALSE,"vtcshl95";#N/A,#N/A,FALSE,"vtcshl96"}</definedName>
    <definedName name="CIB">#REF!</definedName>
    <definedName name="civcum96">#REF!</definedName>
    <definedName name="cl">#REF!</definedName>
    <definedName name="CLE">#REF!</definedName>
    <definedName name="Clé_Actif">#REF!</definedName>
    <definedName name="Clé_Passif">#REF!</definedName>
    <definedName name="Cle_XMq">#REF!</definedName>
    <definedName name="Clé_XMQ">#REF!</definedName>
    <definedName name="Clé_XMQ_2">#REF!</definedName>
    <definedName name="Clé_XMQ1">#REF!</definedName>
    <definedName name="Clé_XMQ2">#REF!</definedName>
    <definedName name="CLEP">#REF!</definedName>
    <definedName name="clp">#REF!</definedName>
    <definedName name="clx">#REF!</definedName>
    <definedName name="CLXM">#REF!</definedName>
    <definedName name="CMOIS">#REF!</definedName>
    <definedName name="CMOIS1">#REF!</definedName>
    <definedName name="Cod_art">#REF!</definedName>
    <definedName name="Code_Emprunt">#REF!</definedName>
    <definedName name="codext">#N/A</definedName>
    <definedName name="COL">#REF!</definedName>
    <definedName name="Coller_Formu_Bilan">#REF!</definedName>
    <definedName name="Coller_Formu_XMQ">#REF!</definedName>
    <definedName name="ColumnList">#REF!</definedName>
    <definedName name="COMINFO">#REF!</definedName>
    <definedName name="compar">#REF!</definedName>
    <definedName name="COMPTE_TRESO">#REF!</definedName>
    <definedName name="Con_art">#REF!</definedName>
    <definedName name="Condensé_Mois">#REF!</definedName>
    <definedName name="Contenance">#REF!</definedName>
    <definedName name="COP">#REF!</definedName>
    <definedName name="Copier_Formu_Bilan">#REF!</definedName>
    <definedName name="Copier_Formu_XMQ">#REF!</definedName>
    <definedName name="copier_XMQ">#REF!</definedName>
    <definedName name="COV">#REF!</definedName>
    <definedName name="CPTE_TVA">#REF!,#REF!,#REF!,#REF!,#REF!,#REF!</definedName>
    <definedName name="cr" localSheetId="1" hidden="1">{#N/A,#N/A,FALSE,"vtcshl92";#N/A,#N/A,FALSE,"vtcshl93";#N/A,#N/A,FALSE,"vtcshl94";#N/A,#N/A,FALSE,"vtcshl95";#N/A,#N/A,FALSE,"vtcshl96"}</definedName>
    <definedName name="cr" hidden="1">{#N/A,#N/A,FALSE,"vtcshl92";#N/A,#N/A,FALSE,"vtcshl93";#N/A,#N/A,FALSE,"vtcshl94";#N/A,#N/A,FALSE,"vtcshl95";#N/A,#N/A,FALSE,"vtcshl96"}</definedName>
    <definedName name="CRD">#REF!</definedName>
    <definedName name="CREDIT_BIC">#REF!,#REF!,#REF!,#REF!,#REF!,#REF!</definedName>
    <definedName name="Crédit_P">#REF!</definedName>
    <definedName name="Crédit_XMQ">#REF!</definedName>
    <definedName name="Crédit_XMQ_2">#REF!</definedName>
    <definedName name="Crédit_XMQ2">#REF!</definedName>
    <definedName name="_xlnm.Criteria">#REF!</definedName>
    <definedName name="cssep">#REF!</definedName>
    <definedName name="CtnFExt">#REF!</definedName>
    <definedName name="CtnFLBg">#REF!</definedName>
    <definedName name="CtnFLBi">#REF!</definedName>
    <definedName name="CtnFMBi">#REF!</definedName>
    <definedName name="CtnFSuBg">#REF!</definedName>
    <definedName name="cum_9610">#REF!</definedName>
    <definedName name="cumciv">#REF!</definedName>
    <definedName name="cumciv96">#REF!</definedName>
    <definedName name="cumciv97">#REF!</definedName>
    <definedName name="CurrentYear">#REF!</definedName>
    <definedName name="cv">#REF!</definedName>
    <definedName name="cvr">#REF!</definedName>
    <definedName name="d">#REF!</definedName>
    <definedName name="Data">#REF!</definedName>
    <definedName name="datcha">#REF!</definedName>
    <definedName name="Date_d">#REF!</definedName>
    <definedName name="Date_f">#REF!</definedName>
    <definedName name="Date_Paie">#REF!</definedName>
    <definedName name="Date_Paiement" localSheetId="1">DATE(YEAR(Début_Prêt),MONTH(Début_Prêt)+Payment_Number,DAY(Début_Prêt))</definedName>
    <definedName name="Date_Paiement">DATE(YEAR(Début_Prêt),MONTH(Début_Prêt)+Payment_Number,DAY(Début_Prêt))</definedName>
    <definedName name="DATEJ">#REF!</definedName>
    <definedName name="Dates">#REF!</definedName>
    <definedName name="Datesenganaiseffeccadirect" hidden="1">#REF!</definedName>
    <definedName name="DBT">#REF!</definedName>
    <definedName name="DBUT">#REF!</definedName>
    <definedName name="dce">#REF!</definedName>
    <definedName name="ddd">#REF!</definedName>
    <definedName name="ddddd">#REF!</definedName>
    <definedName name="DDE">#REF!</definedName>
    <definedName name="DE">#REF!</definedName>
    <definedName name="DEB">#REF!</definedName>
    <definedName name="Débit_P">#REF!</definedName>
    <definedName name="Débit_XMQ">#REF!</definedName>
    <definedName name="Débit_XMQ_2">#REF!</definedName>
    <definedName name="Débit_XMQ2">#REF!</definedName>
    <definedName name="DEBUT">#REF!</definedName>
    <definedName name="Début_Prêt">#REF!</definedName>
    <definedName name="DEC">#REF!</definedName>
    <definedName name="DECA1">#REF!</definedName>
    <definedName name="DECA2">#REF!</definedName>
    <definedName name="DECA3">#REF!</definedName>
    <definedName name="DECEMBRE">#REF!</definedName>
    <definedName name="Décor">#REF!</definedName>
    <definedName name="Depart">#REF!</definedName>
    <definedName name="depart.">#REF!</definedName>
    <definedName name="der_trim95">#REF!</definedName>
    <definedName name="Dernière_Ligne" localSheetId="1">IF(SOUS_TRAITANTS!Valeurs_Entrées,Ligne_EnTête+SOUS_TRAITANTS!Nbre_de_Paiements,Ligne_EnTête)</definedName>
    <definedName name="Dernière_Ligne">IF(Valeurs_Entrées,Ligne_EnTête+Nbre_de_Paiements,Ligne_EnTête)</definedName>
    <definedName name="det">#REF!</definedName>
    <definedName name="Devise">#REF!</definedName>
    <definedName name="dfeddddd">#REF!</definedName>
    <definedName name="DFF">#REF!</definedName>
    <definedName name="DI.07.01___PROJET_GPAO___MISE_EN_PLACE">#REF!</definedName>
    <definedName name="DI.07.02___PROJET_GPAO___MISE_EN_PLACE_BASE_DE_DONNEES_TECHNIQUES">#REF!</definedName>
    <definedName name="DKGHSDL">#REF!</definedName>
    <definedName name="DLSAD">#REF!</definedName>
    <definedName name="Données">#REF!</definedName>
    <definedName name="DRH.08.01_Gérer_La_mutuelle_SABC">#REF!</definedName>
    <definedName name="DROIT_ACCI">#REF!</definedName>
    <definedName name="ds">#REF!</definedName>
    <definedName name="DSdDSFs">#REF!</definedName>
    <definedName name="DSFO">#REF!</definedName>
    <definedName name="DSI">#REF!</definedName>
    <definedName name="Durée_Prêt">#REF!</definedName>
    <definedName name="E">#REF!</definedName>
    <definedName name="ECART">#REF!</definedName>
    <definedName name="ECHEANCIER">#N/A</definedName>
    <definedName name="ECHEANCIERE">#N/A</definedName>
    <definedName name="ECTB">#REF!</definedName>
    <definedName name="ECTBG">#REF!</definedName>
    <definedName name="ee">#REF!</definedName>
    <definedName name="ees" localSheetId="1" hidden="1">{#N/A,#N/A,FALSE,"Détail"}</definedName>
    <definedName name="ees" hidden="1">{#N/A,#N/A,FALSE,"Détail"}</definedName>
    <definedName name="Effcadirectdatesnaiseng" hidden="1">#REF!</definedName>
    <definedName name="EffectifCadredeDirection" hidden="1">#REF!</definedName>
    <definedName name="em">#REF!</definedName>
    <definedName name="EMB">#REF!</definedName>
    <definedName name="EMBAL">#REF!</definedName>
    <definedName name="Emballages_mens">#REF!</definedName>
    <definedName name="Emballages_Mensuel">#REF!</definedName>
    <definedName name="Emballages_synth">#REF!</definedName>
    <definedName name="Emballages_Synthèse">#REF!</definedName>
    <definedName name="End_Bal">#REF!</definedName>
    <definedName name="Ent">#REF!</definedName>
    <definedName name="ENTITE" localSheetId="9">#REF!</definedName>
    <definedName name="ENTITE" localSheetId="8">#REF!</definedName>
    <definedName name="ENTITE" localSheetId="12">#REF!</definedName>
    <definedName name="ENTITE" localSheetId="2">#REF!</definedName>
    <definedName name="ENTITE" localSheetId="16">#REF!</definedName>
    <definedName name="ENTITE" localSheetId="7">#REF!</definedName>
    <definedName name="ENTITE" localSheetId="5">#REF!</definedName>
    <definedName name="ENTITE" localSheetId="3">#REF!</definedName>
    <definedName name="ENTITE" localSheetId="11">#REF!</definedName>
    <definedName name="ENTITE" localSheetId="4">#REF!</definedName>
    <definedName name="ENTITE" localSheetId="17">#REF!</definedName>
    <definedName name="ENTITE" localSheetId="15">#REF!</definedName>
    <definedName name="ENTITE">#REF!</definedName>
    <definedName name="ENTITÉ">DONNEES!$B$3:$B$11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>#REF!</definedName>
    <definedName name="EQUIPE">#REF!</definedName>
    <definedName name="EQUIPE1">#REF!</definedName>
    <definedName name="EQUIPES">#REF!</definedName>
    <definedName name="ER">#REF!</definedName>
    <definedName name="es">#REF!</definedName>
    <definedName name="ESRIMM">#REF!</definedName>
    <definedName name="ESRTSQ">#REF!</definedName>
    <definedName name="Estim">#REF!</definedName>
    <definedName name="Estim_Equipes">#REF!</definedName>
    <definedName name="ESTIM2013">#REF!</definedName>
    <definedName name="ESTIM6">#REF!</definedName>
    <definedName name="ESTIMA">#REF!</definedName>
    <definedName name="ESTIME">#REF!</definedName>
    <definedName name="estimm">#REF!</definedName>
    <definedName name="ESTIMMMMMMMM">#REF!</definedName>
    <definedName name="Extra_Pay">#REF!</definedName>
    <definedName name="_xlnm.Extract">#REF!</definedName>
    <definedName name="ezcd">#REF!</definedName>
    <definedName name="EZEEE">#REF!</definedName>
    <definedName name="F">#REF!</definedName>
    <definedName name="F10_data5">#REF!</definedName>
    <definedName name="F70_data1">#REF!</definedName>
    <definedName name="F70_data2">#REF!</definedName>
    <definedName name="F70_data3">#REF!</definedName>
    <definedName name="F70_data4">#REF!</definedName>
    <definedName name="F8_">#REF!</definedName>
    <definedName name="FACTURE">#N/A</definedName>
    <definedName name="fd">#REF!</definedName>
    <definedName name="FDF">#REF!</definedName>
    <definedName name="FDFFFFF">#REF!</definedName>
    <definedName name="fds">#REF!</definedName>
    <definedName name="FEV">#REF!</definedName>
    <definedName name="FEVRIER">#REF!</definedName>
    <definedName name="FFHF">#REF!</definedName>
    <definedName name="FFV">#REF!</definedName>
    <definedName name="FGFF">#REF!</definedName>
    <definedName name="fgfg">#REF!</definedName>
    <definedName name="FIN">#REF!</definedName>
    <definedName name="_xlnm.Recorder">#REF!</definedName>
    <definedName name="For_art.">#REF!</definedName>
    <definedName name="FrCond">#REF!</definedName>
    <definedName name="FRE">#REF!</definedName>
    <definedName name="FREI">#REF!</definedName>
    <definedName name="freintesB.G.">#REF!</definedName>
    <definedName name="freintesBier">#REF!</definedName>
    <definedName name="FRIGE">#N/A</definedName>
    <definedName name="FRIGO">#N/A</definedName>
    <definedName name="fsfsd">#REF!</definedName>
    <definedName name="Full_Print">#REF!</definedName>
    <definedName name="g">#REF!</definedName>
    <definedName name="GFR">#REF!</definedName>
    <definedName name="gg">#REF!</definedName>
    <definedName name="gm">#REF!</definedName>
    <definedName name="GrandTotal">#N/A</definedName>
    <definedName name="GRATUITS">#REF!</definedName>
    <definedName name="gratuitsBG">#REF!</definedName>
    <definedName name="gratuitsBier">#REF!</definedName>
    <definedName name="gratuitsEaux">#REF!</definedName>
    <definedName name="gratuitsNégoce">#REF!</definedName>
    <definedName name="h">#REF!</definedName>
    <definedName name="Header_Row">ROW(#REF!)</definedName>
    <definedName name="HGM">#REF!</definedName>
    <definedName name="hlsep">#REF!</definedName>
    <definedName name="HPM">#REF!</definedName>
    <definedName name="HPN">#REF!</definedName>
    <definedName name="htsep">#REF!</definedName>
    <definedName name="I">#REF!</definedName>
    <definedName name="_xlnm.Print_Titles">#REF!</definedName>
    <definedName name="Impression_Entière">#REF!</definedName>
    <definedName name="INDINJKFD">#REF!</definedName>
    <definedName name="Input_Area">#REF!</definedName>
    <definedName name="Int">#REF!</definedName>
    <definedName name="Interest_Rate">#REF!</definedName>
    <definedName name="Intérêt_Total">#REF!</definedName>
    <definedName name="Intérêts_Cumulés">#REF!</definedName>
    <definedName name="Inves">#REF!</definedName>
    <definedName name="invides9712">#REF!</definedName>
    <definedName name="IRC">#REF!</definedName>
    <definedName name="IRVM">#REF!</definedName>
    <definedName name="ITS">#REF!</definedName>
    <definedName name="J">#REF!</definedName>
    <definedName name="JA">#REF!</definedName>
    <definedName name="JANV">#REF!</definedName>
    <definedName name="JANVIER">#REF!</definedName>
    <definedName name="JCBHASHC">#REF!</definedName>
    <definedName name="JJ">#REF!</definedName>
    <definedName name="jjs" localSheetId="1" hidden="1">{#N/A,#N/A,FALSE,"Détail"}</definedName>
    <definedName name="jjs" hidden="1">{#N/A,#N/A,FALSE,"Détail"}</definedName>
    <definedName name="JUILLET">#REF!</definedName>
    <definedName name="Juillet_C">#REF!</definedName>
    <definedName name="Juillet_M">#REF!</definedName>
    <definedName name="JUIN">#REF!</definedName>
    <definedName name="K">#REF!</definedName>
    <definedName name="Last_Row">#N/A</definedName>
    <definedName name="LBV">#REF!</definedName>
    <definedName name="lib_art">#REF!</definedName>
    <definedName name="LIBMOIS">#REF!</definedName>
    <definedName name="LIGB1">#REF!</definedName>
    <definedName name="LIGB10">#REF!</definedName>
    <definedName name="LIGB11">#REF!</definedName>
    <definedName name="LIGB12">#REF!</definedName>
    <definedName name="LIGB2">#REF!</definedName>
    <definedName name="LIGB3">#REF!</definedName>
    <definedName name="LIGB4">#REF!</definedName>
    <definedName name="LIGB5">#REF!</definedName>
    <definedName name="LIGB6">#REF!</definedName>
    <definedName name="LIGB7">#REF!</definedName>
    <definedName name="LIGB8">#REF!</definedName>
    <definedName name="LIGB9">#REF!</definedName>
    <definedName name="LIGBG1">#REF!</definedName>
    <definedName name="LIGBG10">#REF!</definedName>
    <definedName name="LIGBG11">#REF!</definedName>
    <definedName name="LIGBG12">#REF!</definedName>
    <definedName name="LIGBG2">#REF!</definedName>
    <definedName name="LIGBG3">#REF!</definedName>
    <definedName name="LIGBG4">#REF!</definedName>
    <definedName name="LIGBG5">#REF!</definedName>
    <definedName name="LIGBG6">#REF!</definedName>
    <definedName name="LIGBG7">#REF!</definedName>
    <definedName name="LIGBG8">#REF!</definedName>
    <definedName name="LIGBG9">#REF!</definedName>
    <definedName name="Ligne_EnTête">ROW(#REF!)</definedName>
    <definedName name="LIste_Catégorie">#REF!</definedName>
    <definedName name="Liste_Entité_XMQ">#REF!</definedName>
    <definedName name="Liste_Famille">#REF!</definedName>
    <definedName name="Liste_Raison">#REF!</definedName>
    <definedName name="listeCodeEmploi">#REF!</definedName>
    <definedName name="ListeMoisex">#REF!</definedName>
    <definedName name="lm">#REF!</definedName>
    <definedName name="Loan_Amount">#REF!</definedName>
    <definedName name="Loan_Start">#REF!</definedName>
    <definedName name="Loan_Years">#REF!</definedName>
    <definedName name="LstCompte">#REF!</definedName>
    <definedName name="M">#REF!</definedName>
    <definedName name="M_02">#REF!</definedName>
    <definedName name="MAI">#REF!</definedName>
    <definedName name="MARS">#REF!</definedName>
    <definedName name="MAT">#REF!</definedName>
    <definedName name="MATERIEL">#REF!</definedName>
    <definedName name="May" localSheetId="1" hidden="1">{"Prev_tréso",#N/A,TRUE,"PRev treso";"Chiffre d'affaires",#N/A,TRUE,"Prev_CA";"Accises",#N/A,TRUE,"Accises";"Dep_courantes",#N/A,TRUE,"Dep_cour_98"}</definedName>
    <definedName name="May" hidden="1">{"Prev_tréso",#N/A,TRUE,"PRev treso";"Chiffre d'affaires",#N/A,TRUE,"Prev_CA";"Accises",#N/A,TRUE,"Accises";"Dep_courantes",#N/A,TRUE,"Dep_cour_98"}</definedName>
    <definedName name="MENU">#REF!</definedName>
    <definedName name="mm">#REF!</definedName>
    <definedName name="mmm" localSheetId="1" hidden="1">{"Prev_tréso",#N/A,TRUE,"PRev treso";"Chiffre d'affaires",#N/A,TRUE,"Prev_CA";"Accises",#N/A,TRUE,"Accises";"Dep_courantes",#N/A,TRUE,"Dep_cour_98"}</definedName>
    <definedName name="mmm" hidden="1">{"Prev_tréso",#N/A,TRUE,"PRev treso";"Chiffre d'affaires",#N/A,TRUE,"Prev_CA";"Accises",#N/A,TRUE,"Accises";"Dep_courantes",#N/A,TRUE,"Dep_cour_98"}</definedName>
    <definedName name="mmmmmm">#REF!</definedName>
    <definedName name="MOIS">#REF!</definedName>
    <definedName name="Mois_01">#REF!</definedName>
    <definedName name="Mois_02">#REF!</definedName>
    <definedName name="Mois_03">#REF!</definedName>
    <definedName name="Mois_04">#REF!</definedName>
    <definedName name="Mois_05">#REF!</definedName>
    <definedName name="Mois_06">#REF!</definedName>
    <definedName name="Mois_07">#REF!</definedName>
    <definedName name="Mois_08">#REF!</definedName>
    <definedName name="Mois_09">#REF!</definedName>
    <definedName name="Mois_10">#REF!</definedName>
    <definedName name="Mois_11">#REF!</definedName>
    <definedName name="Mois_12">#REF!</definedName>
    <definedName name="MOIS1">#REF!</definedName>
    <definedName name="Mois10">#REF!</definedName>
    <definedName name="Mois11">#REF!</definedName>
    <definedName name="Mois12">#REF!</definedName>
    <definedName name="Mois2">#REF!</definedName>
    <definedName name="Mois3">#REF!</definedName>
    <definedName name="Mois4">#REF!</definedName>
    <definedName name="Mois5">#REF!</definedName>
    <definedName name="Mois6">#REF!</definedName>
    <definedName name="Mois7">#REF!</definedName>
    <definedName name="Mois8">#REF!</definedName>
    <definedName name="Mois9">#REF!</definedName>
    <definedName name="moise10">#REF!</definedName>
    <definedName name="moise11">#REF!</definedName>
    <definedName name="moise12">#REF!</definedName>
    <definedName name="Moise4">#REF!</definedName>
    <definedName name="moise6">#REF!</definedName>
    <definedName name="moise7">#REF!</definedName>
    <definedName name="moise9">#REF!</definedName>
    <definedName name="Monnaie">#REF!</definedName>
    <definedName name="monrujuh">#REF!</definedName>
    <definedName name="Montant_Prêt">#REF!</definedName>
    <definedName name="Month">#REF!</definedName>
    <definedName name="MPC">#REF!</definedName>
    <definedName name="n">#REF!</definedName>
    <definedName name="NBJRC">#REF!</definedName>
    <definedName name="NBJRS">#REF!</definedName>
    <definedName name="Nbre_de_Paiements" localSheetId="1">MATCH(0.01,Solde_Final,-1)+1</definedName>
    <definedName name="Nbre_de_Paiements">MATCH(0.01,Solde_Final,-1)+1</definedName>
    <definedName name="Nbre_Pmt">#REF!</definedName>
    <definedName name="Nbre_Pmt_Par_An">#REF!</definedName>
    <definedName name="NOMENCLATURE">#REF!</definedName>
    <definedName name="NOV">#REF!</definedName>
    <definedName name="NOVEMBRE">#REF!</definedName>
    <definedName name="Num_Pmt_Per_Year">#REF!</definedName>
    <definedName name="Number_of_Payments">#N/A</definedName>
    <definedName name="Numero_immo">OFFSET(#REF!,,,COUNTA(#REF!))</definedName>
    <definedName name="numFisc">" "</definedName>
    <definedName name="O">#REF!</definedName>
    <definedName name="OCT">#REF!</definedName>
    <definedName name="OCTOBRE">#REF!</definedName>
    <definedName name="OrdP">#REF!</definedName>
    <definedName name="OrdPrdt">#REF!</definedName>
    <definedName name="Ordre">#REF!</definedName>
    <definedName name="P">#REF!</definedName>
    <definedName name="PADE">#REF!</definedName>
    <definedName name="PARAMETRES">#REF!</definedName>
    <definedName name="PATCOM">#REF!</definedName>
    <definedName name="Pay_Date">#REF!</definedName>
    <definedName name="Pay_Num">#REF!</definedName>
    <definedName name="Payment_Date">#N/A</definedName>
    <definedName name="Payment_Needed">"Paiement dû"</definedName>
    <definedName name="PC_BILAN">#REF!</definedName>
    <definedName name="PC_XMQ">#REF!</definedName>
    <definedName name="pleins9712">#REF!</definedName>
    <definedName name="pm">#REF!</definedName>
    <definedName name="Pmt_Mensuel_Programmé">#REF!</definedName>
    <definedName name="Pmt_Programmé">#REF!</definedName>
    <definedName name="Pmt_Supplémentaire">#REF!</definedName>
    <definedName name="Pmt_Total">#REF!</definedName>
    <definedName name="Pmts_Supplémentaires_Programmés">#REF!</definedName>
    <definedName name="po">#REF!,#REF!,#REF!,#REF!,#REF!,#REF!,#REF!,#REF!,#REF!,#REF!,#REF!,#REF!</definedName>
    <definedName name="POG">#REF!</definedName>
    <definedName name="poid3">#REF!</definedName>
    <definedName name="PosFExt">#REF!</definedName>
    <definedName name="PosFLBg">#REF!</definedName>
    <definedName name="PosFSuBg">#REF!</definedName>
    <definedName name="PPA">#REF!</definedName>
    <definedName name="PREL_JECASI">#REF!</definedName>
    <definedName name="PRIME">#REF!</definedName>
    <definedName name="Princ">#REF!</definedName>
    <definedName name="PRINCIPAL">#REF!</definedName>
    <definedName name="Print_Area_Reset">#N/A</definedName>
    <definedName name="PrintRange1" localSheetId="1">SetPrintRange("Chart of Accounts","F",2,"J")</definedName>
    <definedName name="PrintRange1">SetPrintRange("Chart of Accounts","F",2,"J")</definedName>
    <definedName name="PrintRange2" localSheetId="1">SetPrintRange("Account Balances","F",2,"J")</definedName>
    <definedName name="PrintRange2">SetPrintRange("Account Balances","F",2,"J")</definedName>
    <definedName name="PrintRange6" localSheetId="1">SetPrintRange("Debtors Inquiry","F",2,"L")</definedName>
    <definedName name="PrintRange6">SetPrintRange("Debtors Inquiry","F",2,"L")</definedName>
    <definedName name="PrintRange8" localSheetId="1">SetPrintRange("P&amp;L Forecast","F",2,"T")</definedName>
    <definedName name="PrintRange8">SetPrintRange("P&amp;L Forecast","F",2,"T")</definedName>
    <definedName name="PrintRange9" localSheetId="1">SetPrintRange("Trial Balance","F",2,"M")</definedName>
    <definedName name="PrintRange9">SetPrintRange("Trial Balance","F",2,"M")</definedName>
    <definedName name="PrkFExt">#REF!</definedName>
    <definedName name="PrkFLbg">#REF!</definedName>
    <definedName name="PrkFLBi">#REF!</definedName>
    <definedName name="PrkFMBi">#REF!</definedName>
    <definedName name="PrkFSuBg">#REF!</definedName>
    <definedName name="PRMP1">#REF!</definedName>
    <definedName name="PRMP2">#REF!</definedName>
    <definedName name="Prod_Tei">#REF!</definedName>
    <definedName name="Prod_Teinte">#REF!</definedName>
    <definedName name="Production">#REF!</definedName>
    <definedName name="pu">#REF!</definedName>
    <definedName name="Q">#REF!</definedName>
    <definedName name="QFQ">#REF!</definedName>
    <definedName name="qq">#REF!</definedName>
    <definedName name="Quarter">#REF!</definedName>
    <definedName name="R_">#REF!</definedName>
    <definedName name="range1">#REF!</definedName>
    <definedName name="RAP">#REF!</definedName>
    <definedName name="rder">#REF!,#REF!,#REF!,#REF!,#REF!,#REF!,#REF!,#REF!,#REF!,#REF!,#REF!,#REF!</definedName>
    <definedName name="RDT">#REF!,#REF!,#REF!,#REF!,#REF!,#REF!,#REF!,#REF!,#REF!,#REF!,#REF!,#REF!</definedName>
    <definedName name="RE">#REF!</definedName>
    <definedName name="Recherches">#REF!</definedName>
    <definedName name="RED">#REF!,#REF!,#REF!,#REF!,#REF!,#REF!,#REF!,#REF!,#REF!,#REF!,#REF!,#REF!</definedName>
    <definedName name="Red_ITS_Data">#REF!,#REF!,#REF!,#REF!,#REF!,#REF!,#REF!,#REF!,#REF!,#REF!,#REF!,#REF!</definedName>
    <definedName name="Red_ITS_Data1">#REF!,#REF!,#REF!,#REF!,#REF!,#REF!,#REF!,#REF!,#REF!,#REF!,#REF!,#REF!</definedName>
    <definedName name="Red_ITS_Data2">#REF!,#REF!,#REF!,#REF!,#REF!,#REF!,#REF!,#REF!,#REF!,#REF!,#REF!,#REF!</definedName>
    <definedName name="refExpatrie">#REF!</definedName>
    <definedName name="refNationalite">#REF!</definedName>
    <definedName name="refRegime301">#REF!</definedName>
    <definedName name="refSexe">#REF!</definedName>
    <definedName name="refSituationFamille">#REF!</definedName>
    <definedName name="Region">#REF!</definedName>
    <definedName name="RegionList">#REF!</definedName>
    <definedName name="RegLab">#REF!</definedName>
    <definedName name="RegNum">#REF!</definedName>
    <definedName name="regnum2">#REF!</definedName>
    <definedName name="REGUL">#REF!</definedName>
    <definedName name="Reimbursement">"Remboursement"</definedName>
    <definedName name="Réinit_Zone_Impression" localSheetId="1">OFFSET(Impression_Entière,0,0,SOUS_TRAITANTS!Dernière_Ligne)</definedName>
    <definedName name="Réinit_Zone_Impression">OFFSET(Impression_Entière,0,0,Dernière_Ligne)</definedName>
    <definedName name="REP">#REF!</definedName>
    <definedName name="Répartion_charges">#REF!</definedName>
    <definedName name="REPO1">#REF!</definedName>
    <definedName name="RER">#REF!</definedName>
    <definedName name="ResInput">#REF!</definedName>
    <definedName name="RetenuBIC">#REF!</definedName>
    <definedName name="ristb">#REF!</definedName>
    <definedName name="ristBG">#REF!</definedName>
    <definedName name="ristbgr">#REF!</definedName>
    <definedName name="ristbier">#REF!</definedName>
    <definedName name="ristEaux">#REF!</definedName>
    <definedName name="ristgr">#REF!</definedName>
    <definedName name="ristnégoce">#REF!</definedName>
    <definedName name="ristPet">#REF!</definedName>
    <definedName name="RUB_EFP">#REF!</definedName>
    <definedName name="Rubrique_Bilan_Actif">#REF!</definedName>
    <definedName name="Rubrique_Bilan_Actif_2">#REF!</definedName>
    <definedName name="Rubrique_Bilan_Actif_3">#REF!</definedName>
    <definedName name="Rubrique_Bilan_Passif">#REF!</definedName>
    <definedName name="Rubrique_Bilan_Passif_2">#REF!</definedName>
    <definedName name="Rubrique_XMQ">#REF!</definedName>
    <definedName name="s" localSheetId="1" hidden="1">{"Prev_tréso",#N/A,TRUE,"PRev treso";"Chiffre d'affaires",#N/A,TRUE,"Prev_CA";"Accises",#N/A,TRUE,"Accises";"Dep_courantes",#N/A,TRUE,"Dep_cour_98"}</definedName>
    <definedName name="s" hidden="1">{"Prev_tréso",#N/A,TRUE,"PRev treso";"Chiffre d'affaires",#N/A,TRUE,"Prev_CA";"Accises",#N/A,TRUE,"Accises";"Dep_courantes",#N/A,TRUE,"Dep_cour_98"}</definedName>
    <definedName name="SC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dsddsdsd">#REF!</definedName>
    <definedName name="SECURITE">#REF!</definedName>
    <definedName name="SEPT">#REF!</definedName>
    <definedName name="SEPTEMBRE">#REF!</definedName>
    <definedName name="ServicesAssiette">#REF!</definedName>
    <definedName name="SOL">#REF!</definedName>
    <definedName name="solde">#REF!</definedName>
    <definedName name="Solde_Actif">#REF!</definedName>
    <definedName name="Solde_Actif_2">#REF!</definedName>
    <definedName name="Solde_Crédit">#REF!</definedName>
    <definedName name="Solde_Débit">#REF!</definedName>
    <definedName name="Solde_Départ">#REF!</definedName>
    <definedName name="Solde_Final">#REF!</definedName>
    <definedName name="Solde_Passif">#REF!</definedName>
    <definedName name="Solde_Passif_2">#REF!</definedName>
    <definedName name="Solde_XMQ">#REF!</definedName>
    <definedName name="Solde_XMQ_2">#REF!</definedName>
    <definedName name="SPRITE">#REF!</definedName>
    <definedName name="SQSssass">#REF!</definedName>
    <definedName name="SRTIE">#REF!</definedName>
    <definedName name="SSASASDASD">#REF!</definedName>
    <definedName name="ssSAS">#REF!</definedName>
    <definedName name="sssss">#REF!</definedName>
    <definedName name="sv">#REF!</definedName>
    <definedName name="T">#REF!</definedName>
    <definedName name="T_ASSUR">#REF!</definedName>
    <definedName name="TABGRADE">#REF!</definedName>
    <definedName name="TAP">#REF!</definedName>
    <definedName name="TAP_">#REF!</definedName>
    <definedName name="TAPE">#REF!</definedName>
    <definedName name="TATSB">#REF!</definedName>
    <definedName name="tattamama">#REF!</definedName>
    <definedName name="TAU">#REF!</definedName>
    <definedName name="TAUEMP">#REF!</definedName>
    <definedName name="TAUEMP1">#REF!</definedName>
    <definedName name="TAURIST">#REF!</definedName>
    <definedName name="TAUSBIER">#REF!</definedName>
    <definedName name="TAUX">#REF!</definedName>
    <definedName name="Taux_Intérêt">#REF!</definedName>
    <definedName name="Taux_Intérêt_Programmé">#REF!</definedName>
    <definedName name="TAUX_TVA">DONNEES!$K$8:$K$10</definedName>
    <definedName name="TAUXG">#REF!</definedName>
    <definedName name="tauxGratB.G.">#REF!</definedName>
    <definedName name="tauxGratB.G.1">#REF!</definedName>
    <definedName name="tauxGratBier">#REF!</definedName>
    <definedName name="tauxImpot">0</definedName>
    <definedName name="TAUXR">#REF!</definedName>
    <definedName name="tauxRistB.G.">#REF!</definedName>
    <definedName name="tauxRistBier">#REF!</definedName>
    <definedName name="tauxRistEMP">#REF!</definedName>
    <definedName name="tauxTSBbg">#REF!</definedName>
    <definedName name="tauxTSBbier">#REF!</definedName>
    <definedName name="TAUXTSBIER">#REF!</definedName>
    <definedName name="tauxTVA">#REF!</definedName>
    <definedName name="TCA">#REF!</definedName>
    <definedName name="tcb">#REF!</definedName>
    <definedName name="team">#REF!</definedName>
    <definedName name="Tec" localSheetId="1" hidden="1">{"Prev_tréso",#N/A,TRUE,"PRev treso";"Chiffre d'affaires",#N/A,TRUE,"Prev_CA";"Accises",#N/A,TRUE,"Accises";"Dep_courantes",#N/A,TRUE,"Dep_cour_98"}</definedName>
    <definedName name="Tec" hidden="1">{"Prev_tréso",#N/A,TRUE,"PRev treso";"Chiffre d'affaires",#N/A,TRUE,"Prev_CA";"Accises",#N/A,TRUE,"Accises";"Dep_courantes",#N/A,TRUE,"Dep_cour_98"}</definedName>
    <definedName name="TEP">#REF!</definedName>
    <definedName name="TETT">#REF!</definedName>
    <definedName name="Tiers_CC">#REF!</definedName>
    <definedName name="Tiers_Emprunts">#REF!</definedName>
    <definedName name="TITRE">#REF!</definedName>
    <definedName name="tm">#REF!</definedName>
    <definedName name="TOB">#REF!</definedName>
    <definedName name="too">#REF!</definedName>
    <definedName name="TOP">#REF!</definedName>
    <definedName name="tot_2000">#REF!</definedName>
    <definedName name="tot_2001">#REF!</definedName>
    <definedName name="tot_97">#REF!</definedName>
    <definedName name="tot_98">#REF!</definedName>
    <definedName name="TOTAL">#REF!</definedName>
    <definedName name="Total_budget">#REF!</definedName>
    <definedName name="TOTAL_CPTE_TVA_COLL">SUM(#REF!)</definedName>
    <definedName name="TOTAL_CPTE_TVA_DED">SUM(#REF!)</definedName>
    <definedName name="Total_forcast">#REF!</definedName>
    <definedName name="TOTAL_FRIGOS_BIERE_ET_BG___41">#REF!</definedName>
    <definedName name="Total_Interest">#REF!</definedName>
    <definedName name="Total_paid">#REF!</definedName>
    <definedName name="Total_Pay">#REF!</definedName>
    <definedName name="Total_Payment">#N/A</definedName>
    <definedName name="Total_pending">#REF!</definedName>
    <definedName name="TOTAL_TX">#REF!</definedName>
    <definedName name="TOTAL2">#REF!</definedName>
    <definedName name="total3">#REF!</definedName>
    <definedName name="TOTALE">#REF!</definedName>
    <definedName name="TOTALES">#REF!</definedName>
    <definedName name="TotalM_1">#REF!</definedName>
    <definedName name="TralAA">#REF!</definedName>
    <definedName name="TralK">#REF!</definedName>
    <definedName name="TralSM">#REF!</definedName>
    <definedName name="TRAV1">#REF!</definedName>
    <definedName name="TRAV2">#REF!</definedName>
    <definedName name="TRAV3">#REF!</definedName>
    <definedName name="TRESO">#REF!,#REF!,#REF!,#REF!,#REF!,#REF!,#REF!,#REF!,#REF!,#REF!,#REF!,#REF!</definedName>
    <definedName name="TRM">#N/A</definedName>
    <definedName name="TSBBG">#REF!</definedName>
    <definedName name="TSBBIER">#REF!</definedName>
    <definedName name="TSBBOISENERG">#REF!</definedName>
    <definedName name="TSBEAUGAZ">#REF!</definedName>
    <definedName name="TSBEAUX">#REF!</definedName>
    <definedName name="TSBEN">#REF!</definedName>
    <definedName name="TSBENER">#REF!</definedName>
    <definedName name="TSBNEGOCE">#REF!</definedName>
    <definedName name="TSC">#REF!</definedName>
    <definedName name="TSCT">#REF!</definedName>
    <definedName name="TT">#REF!</definedName>
    <definedName name="ttt">#REF!</definedName>
    <definedName name="TTVA">#REF!</definedName>
    <definedName name="TURE">#REF!</definedName>
    <definedName name="tva">#REF!</definedName>
    <definedName name="TVA_DED">#REF!</definedName>
    <definedName name="TVA_VERSO_PAGE1">#REF!</definedName>
    <definedName name="TVA_VERSO_PAGE2">#REF!</definedName>
    <definedName name="TVA_VERSO_PAGE3">#REF!</definedName>
    <definedName name="TVA_VERSO_PAGE4">#REF!</definedName>
    <definedName name="TVA_VERSO_PAGE5">#REF!</definedName>
    <definedName name="TVA_VERSO_PAGE6">#REF!</definedName>
    <definedName name="TXSDXX">#REF!</definedName>
    <definedName name="TXX">#REF!</definedName>
    <definedName name="Type">#REF!</definedName>
    <definedName name="Type_CC">#REF!</definedName>
    <definedName name="TYPE_D_ENGAGEMENT">DONNEES!$D$13:$D$14</definedName>
    <definedName name="u">#REF!,#REF!,#REF!,#REF!,#REF!,#REF!,#REF!,#REF!,#REF!,#REF!,#REF!,#REF!</definedName>
    <definedName name="Un">#REF!</definedName>
    <definedName name="Unif">#REF!</definedName>
    <definedName name="Unif_Res">#REF!</definedName>
    <definedName name="UnifAA">#REF!</definedName>
    <definedName name="UnifK">#REF!</definedName>
    <definedName name="Uniform">#REF!</definedName>
    <definedName name="UnifSM">#REF!</definedName>
    <definedName name="v">#REF!</definedName>
    <definedName name="Valeurs_Entrées" localSheetId="1">IF(Montant_Prêt*Taux_Intérêt*Durée_Prêt*Début_Prêt&gt;0,1,0)</definedName>
    <definedName name="Valeurs_Entrées">IF(Montant_Prêt*Taux_Intérêt*Durée_Prêt*Début_Prêt&gt;0,1,0)</definedName>
    <definedName name="Values_Entered">#N/A</definedName>
    <definedName name="VCWD">#REF!</definedName>
    <definedName name="ventcas">#REF!</definedName>
    <definedName name="VENTES">#REF!</definedName>
    <definedName name="Ventes_par_Canal">#REF!</definedName>
    <definedName name="VFRSR">#REF!</definedName>
    <definedName name="vides9712">#REF!</definedName>
    <definedName name="VIN_MOIS">#REF!</definedName>
    <definedName name="vinr">#REF!</definedName>
    <definedName name="VINS">#REF!</definedName>
    <definedName name="VOL_PROD">#REF!</definedName>
    <definedName name="VVV">#REF!</definedName>
    <definedName name="vvvvvvv">#REF!</definedName>
    <definedName name="W">#REF!</definedName>
    <definedName name="WawsSsS">#REF!</definedName>
    <definedName name="Week52.5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dvtcshl." localSheetId="1" hidden="1">{#N/A,#N/A,FALSE,"vtcshl92";#N/A,#N/A,FALSE,"vtcshl93";#N/A,#N/A,FALSE,"vtcshl94";#N/A,#N/A,FALSE,"vtcshl95";#N/A,#N/A,FALSE,"vtcshl96"}</definedName>
    <definedName name="wrn.edvtcshl." hidden="1">{#N/A,#N/A,FALSE,"vtcshl92";#N/A,#N/A,FALSE,"vtcshl93";#N/A,#N/A,FALSE,"vtcshl94";#N/A,#N/A,FALSE,"vtcshl95";#N/A,#N/A,FALSE,"vtcshl96"}</definedName>
    <definedName name="wrn.Treso._.prévi." localSheetId="1" hidden="1">{"Prev_tréso",#N/A,TRUE,"PRev treso";"Chiffre d'affaires",#N/A,TRUE,"Prev_CA";"Accises",#N/A,TRUE,"Accises";"Dep_courantes",#N/A,TRUE,"Dep_cour_98"}</definedName>
    <definedName name="wrn.Treso._.prévi." hidden="1">{"Prev_tréso",#N/A,TRUE,"PRev treso";"Chiffre d'affaires",#N/A,TRUE,"Prev_CA";"Accises",#N/A,TRUE,"Accises";"Dep_courantes",#N/A,TRUE,"Dep_cour_98"}</definedName>
    <definedName name="wrn.unitcase." localSheetId="1" hidden="1">{#N/A,#N/A,FALSE,"REPORTpg1";#N/A,#N/A,FALSE,"REPORTpg2";#N/A,#N/A,FALSE,"REPORTpg3"}</definedName>
    <definedName name="wrn.unitcase." hidden="1">{#N/A,#N/A,FALSE,"REPORTpg1";#N/A,#N/A,FALSE,"REPORTpg2";#N/A,#N/A,FALSE,"REPORTpg3"}</definedName>
    <definedName name="wrn.VENTES._.CUMULEES." localSheetId="1" hidden="1">{#N/A,#N/A,FALSE,"GABON";#N/A,#N/A,FALSE,"LBV";#N/A,#N/A,FALSE,"POG";#N/A,#N/A,FALSE,"FCV";#N/A,#N/A,FALSE,"OYM";#N/A,#N/A,FALSE,"MOU"}</definedName>
    <definedName name="wrn.VENTES._.CUMULEES." hidden="1">{#N/A,#N/A,FALSE,"GABON";#N/A,#N/A,FALSE,"LBV";#N/A,#N/A,FALSE,"POG";#N/A,#N/A,FALSE,"FCV";#N/A,#N/A,FALSE,"OYM";#N/A,#N/A,FALSE,"MOU"}</definedName>
    <definedName name="wrn.VENTES._.MENSUELLES." localSheetId="1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localSheetId="1" hidden="1">{#N/A,#N/A,FALSE,"Détail"}</definedName>
    <definedName name="wrn.Xmq." hidden="1">{#N/A,#N/A,FALSE,"Détail"}</definedName>
    <definedName name="wrn.Xmq._.Détaillé." localSheetId="1" hidden="1">{#N/A,#N/A,FALSE,"Détail"}</definedName>
    <definedName name="wrn.Xmq._.Détaillé." hidden="1">{#N/A,#N/A,FALSE,"Détail"}</definedName>
    <definedName name="wrn.Xmq._.Détaillé.2" localSheetId="1" hidden="1">{#N/A,#N/A,FALSE,"Détail"}</definedName>
    <definedName name="wrn.Xmq._.Détaillé.2" hidden="1">{#N/A,#N/A,FALSE,"Détail"}</definedName>
    <definedName name="wrn.Xmq.1" localSheetId="1" hidden="1">{#N/A,#N/A,FALSE,"Détail"}</definedName>
    <definedName name="wrn.Xmq.1" hidden="1">{#N/A,#N/A,FALSE,"Détail"}</definedName>
    <definedName name="wrrn.Xmq._.Détaillé.1" localSheetId="1" hidden="1">{#N/A,#N/A,FALSE,"Détail"}</definedName>
    <definedName name="wrrn.Xmq._.Détaillé.1" hidden="1">{#N/A,#N/A,FALSE,"Détail"}</definedName>
    <definedName name="WVWVW">#REF!</definedName>
    <definedName name="WWW">#REF!</definedName>
    <definedName name="x">#REF!</definedName>
    <definedName name="xf">#REF!</definedName>
    <definedName name="xg">#REF!</definedName>
    <definedName name="xmcivil">#REF!</definedName>
    <definedName name="xmm">#REF!</definedName>
    <definedName name="xmm04">#REF!</definedName>
    <definedName name="xmm07">#REF!</definedName>
    <definedName name="xmm12">#REF!</definedName>
    <definedName name="XMQ">#REF!</definedName>
    <definedName name="XMQ_data">#REF!</definedName>
    <definedName name="XMQ_data1">#REF!</definedName>
    <definedName name="xmq04">#REF!</definedName>
    <definedName name="xmq07">#REF!</definedName>
    <definedName name="xmq12">#REF!</definedName>
    <definedName name="xs">#REF!</definedName>
    <definedName name="XSSRR">#REF!</definedName>
    <definedName name="xt">#REF!</definedName>
    <definedName name="xw">#REF!</definedName>
    <definedName name="xx">#REF!</definedName>
    <definedName name="XXL">#REF!</definedName>
    <definedName name="xxx">#REF!</definedName>
    <definedName name="xxxxxxxxxxxxx">#REF!</definedName>
    <definedName name="y">#REF!</definedName>
    <definedName name="Yes" hidden="1">#REF!</definedName>
    <definedName name="YTRE">#REF!</definedName>
    <definedName name="zd">#REF!</definedName>
    <definedName name="ZEV">#REF!</definedName>
    <definedName name="ZIM">#REF!</definedName>
    <definedName name="ZONE">#REF!</definedName>
    <definedName name="Zone_impres_MI">#REF!</definedName>
    <definedName name="ZonePrdt">#REF!</definedName>
    <definedName name="zszcvz">#REF!</definedName>
    <definedName name="ZZZZZZZZZZZZZZZZZ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2" i="26" l="1"/>
  <c r="B327" i="26"/>
  <c r="N327" i="26"/>
  <c r="O327" i="26" s="1"/>
  <c r="R327" i="26" s="1"/>
  <c r="T327" i="26" s="1"/>
  <c r="V327" i="26"/>
  <c r="N3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2" i="26"/>
  <c r="N63" i="26"/>
  <c r="N64" i="26"/>
  <c r="N65" i="26"/>
  <c r="N66" i="26"/>
  <c r="N67" i="26"/>
  <c r="N68" i="26"/>
  <c r="N69" i="26"/>
  <c r="N70" i="26"/>
  <c r="N71" i="26"/>
  <c r="N72" i="26"/>
  <c r="N73" i="26"/>
  <c r="N74" i="26"/>
  <c r="N75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1" i="26"/>
  <c r="N92" i="26"/>
  <c r="N93" i="26"/>
  <c r="N94" i="26"/>
  <c r="N95" i="26"/>
  <c r="N96" i="26"/>
  <c r="N97" i="26"/>
  <c r="N98" i="26"/>
  <c r="N99" i="26"/>
  <c r="N100" i="26"/>
  <c r="N101" i="26"/>
  <c r="N102" i="26"/>
  <c r="N103" i="26"/>
  <c r="N104" i="26"/>
  <c r="N105" i="26"/>
  <c r="N106" i="26"/>
  <c r="N107" i="26"/>
  <c r="N108" i="26"/>
  <c r="N109" i="26"/>
  <c r="N110" i="26"/>
  <c r="N111" i="26"/>
  <c r="N112" i="26"/>
  <c r="N113" i="26"/>
  <c r="N114" i="26"/>
  <c r="N115" i="26"/>
  <c r="N116" i="26"/>
  <c r="N117" i="26"/>
  <c r="N118" i="26"/>
  <c r="N119" i="26"/>
  <c r="N120" i="26"/>
  <c r="N121" i="26"/>
  <c r="N122" i="26"/>
  <c r="N123" i="26"/>
  <c r="N124" i="26"/>
  <c r="N125" i="26"/>
  <c r="N126" i="26"/>
  <c r="N127" i="26"/>
  <c r="N128" i="26"/>
  <c r="N129" i="26"/>
  <c r="N130" i="26"/>
  <c r="N132" i="26"/>
  <c r="N133" i="26"/>
  <c r="N134" i="26"/>
  <c r="N135" i="26"/>
  <c r="N136" i="26"/>
  <c r="N137" i="26"/>
  <c r="N138" i="26"/>
  <c r="N139" i="26"/>
  <c r="N140" i="26"/>
  <c r="N141" i="26"/>
  <c r="N142" i="26"/>
  <c r="N143" i="26"/>
  <c r="N144" i="26"/>
  <c r="N145" i="26"/>
  <c r="N146" i="26"/>
  <c r="N147" i="26"/>
  <c r="N148" i="26"/>
  <c r="N149" i="26"/>
  <c r="N150" i="26"/>
  <c r="N151" i="26"/>
  <c r="N152" i="26"/>
  <c r="N153" i="26"/>
  <c r="N154" i="26"/>
  <c r="N155" i="26"/>
  <c r="N156" i="26"/>
  <c r="N157" i="26"/>
  <c r="N158" i="26"/>
  <c r="N159" i="26"/>
  <c r="N160" i="26"/>
  <c r="N162" i="26"/>
  <c r="N164" i="26"/>
  <c r="N165" i="26"/>
  <c r="N166" i="26"/>
  <c r="N167" i="26"/>
  <c r="N168" i="26"/>
  <c r="N169" i="26"/>
  <c r="N170" i="26"/>
  <c r="N171" i="26"/>
  <c r="N172" i="26"/>
  <c r="N173" i="26"/>
  <c r="N174" i="26"/>
  <c r="N175" i="26"/>
  <c r="N176" i="26"/>
  <c r="N177" i="26"/>
  <c r="N178" i="26"/>
  <c r="N179" i="26"/>
  <c r="N180" i="26"/>
  <c r="N181" i="26"/>
  <c r="N183" i="26"/>
  <c r="N184" i="26"/>
  <c r="N185" i="26"/>
  <c r="N186" i="26"/>
  <c r="N187" i="26"/>
  <c r="N188" i="26"/>
  <c r="N189" i="26"/>
  <c r="N190" i="26"/>
  <c r="N191" i="26"/>
  <c r="N192" i="26"/>
  <c r="N193" i="26"/>
  <c r="N194" i="26"/>
  <c r="N195" i="26"/>
  <c r="N196" i="26"/>
  <c r="N197" i="26"/>
  <c r="N198" i="26"/>
  <c r="N199" i="26"/>
  <c r="N200" i="26"/>
  <c r="N201" i="26"/>
  <c r="N202" i="26"/>
  <c r="N203" i="26"/>
  <c r="N204" i="26"/>
  <c r="N205" i="26"/>
  <c r="N206" i="26"/>
  <c r="N207" i="26"/>
  <c r="N208" i="26"/>
  <c r="N209" i="26"/>
  <c r="N210" i="26"/>
  <c r="N211" i="26"/>
  <c r="N212" i="26"/>
  <c r="N213" i="26"/>
  <c r="N214" i="26"/>
  <c r="N215" i="26"/>
  <c r="N216" i="26"/>
  <c r="N217" i="26"/>
  <c r="N218" i="26"/>
  <c r="N219" i="26"/>
  <c r="N220" i="26"/>
  <c r="N221" i="26"/>
  <c r="N222" i="26"/>
  <c r="N223" i="26"/>
  <c r="N224" i="26"/>
  <c r="N225" i="26"/>
  <c r="N226" i="26"/>
  <c r="O226" i="26" s="1"/>
  <c r="R226" i="26" s="1"/>
  <c r="T226" i="26" s="1"/>
  <c r="N227" i="26"/>
  <c r="N228" i="26"/>
  <c r="N229" i="26"/>
  <c r="O229" i="26" s="1"/>
  <c r="R229" i="26" s="1"/>
  <c r="T229" i="26" s="1"/>
  <c r="N230" i="26"/>
  <c r="N231" i="26"/>
  <c r="N232" i="26"/>
  <c r="N233" i="26"/>
  <c r="N234" i="26"/>
  <c r="N235" i="26"/>
  <c r="N236" i="26"/>
  <c r="N238" i="26"/>
  <c r="N239" i="26"/>
  <c r="N240" i="26"/>
  <c r="O240" i="26" s="1"/>
  <c r="R240" i="26" s="1"/>
  <c r="T240" i="26" s="1"/>
  <c r="N241" i="26"/>
  <c r="N242" i="26"/>
  <c r="N243" i="26"/>
  <c r="N244" i="26"/>
  <c r="N245" i="26"/>
  <c r="N246" i="26"/>
  <c r="N247" i="26"/>
  <c r="N248" i="26"/>
  <c r="O248" i="26" s="1"/>
  <c r="R248" i="26" s="1"/>
  <c r="T248" i="26" s="1"/>
  <c r="N249" i="26"/>
  <c r="N250" i="26"/>
  <c r="N251" i="26"/>
  <c r="N252" i="26"/>
  <c r="N254" i="26"/>
  <c r="O254" i="26" s="1"/>
  <c r="R254" i="26" s="1"/>
  <c r="T254" i="26" s="1"/>
  <c r="N255" i="26"/>
  <c r="N256" i="26"/>
  <c r="N257" i="26"/>
  <c r="N258" i="26"/>
  <c r="N259" i="26"/>
  <c r="N260" i="26"/>
  <c r="N261" i="26"/>
  <c r="N262" i="26"/>
  <c r="N263" i="26"/>
  <c r="N264" i="26"/>
  <c r="N265" i="26"/>
  <c r="O265" i="26" s="1"/>
  <c r="R265" i="26" s="1"/>
  <c r="T265" i="26" s="1"/>
  <c r="N266" i="26"/>
  <c r="O266" i="26" s="1"/>
  <c r="R266" i="26" s="1"/>
  <c r="T266" i="26" s="1"/>
  <c r="N267" i="26"/>
  <c r="N268" i="26"/>
  <c r="O268" i="26" s="1"/>
  <c r="R268" i="26" s="1"/>
  <c r="T268" i="26" s="1"/>
  <c r="N269" i="26"/>
  <c r="O269" i="26" s="1"/>
  <c r="R269" i="26" s="1"/>
  <c r="T269" i="26" s="1"/>
  <c r="N270" i="26"/>
  <c r="N271" i="26"/>
  <c r="N272" i="26"/>
  <c r="N273" i="26"/>
  <c r="N274" i="26"/>
  <c r="N275" i="26"/>
  <c r="N276" i="26"/>
  <c r="N277" i="26"/>
  <c r="N278" i="26"/>
  <c r="N279" i="26"/>
  <c r="N280" i="26"/>
  <c r="N281" i="26"/>
  <c r="N282" i="26"/>
  <c r="N283" i="26"/>
  <c r="N284" i="26"/>
  <c r="N285" i="26"/>
  <c r="N286" i="26"/>
  <c r="N287" i="26"/>
  <c r="N288" i="26"/>
  <c r="N289" i="26"/>
  <c r="N290" i="26"/>
  <c r="N291" i="26"/>
  <c r="N292" i="26"/>
  <c r="N293" i="26"/>
  <c r="N294" i="26"/>
  <c r="O294" i="26" s="1"/>
  <c r="R294" i="26" s="1"/>
  <c r="T294" i="26" s="1"/>
  <c r="N295" i="26"/>
  <c r="O295" i="26" s="1"/>
  <c r="R295" i="26" s="1"/>
  <c r="T295" i="26" s="1"/>
  <c r="N296" i="26"/>
  <c r="O296" i="26" s="1"/>
  <c r="R296" i="26" s="1"/>
  <c r="T296" i="26" s="1"/>
  <c r="N297" i="26"/>
  <c r="O297" i="26" s="1"/>
  <c r="R297" i="26" s="1"/>
  <c r="T297" i="26" s="1"/>
  <c r="N298" i="26"/>
  <c r="O298" i="26" s="1"/>
  <c r="R298" i="26" s="1"/>
  <c r="T298" i="26" s="1"/>
  <c r="N299" i="26"/>
  <c r="O299" i="26" s="1"/>
  <c r="R299" i="26" s="1"/>
  <c r="T299" i="26" s="1"/>
  <c r="N300" i="26"/>
  <c r="O300" i="26" s="1"/>
  <c r="R300" i="26" s="1"/>
  <c r="T300" i="26" s="1"/>
  <c r="N301" i="26"/>
  <c r="O301" i="26" s="1"/>
  <c r="R301" i="26" s="1"/>
  <c r="T301" i="26" s="1"/>
  <c r="N302" i="26"/>
  <c r="N303" i="26"/>
  <c r="O303" i="26" s="1"/>
  <c r="R303" i="26" s="1"/>
  <c r="T303" i="26" s="1"/>
  <c r="N304" i="26"/>
  <c r="O304" i="26" s="1"/>
  <c r="R304" i="26" s="1"/>
  <c r="T304" i="26" s="1"/>
  <c r="N305" i="26"/>
  <c r="O305" i="26" s="1"/>
  <c r="R305" i="26" s="1"/>
  <c r="T305" i="26" s="1"/>
  <c r="N306" i="26"/>
  <c r="O306" i="26" s="1"/>
  <c r="R306" i="26" s="1"/>
  <c r="T306" i="26" s="1"/>
  <c r="N308" i="26"/>
  <c r="O308" i="26" s="1"/>
  <c r="R308" i="26" s="1"/>
  <c r="T308" i="26" s="1"/>
  <c r="N309" i="26"/>
  <c r="O309" i="26" s="1"/>
  <c r="R309" i="26" s="1"/>
  <c r="T309" i="26" s="1"/>
  <c r="N310" i="26"/>
  <c r="O310" i="26" s="1"/>
  <c r="R310" i="26" s="1"/>
  <c r="T310" i="26" s="1"/>
  <c r="N311" i="26"/>
  <c r="O311" i="26" s="1"/>
  <c r="R311" i="26" s="1"/>
  <c r="T311" i="26" s="1"/>
  <c r="N312" i="26"/>
  <c r="O312" i="26" s="1"/>
  <c r="R312" i="26" s="1"/>
  <c r="T312" i="26" s="1"/>
  <c r="N313" i="26"/>
  <c r="O313" i="26" s="1"/>
  <c r="R313" i="26" s="1"/>
  <c r="T313" i="26" s="1"/>
  <c r="N314" i="26"/>
  <c r="O314" i="26" s="1"/>
  <c r="R314" i="26" s="1"/>
  <c r="T314" i="26" s="1"/>
  <c r="N315" i="26"/>
  <c r="O315" i="26" s="1"/>
  <c r="R315" i="26" s="1"/>
  <c r="T315" i="26" s="1"/>
  <c r="N316" i="26"/>
  <c r="O316" i="26" s="1"/>
  <c r="R316" i="26" s="1"/>
  <c r="T316" i="26" s="1"/>
  <c r="N317" i="26"/>
  <c r="O317" i="26" s="1"/>
  <c r="R317" i="26" s="1"/>
  <c r="T317" i="26" s="1"/>
  <c r="N318" i="26"/>
  <c r="O318" i="26" s="1"/>
  <c r="R318" i="26" s="1"/>
  <c r="T318" i="26" s="1"/>
  <c r="N319" i="26"/>
  <c r="O319" i="26" s="1"/>
  <c r="R319" i="26" s="1"/>
  <c r="T319" i="26" s="1"/>
  <c r="N320" i="26"/>
  <c r="O320" i="26" s="1"/>
  <c r="R320" i="26" s="1"/>
  <c r="T320" i="26" s="1"/>
  <c r="N321" i="26"/>
  <c r="N322" i="26"/>
  <c r="O322" i="26" s="1"/>
  <c r="R322" i="26" s="1"/>
  <c r="T322" i="26" s="1"/>
  <c r="N323" i="26"/>
  <c r="O323" i="26" s="1"/>
  <c r="R323" i="26" s="1"/>
  <c r="T323" i="26" s="1"/>
  <c r="N324" i="26"/>
  <c r="O324" i="26" s="1"/>
  <c r="R324" i="26" s="1"/>
  <c r="T324" i="26" s="1"/>
  <c r="N325" i="26"/>
  <c r="O325" i="26" s="1"/>
  <c r="R325" i="26" s="1"/>
  <c r="T325" i="26" s="1"/>
  <c r="N326" i="26"/>
  <c r="O326" i="26" s="1"/>
  <c r="R326" i="26" s="1"/>
  <c r="T326" i="26" s="1"/>
  <c r="B326" i="26"/>
  <c r="V326" i="26"/>
  <c r="B325" i="26"/>
  <c r="V325" i="26"/>
  <c r="B324" i="26"/>
  <c r="V324" i="26"/>
  <c r="B323" i="26"/>
  <c r="V323" i="26"/>
  <c r="B322" i="26"/>
  <c r="V322" i="26"/>
  <c r="M321" i="26"/>
  <c r="K321" i="26"/>
  <c r="B321" i="26"/>
  <c r="V321" i="26"/>
  <c r="B320" i="26"/>
  <c r="V320" i="26"/>
  <c r="B319" i="26"/>
  <c r="V319" i="26"/>
  <c r="M307" i="26"/>
  <c r="N307" i="26" s="1"/>
  <c r="O307" i="26" s="1"/>
  <c r="R307" i="26" s="1"/>
  <c r="T307" i="26" s="1"/>
  <c r="B307" i="26"/>
  <c r="V307" i="26"/>
  <c r="B306" i="26"/>
  <c r="V306" i="26"/>
  <c r="B318" i="26"/>
  <c r="V318" i="26"/>
  <c r="B317" i="26"/>
  <c r="V317" i="26"/>
  <c r="B316" i="26"/>
  <c r="V316" i="26"/>
  <c r="B315" i="26"/>
  <c r="V315" i="26"/>
  <c r="B314" i="26"/>
  <c r="V314" i="26"/>
  <c r="B313" i="26"/>
  <c r="V313" i="26"/>
  <c r="B312" i="26"/>
  <c r="V312" i="26"/>
  <c r="B311" i="26"/>
  <c r="V311" i="26"/>
  <c r="B310" i="26"/>
  <c r="V310" i="26"/>
  <c r="B309" i="26"/>
  <c r="V309" i="26"/>
  <c r="S289" i="26"/>
  <c r="B240" i="26"/>
  <c r="V240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7" i="26"/>
  <c r="B228" i="26"/>
  <c r="B230" i="26"/>
  <c r="B231" i="26"/>
  <c r="B232" i="26"/>
  <c r="B233" i="26"/>
  <c r="B234" i="26"/>
  <c r="B235" i="26"/>
  <c r="B236" i="26"/>
  <c r="B237" i="26"/>
  <c r="B238" i="26"/>
  <c r="B239" i="26"/>
  <c r="B241" i="26"/>
  <c r="B242" i="26"/>
  <c r="B243" i="26"/>
  <c r="B244" i="26"/>
  <c r="B245" i="26"/>
  <c r="B246" i="26"/>
  <c r="B247" i="26"/>
  <c r="B249" i="26"/>
  <c r="B250" i="26"/>
  <c r="B251" i="26"/>
  <c r="B252" i="26"/>
  <c r="B253" i="26"/>
  <c r="B255" i="26"/>
  <c r="B256" i="26"/>
  <c r="B257" i="26"/>
  <c r="B258" i="26"/>
  <c r="B259" i="26"/>
  <c r="B260" i="26"/>
  <c r="B261" i="26"/>
  <c r="B262" i="26"/>
  <c r="B263" i="26"/>
  <c r="B264" i="26"/>
  <c r="B267" i="26"/>
  <c r="B270" i="26"/>
  <c r="B271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72" i="26"/>
  <c r="B273" i="26"/>
  <c r="B291" i="26"/>
  <c r="B292" i="26"/>
  <c r="B293" i="26"/>
  <c r="B302" i="26"/>
  <c r="B304" i="26"/>
  <c r="B229" i="26"/>
  <c r="B265" i="26"/>
  <c r="B303" i="26"/>
  <c r="B226" i="26"/>
  <c r="B308" i="26"/>
  <c r="B305" i="26"/>
  <c r="B295" i="26"/>
  <c r="B296" i="26"/>
  <c r="B297" i="26"/>
  <c r="B298" i="26"/>
  <c r="B268" i="26"/>
  <c r="B294" i="26"/>
  <c r="B266" i="26"/>
  <c r="B299" i="26"/>
  <c r="B300" i="26"/>
  <c r="B248" i="26"/>
  <c r="B254" i="26"/>
  <c r="B301" i="26"/>
  <c r="B269" i="26"/>
  <c r="V269" i="26"/>
  <c r="V301" i="26"/>
  <c r="V254" i="26"/>
  <c r="V248" i="26"/>
  <c r="V300" i="26"/>
  <c r="V299" i="26"/>
  <c r="V266" i="26"/>
  <c r="V294" i="26"/>
  <c r="V268" i="26"/>
  <c r="V298" i="26"/>
  <c r="V297" i="26"/>
  <c r="V296" i="26"/>
  <c r="V295" i="26"/>
  <c r="V305" i="26"/>
  <c r="V308" i="26"/>
  <c r="V226" i="26"/>
  <c r="V303" i="26"/>
  <c r="V265" i="26"/>
  <c r="V229" i="26"/>
  <c r="V304" i="26"/>
  <c r="O321" i="26" l="1"/>
  <c r="R321" i="26" s="1"/>
  <c r="T321" i="26" s="1"/>
  <c r="S271" i="26"/>
  <c r="O302" i="26"/>
  <c r="R302" i="26" s="1"/>
  <c r="T302" i="26" s="1"/>
  <c r="V302" i="26"/>
  <c r="O293" i="26"/>
  <c r="R293" i="26" s="1"/>
  <c r="T293" i="26" s="1"/>
  <c r="V293" i="26"/>
  <c r="O292" i="26"/>
  <c r="R292" i="26" s="1"/>
  <c r="T292" i="26" s="1"/>
  <c r="V292" i="26"/>
  <c r="O291" i="26"/>
  <c r="R291" i="26" s="1"/>
  <c r="T291" i="26" s="1"/>
  <c r="V291" i="26"/>
  <c r="O273" i="26"/>
  <c r="R273" i="26" s="1"/>
  <c r="T273" i="26" s="1"/>
  <c r="V273" i="26"/>
  <c r="O272" i="26"/>
  <c r="R272" i="26" s="1"/>
  <c r="T272" i="26" s="1"/>
  <c r="V272" i="26"/>
  <c r="O290" i="26" l="1"/>
  <c r="R290" i="26" s="1"/>
  <c r="T290" i="26" s="1"/>
  <c r="V290" i="26"/>
  <c r="O289" i="26"/>
  <c r="R289" i="26" s="1"/>
  <c r="T289" i="26" s="1"/>
  <c r="V289" i="26"/>
  <c r="O288" i="26"/>
  <c r="R288" i="26" s="1"/>
  <c r="T288" i="26" s="1"/>
  <c r="V288" i="26"/>
  <c r="O287" i="26"/>
  <c r="R287" i="26" s="1"/>
  <c r="T287" i="26" s="1"/>
  <c r="V287" i="26"/>
  <c r="O286" i="26"/>
  <c r="R286" i="26" s="1"/>
  <c r="T286" i="26" s="1"/>
  <c r="V286" i="26"/>
  <c r="O285" i="26"/>
  <c r="R285" i="26" s="1"/>
  <c r="T285" i="26" s="1"/>
  <c r="V285" i="26"/>
  <c r="O284" i="26"/>
  <c r="R284" i="26" s="1"/>
  <c r="T284" i="26" s="1"/>
  <c r="V284" i="26"/>
  <c r="O283" i="26"/>
  <c r="R283" i="26" s="1"/>
  <c r="T283" i="26" s="1"/>
  <c r="V283" i="26"/>
  <c r="O282" i="26"/>
  <c r="R282" i="26" s="1"/>
  <c r="T282" i="26" s="1"/>
  <c r="V282" i="26"/>
  <c r="O281" i="26"/>
  <c r="R281" i="26" s="1"/>
  <c r="T281" i="26" s="1"/>
  <c r="V281" i="26"/>
  <c r="O280" i="26"/>
  <c r="R280" i="26" s="1"/>
  <c r="T280" i="26" s="1"/>
  <c r="V280" i="26"/>
  <c r="O279" i="26" l="1"/>
  <c r="R279" i="26" s="1"/>
  <c r="T279" i="26" s="1"/>
  <c r="V279" i="26"/>
  <c r="O278" i="26"/>
  <c r="R278" i="26" s="1"/>
  <c r="T278" i="26" s="1"/>
  <c r="V278" i="26"/>
  <c r="O277" i="26"/>
  <c r="R277" i="26" s="1"/>
  <c r="T277" i="26" s="1"/>
  <c r="V277" i="26"/>
  <c r="O276" i="26"/>
  <c r="R276" i="26" s="1"/>
  <c r="T276" i="26" s="1"/>
  <c r="V276" i="26"/>
  <c r="O275" i="26"/>
  <c r="R275" i="26" s="1"/>
  <c r="T275" i="26" s="1"/>
  <c r="V275" i="26"/>
  <c r="O274" i="26"/>
  <c r="R274" i="26" s="1"/>
  <c r="T274" i="26" s="1"/>
  <c r="V274" i="26"/>
  <c r="K237" i="26" l="1"/>
  <c r="O224" i="26" l="1"/>
  <c r="R224" i="26" s="1"/>
  <c r="T224" i="26" s="1"/>
  <c r="V224" i="26"/>
  <c r="K253" i="26" l="1"/>
  <c r="M253" i="26"/>
  <c r="N253" i="26" s="1"/>
  <c r="V253" i="26"/>
  <c r="O247" i="26"/>
  <c r="R247" i="26" s="1"/>
  <c r="T247" i="26" s="1"/>
  <c r="V247" i="26"/>
  <c r="O239" i="26"/>
  <c r="R239" i="26" s="1"/>
  <c r="T239" i="26" s="1"/>
  <c r="V239" i="26"/>
  <c r="O246" i="26"/>
  <c r="R246" i="26" s="1"/>
  <c r="T246" i="26" s="1"/>
  <c r="V246" i="26"/>
  <c r="O245" i="26"/>
  <c r="R245" i="26" s="1"/>
  <c r="T245" i="26" s="1"/>
  <c r="V245" i="26"/>
  <c r="O244" i="26"/>
  <c r="R244" i="26" s="1"/>
  <c r="T244" i="26" s="1"/>
  <c r="V244" i="26"/>
  <c r="O243" i="26"/>
  <c r="R243" i="26" s="1"/>
  <c r="T243" i="26" s="1"/>
  <c r="V243" i="26"/>
  <c r="O242" i="26"/>
  <c r="R242" i="26" s="1"/>
  <c r="T242" i="26" s="1"/>
  <c r="V242" i="26"/>
  <c r="O252" i="26"/>
  <c r="R252" i="26" s="1"/>
  <c r="T252" i="26" s="1"/>
  <c r="V252" i="26"/>
  <c r="O228" i="26"/>
  <c r="R228" i="26" s="1"/>
  <c r="T228" i="26" s="1"/>
  <c r="V228" i="26"/>
  <c r="O238" i="26"/>
  <c r="R238" i="26" s="1"/>
  <c r="T238" i="26" s="1"/>
  <c r="V238" i="26"/>
  <c r="O251" i="26"/>
  <c r="R251" i="26" s="1"/>
  <c r="T251" i="26" s="1"/>
  <c r="V251" i="26"/>
  <c r="O250" i="26"/>
  <c r="R250" i="26" s="1"/>
  <c r="T250" i="26" s="1"/>
  <c r="V250" i="26"/>
  <c r="O267" i="26"/>
  <c r="R267" i="26" s="1"/>
  <c r="T267" i="26" s="1"/>
  <c r="V267" i="26"/>
  <c r="O255" i="26"/>
  <c r="R255" i="26" s="1"/>
  <c r="T255" i="26" s="1"/>
  <c r="V255" i="26"/>
  <c r="O249" i="26"/>
  <c r="R249" i="26" s="1"/>
  <c r="T249" i="26" s="1"/>
  <c r="V249" i="26"/>
  <c r="O264" i="26"/>
  <c r="R264" i="26" s="1"/>
  <c r="T264" i="26" s="1"/>
  <c r="V264" i="26"/>
  <c r="O263" i="26"/>
  <c r="R263" i="26" s="1"/>
  <c r="T263" i="26" s="1"/>
  <c r="V263" i="26"/>
  <c r="O241" i="26"/>
  <c r="R241" i="26" s="1"/>
  <c r="T241" i="26" s="1"/>
  <c r="V241" i="26"/>
  <c r="O262" i="26"/>
  <c r="R262" i="26" s="1"/>
  <c r="T262" i="26" s="1"/>
  <c r="V262" i="26"/>
  <c r="O270" i="26"/>
  <c r="R270" i="26" s="1"/>
  <c r="T270" i="26" s="1"/>
  <c r="V270" i="26"/>
  <c r="O258" i="26"/>
  <c r="R258" i="26" s="1"/>
  <c r="T258" i="26" s="1"/>
  <c r="V258" i="26"/>
  <c r="O261" i="26"/>
  <c r="R261" i="26" s="1"/>
  <c r="T261" i="26" s="1"/>
  <c r="V261" i="26"/>
  <c r="V257" i="26"/>
  <c r="O257" i="26"/>
  <c r="R257" i="26" s="1"/>
  <c r="T257" i="26" s="1"/>
  <c r="O260" i="26"/>
  <c r="R260" i="26" s="1"/>
  <c r="T260" i="26" s="1"/>
  <c r="V260" i="26"/>
  <c r="O256" i="26"/>
  <c r="R256" i="26" s="1"/>
  <c r="T256" i="26" s="1"/>
  <c r="V256" i="26"/>
  <c r="O259" i="26"/>
  <c r="R259" i="26" s="1"/>
  <c r="T259" i="26" s="1"/>
  <c r="V259" i="26"/>
  <c r="O271" i="26"/>
  <c r="R271" i="26" s="1"/>
  <c r="T271" i="26" s="1"/>
  <c r="V271" i="26"/>
  <c r="O253" i="26" l="1"/>
  <c r="R253" i="26" s="1"/>
  <c r="T253" i="26" s="1"/>
  <c r="M131" i="26"/>
  <c r="N131" i="26" s="1"/>
  <c r="L1" i="26"/>
  <c r="K1" i="26"/>
  <c r="V131" i="26"/>
  <c r="O119" i="26"/>
  <c r="R119" i="26" s="1"/>
  <c r="T119" i="26" s="1"/>
  <c r="V119" i="26"/>
  <c r="O122" i="26"/>
  <c r="R122" i="26" s="1"/>
  <c r="T122" i="26" s="1"/>
  <c r="V122" i="26"/>
  <c r="O133" i="26"/>
  <c r="R133" i="26" s="1"/>
  <c r="T133" i="26" s="1"/>
  <c r="V133" i="26"/>
  <c r="O124" i="26"/>
  <c r="R124" i="26" s="1"/>
  <c r="T124" i="26" s="1"/>
  <c r="V124" i="26"/>
  <c r="O137" i="26"/>
  <c r="R137" i="26" s="1"/>
  <c r="T137" i="26" s="1"/>
  <c r="V137" i="26"/>
  <c r="O140" i="26"/>
  <c r="R140" i="26" s="1"/>
  <c r="T140" i="26" s="1"/>
  <c r="V140" i="26"/>
  <c r="O134" i="26"/>
  <c r="R134" i="26" s="1"/>
  <c r="T134" i="26" s="1"/>
  <c r="V134" i="26"/>
  <c r="O139" i="26"/>
  <c r="R139" i="26" s="1"/>
  <c r="T139" i="26" s="1"/>
  <c r="V139" i="26"/>
  <c r="O128" i="26"/>
  <c r="R128" i="26" s="1"/>
  <c r="T128" i="26" s="1"/>
  <c r="V128" i="26"/>
  <c r="O123" i="26"/>
  <c r="R123" i="26" s="1"/>
  <c r="T123" i="26" s="1"/>
  <c r="V123" i="26"/>
  <c r="O126" i="26"/>
  <c r="R126" i="26" s="1"/>
  <c r="T126" i="26" s="1"/>
  <c r="V126" i="26"/>
  <c r="O127" i="26"/>
  <c r="R127" i="26" s="1"/>
  <c r="T127" i="26" s="1"/>
  <c r="V127" i="26"/>
  <c r="O136" i="26"/>
  <c r="R136" i="26" s="1"/>
  <c r="T136" i="26" s="1"/>
  <c r="V136" i="26"/>
  <c r="O130" i="26"/>
  <c r="R130" i="26" s="1"/>
  <c r="T130" i="26" s="1"/>
  <c r="V130" i="26"/>
  <c r="O129" i="26"/>
  <c r="R129" i="26" s="1"/>
  <c r="T129" i="26" s="1"/>
  <c r="V129" i="26"/>
  <c r="O135" i="26"/>
  <c r="R135" i="26" s="1"/>
  <c r="T135" i="26" s="1"/>
  <c r="V135" i="26"/>
  <c r="O141" i="26"/>
  <c r="R141" i="26" s="1"/>
  <c r="T141" i="26" s="1"/>
  <c r="V141" i="26"/>
  <c r="O138" i="26"/>
  <c r="R138" i="26" s="1"/>
  <c r="T138" i="26" s="1"/>
  <c r="V138" i="26"/>
  <c r="O6" i="26"/>
  <c r="R6" i="26" s="1"/>
  <c r="T6" i="26" s="1"/>
  <c r="V6" i="26"/>
  <c r="O121" i="26"/>
  <c r="R121" i="26" s="1"/>
  <c r="T121" i="26" s="1"/>
  <c r="V121" i="26"/>
  <c r="O125" i="26"/>
  <c r="R125" i="26" s="1"/>
  <c r="T125" i="26" s="1"/>
  <c r="V125" i="26"/>
  <c r="O156" i="26"/>
  <c r="R156" i="26" s="1"/>
  <c r="T156" i="26" s="1"/>
  <c r="V156" i="26"/>
  <c r="O155" i="26"/>
  <c r="R155" i="26" s="1"/>
  <c r="T155" i="26" s="1"/>
  <c r="V155" i="26"/>
  <c r="O152" i="26"/>
  <c r="R152" i="26" s="1"/>
  <c r="T152" i="26" s="1"/>
  <c r="V152" i="26"/>
  <c r="S1" i="26"/>
  <c r="O151" i="26"/>
  <c r="R151" i="26" s="1"/>
  <c r="T151" i="26" s="1"/>
  <c r="V151" i="26"/>
  <c r="O164" i="26"/>
  <c r="R164" i="26" s="1"/>
  <c r="T164" i="26" s="1"/>
  <c r="V164" i="26"/>
  <c r="M163" i="26"/>
  <c r="N163" i="26" s="1"/>
  <c r="V163" i="26"/>
  <c r="O162" i="26"/>
  <c r="R162" i="26" s="1"/>
  <c r="T162" i="26" s="1"/>
  <c r="V162" i="26"/>
  <c r="M161" i="26"/>
  <c r="V161" i="26"/>
  <c r="O159" i="26"/>
  <c r="R159" i="26" s="1"/>
  <c r="T159" i="26" s="1"/>
  <c r="V159" i="26"/>
  <c r="O158" i="26"/>
  <c r="R158" i="26" s="1"/>
  <c r="T158" i="26" s="1"/>
  <c r="V158" i="26"/>
  <c r="O147" i="26"/>
  <c r="R147" i="26" s="1"/>
  <c r="T147" i="26" s="1"/>
  <c r="V147" i="26"/>
  <c r="O146" i="26"/>
  <c r="R146" i="26" s="1"/>
  <c r="T146" i="26" s="1"/>
  <c r="V146" i="26"/>
  <c r="O153" i="26"/>
  <c r="R153" i="26" s="1"/>
  <c r="T153" i="26" s="1"/>
  <c r="V153" i="26"/>
  <c r="O149" i="26"/>
  <c r="R149" i="26" s="1"/>
  <c r="T149" i="26" s="1"/>
  <c r="V149" i="26"/>
  <c r="O150" i="26"/>
  <c r="R150" i="26" s="1"/>
  <c r="T150" i="26" s="1"/>
  <c r="V150" i="26"/>
  <c r="O148" i="26"/>
  <c r="R148" i="26" s="1"/>
  <c r="T148" i="26" s="1"/>
  <c r="V148" i="26"/>
  <c r="O143" i="26"/>
  <c r="R143" i="26" s="1"/>
  <c r="T143" i="26" s="1"/>
  <c r="V143" i="26"/>
  <c r="O145" i="26"/>
  <c r="R145" i="26" s="1"/>
  <c r="T145" i="26" s="1"/>
  <c r="V145" i="26"/>
  <c r="O144" i="26"/>
  <c r="R144" i="26" s="1"/>
  <c r="T144" i="26" s="1"/>
  <c r="V144" i="26"/>
  <c r="O160" i="26"/>
  <c r="R160" i="26" s="1"/>
  <c r="T160" i="26" s="1"/>
  <c r="V160" i="26"/>
  <c r="O157" i="26"/>
  <c r="R157" i="26" s="1"/>
  <c r="T157" i="26" s="1"/>
  <c r="V157" i="26"/>
  <c r="O154" i="26"/>
  <c r="R154" i="26" s="1"/>
  <c r="T154" i="26" s="1"/>
  <c r="V154" i="26"/>
  <c r="N161" i="26" l="1"/>
  <c r="O161" i="26"/>
  <c r="R161" i="26" s="1"/>
  <c r="T161" i="26" s="1"/>
  <c r="O163" i="26"/>
  <c r="R163" i="26" s="1"/>
  <c r="T163" i="26" s="1"/>
  <c r="O131" i="26"/>
  <c r="R131" i="26" s="1"/>
  <c r="T131" i="26" s="1"/>
  <c r="O99" i="26"/>
  <c r="R99" i="26" s="1"/>
  <c r="T99" i="26" s="1"/>
  <c r="V99" i="26"/>
  <c r="O166" i="26"/>
  <c r="R166" i="26" s="1"/>
  <c r="T166" i="26" s="1"/>
  <c r="V166" i="26"/>
  <c r="O142" i="26"/>
  <c r="R142" i="26" s="1"/>
  <c r="T142" i="26" s="1"/>
  <c r="V142" i="26"/>
  <c r="M182" i="26"/>
  <c r="V182" i="26"/>
  <c r="O175" i="26"/>
  <c r="R175" i="26" s="1"/>
  <c r="T175" i="26" s="1"/>
  <c r="V175" i="26"/>
  <c r="O191" i="26"/>
  <c r="R191" i="26" s="1"/>
  <c r="T191" i="26" s="1"/>
  <c r="V191" i="26"/>
  <c r="O181" i="26"/>
  <c r="R181" i="26" s="1"/>
  <c r="T181" i="26" s="1"/>
  <c r="V181" i="26"/>
  <c r="O179" i="26"/>
  <c r="R179" i="26" s="1"/>
  <c r="T179" i="26" s="1"/>
  <c r="V179" i="26"/>
  <c r="O174" i="26"/>
  <c r="R174" i="26" s="1"/>
  <c r="T174" i="26" s="1"/>
  <c r="V174" i="26"/>
  <c r="O180" i="26"/>
  <c r="R180" i="26" s="1"/>
  <c r="T180" i="26" s="1"/>
  <c r="V180" i="26"/>
  <c r="O178" i="26"/>
  <c r="R178" i="26" s="1"/>
  <c r="T178" i="26" s="1"/>
  <c r="V178" i="26"/>
  <c r="O177" i="26"/>
  <c r="R177" i="26" s="1"/>
  <c r="T177" i="26" s="1"/>
  <c r="V177" i="26"/>
  <c r="O176" i="26"/>
  <c r="R176" i="26" s="1"/>
  <c r="T176" i="26" s="1"/>
  <c r="V176" i="26"/>
  <c r="O173" i="26"/>
  <c r="R173" i="26" s="1"/>
  <c r="T173" i="26" s="1"/>
  <c r="V173" i="26"/>
  <c r="O172" i="26"/>
  <c r="R172" i="26" s="1"/>
  <c r="T172" i="26" s="1"/>
  <c r="V172" i="26"/>
  <c r="O169" i="26"/>
  <c r="R169" i="26" s="1"/>
  <c r="T169" i="26" s="1"/>
  <c r="V169" i="26"/>
  <c r="O168" i="26"/>
  <c r="R168" i="26" s="1"/>
  <c r="T168" i="26" s="1"/>
  <c r="V168" i="26"/>
  <c r="O92" i="26"/>
  <c r="R92" i="26" s="1"/>
  <c r="T92" i="26" s="1"/>
  <c r="V92" i="26"/>
  <c r="O171" i="26"/>
  <c r="R171" i="26" s="1"/>
  <c r="T171" i="26" s="1"/>
  <c r="V171" i="26"/>
  <c r="O167" i="26"/>
  <c r="R167" i="26" s="1"/>
  <c r="T167" i="26" s="1"/>
  <c r="V167" i="26"/>
  <c r="O186" i="26"/>
  <c r="R186" i="26" s="1"/>
  <c r="T186" i="26" s="1"/>
  <c r="V186" i="26"/>
  <c r="O190" i="26"/>
  <c r="R190" i="26" s="1"/>
  <c r="T190" i="26" s="1"/>
  <c r="V190" i="26"/>
  <c r="O189" i="26"/>
  <c r="R189" i="26" s="1"/>
  <c r="T189" i="26" s="1"/>
  <c r="V189" i="26"/>
  <c r="O188" i="26"/>
  <c r="R188" i="26" s="1"/>
  <c r="T188" i="26" s="1"/>
  <c r="V188" i="26"/>
  <c r="O185" i="26"/>
  <c r="R185" i="26" s="1"/>
  <c r="T185" i="26" s="1"/>
  <c r="V185" i="26"/>
  <c r="O187" i="26"/>
  <c r="R187" i="26" s="1"/>
  <c r="T187" i="26" s="1"/>
  <c r="V187" i="26"/>
  <c r="O184" i="26"/>
  <c r="R184" i="26" s="1"/>
  <c r="T184" i="26" s="1"/>
  <c r="V184" i="26"/>
  <c r="O196" i="26"/>
  <c r="R196" i="26" s="1"/>
  <c r="T196" i="26" s="1"/>
  <c r="V196" i="26"/>
  <c r="O195" i="26"/>
  <c r="R195" i="26" s="1"/>
  <c r="T195" i="26" s="1"/>
  <c r="V195" i="26"/>
  <c r="O198" i="26"/>
  <c r="R198" i="26" s="1"/>
  <c r="T198" i="26" s="1"/>
  <c r="V198" i="26"/>
  <c r="O193" i="26"/>
  <c r="R193" i="26" s="1"/>
  <c r="T193" i="26" s="1"/>
  <c r="V193" i="26"/>
  <c r="O197" i="26"/>
  <c r="R197" i="26" s="1"/>
  <c r="T197" i="26" s="1"/>
  <c r="V197" i="26"/>
  <c r="O165" i="26"/>
  <c r="R165" i="26" s="1"/>
  <c r="T165" i="26" s="1"/>
  <c r="V165" i="26"/>
  <c r="O194" i="26"/>
  <c r="R194" i="26" s="1"/>
  <c r="T194" i="26" s="1"/>
  <c r="V194" i="26"/>
  <c r="O192" i="26"/>
  <c r="R192" i="26" s="1"/>
  <c r="T192" i="26" s="1"/>
  <c r="V192" i="26"/>
  <c r="O183" i="26"/>
  <c r="R183" i="26" s="1"/>
  <c r="T183" i="26" s="1"/>
  <c r="V183" i="26"/>
  <c r="M237" i="26"/>
  <c r="V237" i="26"/>
  <c r="O233" i="26"/>
  <c r="R233" i="26" s="1"/>
  <c r="T233" i="26" s="1"/>
  <c r="V233" i="26"/>
  <c r="O236" i="26"/>
  <c r="R236" i="26" s="1"/>
  <c r="T236" i="26" s="1"/>
  <c r="V236" i="26"/>
  <c r="O231" i="26"/>
  <c r="R231" i="26" s="1"/>
  <c r="T231" i="26" s="1"/>
  <c r="V231" i="26"/>
  <c r="N182" i="26" l="1"/>
  <c r="N237" i="26"/>
  <c r="O237" i="26" s="1"/>
  <c r="R237" i="26" s="1"/>
  <c r="T237" i="26" s="1"/>
  <c r="O182" i="26"/>
  <c r="R182" i="26" s="1"/>
  <c r="T182" i="26" s="1"/>
  <c r="O235" i="26"/>
  <c r="R235" i="26" s="1"/>
  <c r="T235" i="26" s="1"/>
  <c r="V235" i="26"/>
  <c r="O234" i="26"/>
  <c r="R234" i="26" s="1"/>
  <c r="T234" i="26" s="1"/>
  <c r="V234" i="26"/>
  <c r="O232" i="26"/>
  <c r="R232" i="26" s="1"/>
  <c r="T232" i="26" s="1"/>
  <c r="V232" i="26"/>
  <c r="O170" i="26"/>
  <c r="R170" i="26" s="1"/>
  <c r="T170" i="26" s="1"/>
  <c r="V170" i="26"/>
  <c r="O215" i="26"/>
  <c r="R215" i="26" s="1"/>
  <c r="T215" i="26" s="1"/>
  <c r="V215" i="26"/>
  <c r="O66" i="26"/>
  <c r="R66" i="26" s="1"/>
  <c r="T66" i="26" s="1"/>
  <c r="V66" i="26"/>
  <c r="O93" i="26"/>
  <c r="R93" i="26" s="1"/>
  <c r="T93" i="26" s="1"/>
  <c r="V93" i="26"/>
  <c r="O230" i="26"/>
  <c r="R230" i="26" s="1"/>
  <c r="T230" i="26" s="1"/>
  <c r="V230" i="26"/>
  <c r="O227" i="26"/>
  <c r="R227" i="26" s="1"/>
  <c r="T227" i="26" s="1"/>
  <c r="V227" i="26"/>
  <c r="O216" i="26"/>
  <c r="R216" i="26" s="1"/>
  <c r="T216" i="26" s="1"/>
  <c r="V216" i="26"/>
  <c r="O210" i="26"/>
  <c r="R210" i="26" s="1"/>
  <c r="T210" i="26" s="1"/>
  <c r="V210" i="26"/>
  <c r="O223" i="26"/>
  <c r="R223" i="26" s="1"/>
  <c r="T223" i="26" s="1"/>
  <c r="V223" i="26"/>
  <c r="O222" i="26"/>
  <c r="R222" i="26" s="1"/>
  <c r="T222" i="26" s="1"/>
  <c r="V222" i="26"/>
  <c r="O221" i="26"/>
  <c r="R221" i="26" s="1"/>
  <c r="T221" i="26" s="1"/>
  <c r="V221" i="26"/>
  <c r="O220" i="26"/>
  <c r="R220" i="26" s="1"/>
  <c r="T220" i="26" s="1"/>
  <c r="V220" i="26"/>
  <c r="V3" i="26"/>
  <c r="V4" i="26"/>
  <c r="V5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4" i="26"/>
  <c r="V95" i="26"/>
  <c r="V96" i="26"/>
  <c r="V97" i="26"/>
  <c r="V98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20" i="26"/>
  <c r="V132" i="26"/>
  <c r="V200" i="26"/>
  <c r="V201" i="26"/>
  <c r="V202" i="26"/>
  <c r="V203" i="26"/>
  <c r="V204" i="26"/>
  <c r="V205" i="26"/>
  <c r="V206" i="26"/>
  <c r="V207" i="26"/>
  <c r="V208" i="26"/>
  <c r="V211" i="26"/>
  <c r="V213" i="26"/>
  <c r="V214" i="26"/>
  <c r="V217" i="26"/>
  <c r="V218" i="26"/>
  <c r="V219" i="26"/>
  <c r="V225" i="26"/>
  <c r="V212" i="26"/>
  <c r="V209" i="26"/>
  <c r="V199" i="26"/>
  <c r="O199" i="26"/>
  <c r="R199" i="26" s="1"/>
  <c r="T199" i="26" s="1"/>
  <c r="O209" i="26"/>
  <c r="R209" i="26" s="1"/>
  <c r="T209" i="26" s="1"/>
  <c r="O212" i="26"/>
  <c r="R212" i="26" s="1"/>
  <c r="T212" i="26" s="1"/>
  <c r="O225" i="26"/>
  <c r="R225" i="26" s="1"/>
  <c r="T225" i="26" s="1"/>
  <c r="O200" i="26"/>
  <c r="R200" i="26" s="1"/>
  <c r="T200" i="26" s="1"/>
  <c r="O208" i="26"/>
  <c r="R208" i="26" s="1"/>
  <c r="T208" i="26" s="1"/>
  <c r="O201" i="26"/>
  <c r="R201" i="26" s="1"/>
  <c r="T201" i="26" s="1"/>
  <c r="O206" i="26"/>
  <c r="R206" i="26" s="1"/>
  <c r="T206" i="26" s="1"/>
  <c r="O205" i="26"/>
  <c r="R205" i="26" s="1"/>
  <c r="T205" i="26" s="1"/>
  <c r="O203" i="26"/>
  <c r="R203" i="26" s="1"/>
  <c r="T203" i="26" s="1"/>
  <c r="O202" i="26"/>
  <c r="R202" i="26" s="1"/>
  <c r="T202" i="26" s="1"/>
  <c r="O207" i="26" l="1"/>
  <c r="R207" i="26" s="1"/>
  <c r="T207" i="26" s="1"/>
  <c r="O204" i="26"/>
  <c r="R204" i="26" s="1"/>
  <c r="T204" i="26" s="1"/>
  <c r="O214" i="26"/>
  <c r="R214" i="26" s="1"/>
  <c r="T214" i="26" s="1"/>
  <c r="O219" i="26"/>
  <c r="R219" i="26" s="1"/>
  <c r="T219" i="26" s="1"/>
  <c r="O218" i="26"/>
  <c r="R218" i="26" s="1"/>
  <c r="T218" i="26" s="1"/>
  <c r="O217" i="26"/>
  <c r="R217" i="26" s="1"/>
  <c r="T217" i="26" s="1"/>
  <c r="O213" i="26"/>
  <c r="R213" i="26" s="1"/>
  <c r="T213" i="26" s="1"/>
  <c r="O211" i="26"/>
  <c r="R211" i="26" s="1"/>
  <c r="T211" i="26" s="1"/>
  <c r="I8" i="27"/>
  <c r="G8" i="27"/>
  <c r="F8" i="27"/>
  <c r="C8" i="27"/>
  <c r="H7" i="27"/>
  <c r="H6" i="27"/>
  <c r="H5" i="27"/>
  <c r="H8" i="27" s="1"/>
  <c r="O62" i="26"/>
  <c r="R62" i="26" s="1"/>
  <c r="T62" i="26" s="1"/>
  <c r="O27" i="26"/>
  <c r="R27" i="26" s="1"/>
  <c r="T27" i="26" s="1"/>
  <c r="O31" i="26"/>
  <c r="R31" i="26" s="1"/>
  <c r="T31" i="26" s="1"/>
  <c r="O26" i="26"/>
  <c r="R26" i="26" s="1"/>
  <c r="T26" i="26" s="1"/>
  <c r="O17" i="26"/>
  <c r="R17" i="26" s="1"/>
  <c r="T17" i="26" s="1"/>
  <c r="O16" i="26"/>
  <c r="R16" i="26" s="1"/>
  <c r="T16" i="26" s="1"/>
  <c r="O9" i="26"/>
  <c r="R9" i="26" s="1"/>
  <c r="T9" i="26" s="1"/>
  <c r="O11" i="26"/>
  <c r="R11" i="26" s="1"/>
  <c r="T11" i="26" s="1"/>
  <c r="O20" i="26"/>
  <c r="R20" i="26" s="1"/>
  <c r="T20" i="26" s="1"/>
  <c r="O30" i="26"/>
  <c r="R30" i="26" s="1"/>
  <c r="T30" i="26" s="1"/>
  <c r="O21" i="26"/>
  <c r="R21" i="26" s="1"/>
  <c r="T21" i="26" s="1"/>
  <c r="O29" i="26"/>
  <c r="R29" i="26" s="1"/>
  <c r="T29" i="26" s="1"/>
  <c r="O32" i="26"/>
  <c r="R32" i="26" s="1"/>
  <c r="T32" i="26" s="1"/>
  <c r="O25" i="26"/>
  <c r="R25" i="26" s="1"/>
  <c r="T25" i="26" s="1"/>
  <c r="O8" i="26"/>
  <c r="R8" i="26" s="1"/>
  <c r="T8" i="26" s="1"/>
  <c r="O28" i="26"/>
  <c r="R28" i="26" s="1"/>
  <c r="T28" i="26" s="1"/>
  <c r="O14" i="26"/>
  <c r="R14" i="26" s="1"/>
  <c r="T14" i="26" s="1"/>
  <c r="O10" i="26"/>
  <c r="R10" i="26" s="1"/>
  <c r="T10" i="26" s="1"/>
  <c r="O24" i="26"/>
  <c r="R24" i="26" s="1"/>
  <c r="T24" i="26" s="1"/>
  <c r="O23" i="26"/>
  <c r="R23" i="26" s="1"/>
  <c r="T23" i="26" s="1"/>
  <c r="O7" i="26"/>
  <c r="R7" i="26" s="1"/>
  <c r="T7" i="26" s="1"/>
  <c r="O22" i="26"/>
  <c r="R22" i="26" s="1"/>
  <c r="T22" i="26" s="1"/>
  <c r="O15" i="26"/>
  <c r="R15" i="26" s="1"/>
  <c r="T15" i="26" s="1"/>
  <c r="Q18" i="26"/>
  <c r="Q1" i="26" s="1"/>
  <c r="O18" i="26"/>
  <c r="O39" i="26"/>
  <c r="R39" i="26" s="1"/>
  <c r="T39" i="26" s="1"/>
  <c r="O33" i="26"/>
  <c r="R33" i="26" s="1"/>
  <c r="T33" i="26" s="1"/>
  <c r="O36" i="26"/>
  <c r="R36" i="26" s="1"/>
  <c r="T36" i="26" s="1"/>
  <c r="O41" i="26"/>
  <c r="R41" i="26" s="1"/>
  <c r="T41" i="26" s="1"/>
  <c r="O42" i="26"/>
  <c r="R42" i="26" s="1"/>
  <c r="T42" i="26" s="1"/>
  <c r="O45" i="26"/>
  <c r="R45" i="26" s="1"/>
  <c r="T45" i="26" s="1"/>
  <c r="M48" i="26"/>
  <c r="O44" i="26"/>
  <c r="R44" i="26" s="1"/>
  <c r="T44" i="26" s="1"/>
  <c r="O47" i="26"/>
  <c r="R47" i="26" s="1"/>
  <c r="T47" i="26" s="1"/>
  <c r="O46" i="26"/>
  <c r="R46" i="26" s="1"/>
  <c r="T46" i="26" s="1"/>
  <c r="M35" i="26"/>
  <c r="O49" i="26"/>
  <c r="R49" i="26" s="1"/>
  <c r="T49" i="26" s="1"/>
  <c r="O56" i="26"/>
  <c r="R56" i="26" s="1"/>
  <c r="T56" i="26" s="1"/>
  <c r="O34" i="26"/>
  <c r="R34" i="26" s="1"/>
  <c r="T34" i="26" s="1"/>
  <c r="O55" i="26"/>
  <c r="R55" i="26" s="1"/>
  <c r="T55" i="26" s="1"/>
  <c r="O52" i="26"/>
  <c r="R52" i="26" s="1"/>
  <c r="T52" i="26" s="1"/>
  <c r="O5" i="26"/>
  <c r="R5" i="26" s="1"/>
  <c r="T5" i="26" s="1"/>
  <c r="O13" i="26"/>
  <c r="R13" i="26" s="1"/>
  <c r="T13" i="26" s="1"/>
  <c r="O12" i="26"/>
  <c r="R12" i="26" s="1"/>
  <c r="T12" i="26" s="1"/>
  <c r="O3" i="26"/>
  <c r="R3" i="26" s="1"/>
  <c r="T3" i="26" s="1"/>
  <c r="O4" i="26"/>
  <c r="R4" i="26" s="1"/>
  <c r="T4" i="26" s="1"/>
  <c r="O53" i="26"/>
  <c r="R53" i="26" s="1"/>
  <c r="T53" i="26" s="1"/>
  <c r="M61" i="26"/>
  <c r="O65" i="26"/>
  <c r="R65" i="26" s="1"/>
  <c r="T65" i="26" s="1"/>
  <c r="O43" i="26"/>
  <c r="R43" i="26" s="1"/>
  <c r="T43" i="26" s="1"/>
  <c r="O19" i="26"/>
  <c r="R19" i="26" s="1"/>
  <c r="T19" i="26" s="1"/>
  <c r="O64" i="26"/>
  <c r="R64" i="26" s="1"/>
  <c r="T64" i="26" s="1"/>
  <c r="O60" i="26"/>
  <c r="R60" i="26" s="1"/>
  <c r="T60" i="26" s="1"/>
  <c r="O59" i="26"/>
  <c r="R59" i="26" s="1"/>
  <c r="T59" i="26" s="1"/>
  <c r="O51" i="26"/>
  <c r="R51" i="26" s="1"/>
  <c r="T51" i="26" s="1"/>
  <c r="O58" i="26"/>
  <c r="R58" i="26" s="1"/>
  <c r="T58" i="26" s="1"/>
  <c r="O57" i="26"/>
  <c r="R57" i="26" s="1"/>
  <c r="T57" i="26" s="1"/>
  <c r="O54" i="26"/>
  <c r="R54" i="26" s="1"/>
  <c r="T54" i="26" s="1"/>
  <c r="O67" i="26"/>
  <c r="R67" i="26" s="1"/>
  <c r="T67" i="26" s="1"/>
  <c r="O71" i="26"/>
  <c r="R71" i="26" s="1"/>
  <c r="T71" i="26" s="1"/>
  <c r="O70" i="26"/>
  <c r="R70" i="26" s="1"/>
  <c r="T70" i="26" s="1"/>
  <c r="O68" i="26"/>
  <c r="R68" i="26" s="1"/>
  <c r="T68" i="26" s="1"/>
  <c r="M77" i="26"/>
  <c r="M76" i="26"/>
  <c r="O78" i="26"/>
  <c r="R78" i="26" s="1"/>
  <c r="T78" i="26" s="1"/>
  <c r="O75" i="26"/>
  <c r="R75" i="26" s="1"/>
  <c r="T75" i="26" s="1"/>
  <c r="O63" i="26"/>
  <c r="R63" i="26" s="1"/>
  <c r="T63" i="26" s="1"/>
  <c r="O73" i="26"/>
  <c r="R73" i="26" s="1"/>
  <c r="T73" i="26" s="1"/>
  <c r="O40" i="26"/>
  <c r="R40" i="26" s="1"/>
  <c r="T40" i="26" s="1"/>
  <c r="O82" i="26"/>
  <c r="R82" i="26" s="1"/>
  <c r="T82" i="26" s="1"/>
  <c r="O81" i="26"/>
  <c r="R81" i="26" s="1"/>
  <c r="T81" i="26" s="1"/>
  <c r="O80" i="26"/>
  <c r="R80" i="26" s="1"/>
  <c r="T80" i="26" s="1"/>
  <c r="O79" i="26"/>
  <c r="R79" i="26" s="1"/>
  <c r="T79" i="26" s="1"/>
  <c r="O85" i="26"/>
  <c r="R85" i="26" s="1"/>
  <c r="T85" i="26" s="1"/>
  <c r="O84" i="26"/>
  <c r="R84" i="26" s="1"/>
  <c r="T84" i="26" s="1"/>
  <c r="O86" i="26"/>
  <c r="R86" i="26" s="1"/>
  <c r="T86" i="26" s="1"/>
  <c r="O83" i="26"/>
  <c r="R83" i="26" s="1"/>
  <c r="T83" i="26" s="1"/>
  <c r="O38" i="26"/>
  <c r="R38" i="26" s="1"/>
  <c r="T38" i="26" s="1"/>
  <c r="O37" i="26"/>
  <c r="R37" i="26" s="1"/>
  <c r="T37" i="26" s="1"/>
  <c r="O95" i="26"/>
  <c r="R95" i="26" s="1"/>
  <c r="T95" i="26" s="1"/>
  <c r="O104" i="26"/>
  <c r="R104" i="26" s="1"/>
  <c r="T104" i="26" s="1"/>
  <c r="O72" i="26"/>
  <c r="R72" i="26" s="1"/>
  <c r="T72" i="26" s="1"/>
  <c r="O89" i="26"/>
  <c r="R89" i="26" s="1"/>
  <c r="T89" i="26" s="1"/>
  <c r="O91" i="26"/>
  <c r="R91" i="26" s="1"/>
  <c r="T91" i="26" s="1"/>
  <c r="O90" i="26"/>
  <c r="R90" i="26" s="1"/>
  <c r="T90" i="26" s="1"/>
  <c r="O87" i="26"/>
  <c r="R87" i="26" s="1"/>
  <c r="T87" i="26" s="1"/>
  <c r="O101" i="26"/>
  <c r="R101" i="26" s="1"/>
  <c r="T101" i="26" s="1"/>
  <c r="O100" i="26"/>
  <c r="R100" i="26" s="1"/>
  <c r="T100" i="26" s="1"/>
  <c r="O103" i="26"/>
  <c r="R103" i="26" s="1"/>
  <c r="T103" i="26" s="1"/>
  <c r="O74" i="26"/>
  <c r="R74" i="26" s="1"/>
  <c r="T74" i="26" s="1"/>
  <c r="O50" i="26"/>
  <c r="R50" i="26" s="1"/>
  <c r="T50" i="26" s="1"/>
  <c r="O88" i="26"/>
  <c r="R88" i="26" s="1"/>
  <c r="T88" i="26" s="1"/>
  <c r="O97" i="26"/>
  <c r="R97" i="26" s="1"/>
  <c r="T97" i="26" s="1"/>
  <c r="O96" i="26"/>
  <c r="R96" i="26" s="1"/>
  <c r="T96" i="26" s="1"/>
  <c r="O94" i="26"/>
  <c r="R94" i="26" s="1"/>
  <c r="T94" i="26" s="1"/>
  <c r="O98" i="26"/>
  <c r="R98" i="26" s="1"/>
  <c r="T98" i="26" s="1"/>
  <c r="O102" i="26"/>
  <c r="R102" i="26" s="1"/>
  <c r="T102" i="26" s="1"/>
  <c r="O132" i="26"/>
  <c r="R132" i="26" s="1"/>
  <c r="T132" i="26" s="1"/>
  <c r="O111" i="26"/>
  <c r="R111" i="26" s="1"/>
  <c r="T111" i="26" s="1"/>
  <c r="O110" i="26"/>
  <c r="R110" i="26" s="1"/>
  <c r="T110" i="26" s="1"/>
  <c r="O108" i="26"/>
  <c r="R108" i="26" s="1"/>
  <c r="T108" i="26" s="1"/>
  <c r="O107" i="26"/>
  <c r="R107" i="26" s="1"/>
  <c r="T107" i="26" s="1"/>
  <c r="O115" i="26"/>
  <c r="R115" i="26" s="1"/>
  <c r="T115" i="26" s="1"/>
  <c r="O112" i="26"/>
  <c r="R112" i="26" s="1"/>
  <c r="T112" i="26" s="1"/>
  <c r="O105" i="26"/>
  <c r="R105" i="26" s="1"/>
  <c r="T105" i="26" s="1"/>
  <c r="O109" i="26"/>
  <c r="R109" i="26" s="1"/>
  <c r="T109" i="26" s="1"/>
  <c r="O118" i="26"/>
  <c r="R118" i="26" s="1"/>
  <c r="T118" i="26" s="1"/>
  <c r="O120" i="26"/>
  <c r="R120" i="26" s="1"/>
  <c r="T120" i="26" s="1"/>
  <c r="O117" i="26"/>
  <c r="R117" i="26" s="1"/>
  <c r="T117" i="26" s="1"/>
  <c r="O116" i="26"/>
  <c r="R116" i="26" s="1"/>
  <c r="T116" i="26" s="1"/>
  <c r="O114" i="26"/>
  <c r="R114" i="26" s="1"/>
  <c r="T114" i="26" s="1"/>
  <c r="O113" i="26"/>
  <c r="R113" i="26" s="1"/>
  <c r="T113" i="26" s="1"/>
  <c r="O106" i="26"/>
  <c r="R106" i="26" s="1"/>
  <c r="T106" i="26" s="1"/>
  <c r="P1" i="26"/>
  <c r="N77" i="26" l="1"/>
  <c r="O77" i="26" s="1"/>
  <c r="R77" i="26" s="1"/>
  <c r="T77" i="26" s="1"/>
  <c r="N48" i="26"/>
  <c r="O48" i="26" s="1"/>
  <c r="R48" i="26" s="1"/>
  <c r="T48" i="26" s="1"/>
  <c r="N76" i="26"/>
  <c r="O76" i="26" s="1"/>
  <c r="R76" i="26" s="1"/>
  <c r="T76" i="26" s="1"/>
  <c r="N61" i="26"/>
  <c r="N35" i="26"/>
  <c r="O35" i="26" s="1"/>
  <c r="R35" i="26" s="1"/>
  <c r="T35" i="26" s="1"/>
  <c r="O61" i="26"/>
  <c r="R61" i="26" s="1"/>
  <c r="T61" i="26" s="1"/>
  <c r="R18" i="26"/>
  <c r="T18" i="26" s="1"/>
  <c r="M1" i="26"/>
  <c r="O69" i="26"/>
  <c r="N1" i="26" l="1"/>
  <c r="O1" i="26"/>
  <c r="R69" i="26"/>
  <c r="R1" i="26"/>
  <c r="T69" i="26" l="1"/>
  <c r="T1" i="26" s="1"/>
  <c r="AC155" i="14"/>
  <c r="AA3" i="2" l="1"/>
  <c r="AB3" i="2" s="1"/>
  <c r="AA4" i="2"/>
  <c r="AB4" i="2" s="1"/>
  <c r="AA5" i="2"/>
  <c r="AB5" i="2" s="1"/>
  <c r="AA6" i="2"/>
  <c r="AB6" i="2" s="1"/>
  <c r="AA7" i="2"/>
  <c r="AB7" i="2" s="1"/>
  <c r="AA8" i="2"/>
  <c r="AB8" i="2" s="1"/>
  <c r="AA9" i="2"/>
  <c r="AB9" i="2" s="1"/>
  <c r="AA10" i="2"/>
  <c r="AB10" i="2" s="1"/>
  <c r="AA11" i="2"/>
  <c r="AB11" i="2" s="1"/>
  <c r="AA12" i="2"/>
  <c r="AB12" i="2" s="1"/>
  <c r="AA13" i="2"/>
  <c r="AB13" i="2" s="1"/>
  <c r="AA14" i="2"/>
  <c r="AB14" i="2" s="1"/>
  <c r="AA15" i="2"/>
  <c r="AB15" i="2" s="1"/>
  <c r="AA16" i="2"/>
  <c r="AB16" i="2" s="1"/>
  <c r="AA17" i="2"/>
  <c r="AB17" i="2" s="1"/>
  <c r="AA18" i="2"/>
  <c r="AB18" i="2" s="1"/>
  <c r="AA19" i="2"/>
  <c r="AB19" i="2" s="1"/>
  <c r="AA20" i="2"/>
  <c r="AB20" i="2" s="1"/>
  <c r="AA21" i="2"/>
  <c r="AB21" i="2" s="1"/>
  <c r="AA22" i="2"/>
  <c r="AB22" i="2" s="1"/>
  <c r="AA23" i="2"/>
  <c r="AB23" i="2" s="1"/>
  <c r="AA24" i="2"/>
  <c r="AB24" i="2" s="1"/>
  <c r="AA25" i="2"/>
  <c r="Z25" i="2" s="1"/>
  <c r="AA26" i="2"/>
  <c r="Z26" i="2" s="1"/>
  <c r="AA27" i="2"/>
  <c r="AB27" i="2" s="1"/>
  <c r="AA28" i="2"/>
  <c r="AB28" i="2" s="1"/>
  <c r="AA29" i="2"/>
  <c r="AB29" i="2" s="1"/>
  <c r="AA30" i="2"/>
  <c r="AB30" i="2" s="1"/>
  <c r="AA31" i="2"/>
  <c r="Z31" i="2" s="1"/>
  <c r="AA32" i="2"/>
  <c r="AB32" i="2" s="1"/>
  <c r="AA33" i="2"/>
  <c r="Z33" i="2" s="1"/>
  <c r="AA34" i="2"/>
  <c r="Z34" i="2" s="1"/>
  <c r="AA35" i="2"/>
  <c r="AB35" i="2" s="1"/>
  <c r="AA36" i="2"/>
  <c r="Z36" i="2" s="1"/>
  <c r="AA37" i="2"/>
  <c r="AB37" i="2" s="1"/>
  <c r="AA38" i="2"/>
  <c r="Z38" i="2" s="1"/>
  <c r="AA39" i="2"/>
  <c r="AB39" i="2" s="1"/>
  <c r="AA40" i="2"/>
  <c r="AB40" i="2" s="1"/>
  <c r="AA41" i="2"/>
  <c r="Z41" i="2" s="1"/>
  <c r="AA42" i="2"/>
  <c r="Z42" i="2" s="1"/>
  <c r="AA43" i="2"/>
  <c r="AB43" i="2" s="1"/>
  <c r="AA44" i="2"/>
  <c r="AB44" i="2" s="1"/>
  <c r="AA45" i="2"/>
  <c r="Z45" i="2" s="1"/>
  <c r="AA46" i="2"/>
  <c r="Z46" i="2" s="1"/>
  <c r="AA47" i="2"/>
  <c r="AB47" i="2" s="1"/>
  <c r="AA48" i="2"/>
  <c r="AB48" i="2" s="1"/>
  <c r="AA49" i="2"/>
  <c r="AB49" i="2" s="1"/>
  <c r="AA50" i="2"/>
  <c r="Z50" i="2" s="1"/>
  <c r="AA51" i="2"/>
  <c r="AB51" i="2" s="1"/>
  <c r="AA52" i="2"/>
  <c r="AB52" i="2" s="1"/>
  <c r="AA53" i="2"/>
  <c r="AB53" i="2" s="1"/>
  <c r="AA54" i="2"/>
  <c r="AB54" i="2" s="1"/>
  <c r="AA55" i="2"/>
  <c r="AB55" i="2" s="1"/>
  <c r="AA56" i="2"/>
  <c r="AB56" i="2" s="1"/>
  <c r="AA57" i="2"/>
  <c r="Z57" i="2" s="1"/>
  <c r="AA58" i="2"/>
  <c r="AB58" i="2" s="1"/>
  <c r="Y58" i="2"/>
  <c r="Y3" i="2"/>
  <c r="Y4" i="2"/>
  <c r="Z4" i="2" s="1"/>
  <c r="Y5" i="2"/>
  <c r="Z5" i="2" s="1"/>
  <c r="Y6" i="2"/>
  <c r="Y7" i="2"/>
  <c r="Y8" i="2"/>
  <c r="Y9" i="2"/>
  <c r="Y10" i="2"/>
  <c r="Y11" i="2"/>
  <c r="Z11" i="2" s="1"/>
  <c r="Y12" i="2"/>
  <c r="Y13" i="2"/>
  <c r="Y14" i="2"/>
  <c r="Z14" i="2" s="1"/>
  <c r="Y15" i="2"/>
  <c r="Z15" i="2" s="1"/>
  <c r="Y16" i="2"/>
  <c r="Z16" i="2" s="1"/>
  <c r="Y17" i="2"/>
  <c r="Z17" i="2" s="1"/>
  <c r="Y18" i="2"/>
  <c r="Y19" i="2"/>
  <c r="Z19" i="2" s="1"/>
  <c r="Y20" i="2"/>
  <c r="Z20" i="2" s="1"/>
  <c r="Y21" i="2"/>
  <c r="Y22" i="2"/>
  <c r="Y23" i="2"/>
  <c r="Z23" i="2" s="1"/>
  <c r="Y24" i="2"/>
  <c r="Y25" i="2"/>
  <c r="Y26" i="2"/>
  <c r="Y27" i="2"/>
  <c r="Z27" i="2" s="1"/>
  <c r="Y28" i="2"/>
  <c r="Y29" i="2"/>
  <c r="Y30" i="2"/>
  <c r="Y31" i="2"/>
  <c r="Y32" i="2"/>
  <c r="Y33" i="2"/>
  <c r="Y34" i="2"/>
  <c r="Y35" i="2"/>
  <c r="Y36" i="2"/>
  <c r="Y37" i="2"/>
  <c r="Z37" i="2" s="1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A58" i="2"/>
  <c r="AB3" i="24"/>
  <c r="AA3" i="24"/>
  <c r="A4" i="24"/>
  <c r="AA8" i="24"/>
  <c r="AC4" i="24"/>
  <c r="U4" i="24"/>
  <c r="AA4" i="24" s="1"/>
  <c r="AB4" i="24" s="1"/>
  <c r="M4" i="24"/>
  <c r="N4" i="24" s="1"/>
  <c r="AC3" i="24"/>
  <c r="V3" i="24"/>
  <c r="M3" i="24"/>
  <c r="N3" i="24" s="1"/>
  <c r="A3" i="24"/>
  <c r="AA62" i="2"/>
  <c r="Z21" i="2"/>
  <c r="V4" i="2"/>
  <c r="V5" i="2"/>
  <c r="V6" i="2"/>
  <c r="V7" i="2"/>
  <c r="V8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U5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AC49" i="2" l="1"/>
  <c r="AC17" i="2"/>
  <c r="AC9" i="2"/>
  <c r="AC16" i="2"/>
  <c r="AC8" i="2"/>
  <c r="AC55" i="2"/>
  <c r="AC47" i="2"/>
  <c r="AC39" i="2"/>
  <c r="AC23" i="2"/>
  <c r="AC15" i="2"/>
  <c r="AC7" i="2"/>
  <c r="AC54" i="2"/>
  <c r="AC30" i="2"/>
  <c r="AC22" i="2"/>
  <c r="AC14" i="2"/>
  <c r="AC6" i="2"/>
  <c r="AC53" i="2"/>
  <c r="AC13" i="2"/>
  <c r="AC5" i="2"/>
  <c r="AC11" i="2"/>
  <c r="AC18" i="2"/>
  <c r="AC10" i="2"/>
  <c r="AC56" i="2"/>
  <c r="AC48" i="2"/>
  <c r="AC40" i="2"/>
  <c r="AC32" i="2"/>
  <c r="AC24" i="2"/>
  <c r="AC58" i="2"/>
  <c r="AC37" i="2"/>
  <c r="AC29" i="2"/>
  <c r="AC21" i="2"/>
  <c r="AC52" i="2"/>
  <c r="AC44" i="2"/>
  <c r="AC28" i="2"/>
  <c r="AC20" i="2"/>
  <c r="AC12" i="2"/>
  <c r="AC4" i="2"/>
  <c r="AC51" i="2"/>
  <c r="AC43" i="2"/>
  <c r="AC35" i="2"/>
  <c r="AC27" i="2"/>
  <c r="AC19" i="2"/>
  <c r="AC3" i="2"/>
  <c r="Z3" i="2"/>
  <c r="V3" i="2" s="1"/>
  <c r="Z53" i="2"/>
  <c r="AB36" i="2"/>
  <c r="AC36" i="2" s="1"/>
  <c r="AB50" i="2"/>
  <c r="AC50" i="2" s="1"/>
  <c r="AB42" i="2"/>
  <c r="AC42" i="2" s="1"/>
  <c r="AB34" i="2"/>
  <c r="AC34" i="2" s="1"/>
  <c r="AB26" i="2"/>
  <c r="AC26" i="2" s="1"/>
  <c r="Z32" i="2"/>
  <c r="AB57" i="2"/>
  <c r="AC57" i="2" s="1"/>
  <c r="AB41" i="2"/>
  <c r="AC41" i="2" s="1"/>
  <c r="AB33" i="2"/>
  <c r="AC33" i="2" s="1"/>
  <c r="AB25" i="2"/>
  <c r="AC25" i="2" s="1"/>
  <c r="AB31" i="2"/>
  <c r="AC31" i="2" s="1"/>
  <c r="AB46" i="2"/>
  <c r="AC46" i="2" s="1"/>
  <c r="AB38" i="2"/>
  <c r="AC38" i="2" s="1"/>
  <c r="AB45" i="2"/>
  <c r="AC45" i="2" s="1"/>
  <c r="Z40" i="2"/>
  <c r="Z56" i="2"/>
  <c r="Z54" i="2"/>
  <c r="Z49" i="2"/>
  <c r="Z30" i="2"/>
  <c r="Z22" i="2"/>
  <c r="Z29" i="2"/>
  <c r="Z48" i="2"/>
  <c r="Z28" i="2"/>
  <c r="Z12" i="2"/>
  <c r="Z13" i="2"/>
  <c r="Z55" i="2"/>
  <c r="Z52" i="2"/>
  <c r="Z8" i="2"/>
  <c r="Z24" i="2"/>
  <c r="Z18" i="2"/>
  <c r="Z43" i="2"/>
  <c r="Z51" i="2"/>
  <c r="Z35" i="2"/>
  <c r="Z9" i="2"/>
  <c r="V9" i="2" s="1"/>
  <c r="Z10" i="2"/>
  <c r="Z7" i="2"/>
  <c r="Z6" i="2"/>
  <c r="Z47" i="2"/>
  <c r="Z39" i="2"/>
  <c r="Z44" i="2"/>
  <c r="Q146" i="14"/>
  <c r="R146" i="14" s="1"/>
  <c r="W146" i="14" s="1"/>
  <c r="T146" i="14"/>
  <c r="T145" i="14" l="1"/>
  <c r="T147" i="14"/>
  <c r="T148" i="14"/>
  <c r="T149" i="14"/>
  <c r="T150" i="14"/>
  <c r="T151" i="14"/>
  <c r="T152" i="14"/>
  <c r="T153" i="14"/>
  <c r="T154" i="14"/>
  <c r="Q144" i="14"/>
  <c r="R144" i="14" s="1"/>
  <c r="W144" i="14" s="1"/>
  <c r="Q145" i="14"/>
  <c r="R145" i="14" s="1"/>
  <c r="W145" i="14" s="1"/>
  <c r="Q147" i="14"/>
  <c r="R147" i="14" s="1"/>
  <c r="W147" i="14" s="1"/>
  <c r="Q148" i="14"/>
  <c r="R148" i="14" s="1"/>
  <c r="W148" i="14" s="1"/>
  <c r="Q149" i="14"/>
  <c r="R149" i="14" s="1"/>
  <c r="W149" i="14" s="1"/>
  <c r="Q150" i="14"/>
  <c r="R150" i="14" s="1"/>
  <c r="W150" i="14" s="1"/>
  <c r="Q151" i="14"/>
  <c r="R151" i="14" s="1"/>
  <c r="W151" i="14" s="1"/>
  <c r="Q152" i="14"/>
  <c r="R152" i="14" s="1"/>
  <c r="W152" i="14" s="1"/>
  <c r="Q153" i="14"/>
  <c r="R153" i="14" s="1"/>
  <c r="W153" i="14" s="1"/>
  <c r="Q154" i="14"/>
  <c r="R154" i="14" s="1"/>
  <c r="W154" i="14" s="1"/>
  <c r="V132" i="14" l="1"/>
  <c r="T144" i="14"/>
  <c r="Q143" i="14"/>
  <c r="R143" i="14" s="1"/>
  <c r="W143" i="14" s="1"/>
  <c r="T143" i="14"/>
  <c r="Q142" i="14"/>
  <c r="T142" i="14"/>
  <c r="Q141" i="14"/>
  <c r="R141" i="14" s="1"/>
  <c r="W141" i="14" s="1"/>
  <c r="T141" i="14"/>
  <c r="Q140" i="14"/>
  <c r="R140" i="14" s="1"/>
  <c r="W140" i="14" s="1"/>
  <c r="T140" i="14"/>
  <c r="Q139" i="14"/>
  <c r="R139" i="14" s="1"/>
  <c r="W139" i="14" s="1"/>
  <c r="T139" i="14"/>
  <c r="Q138" i="14"/>
  <c r="R138" i="14" s="1"/>
  <c r="W138" i="14" s="1"/>
  <c r="T138" i="14"/>
  <c r="Q137" i="14"/>
  <c r="R137" i="14" s="1"/>
  <c r="W137" i="14" s="1"/>
  <c r="T137" i="14"/>
  <c r="Q136" i="14"/>
  <c r="R136" i="14" s="1"/>
  <c r="W136" i="14" s="1"/>
  <c r="T136" i="14"/>
  <c r="Q135" i="14"/>
  <c r="R135" i="14" s="1"/>
  <c r="W135" i="14" s="1"/>
  <c r="T135" i="14"/>
  <c r="V134" i="14"/>
  <c r="A57" i="2"/>
  <c r="N58" i="2"/>
  <c r="R142" i="14" l="1"/>
  <c r="W142" i="14" s="1"/>
  <c r="Q134" i="14"/>
  <c r="R134" i="14" s="1"/>
  <c r="W134" i="14" s="1"/>
  <c r="T134" i="14"/>
  <c r="Q133" i="14"/>
  <c r="R133" i="14" s="1"/>
  <c r="W133" i="14" s="1"/>
  <c r="T133" i="14"/>
  <c r="Q132" i="14"/>
  <c r="R132" i="14" s="1"/>
  <c r="W132" i="14" s="1"/>
  <c r="T132" i="14"/>
  <c r="V131" i="14"/>
  <c r="Q131" i="14" l="1"/>
  <c r="R131" i="14" s="1"/>
  <c r="W131" i="14" s="1"/>
  <c r="T131" i="14"/>
  <c r="Q130" i="14"/>
  <c r="R130" i="14" s="1"/>
  <c r="W130" i="14" s="1"/>
  <c r="T130" i="14"/>
  <c r="Q129" i="14" l="1"/>
  <c r="R129" i="14" s="1"/>
  <c r="W129" i="14" s="1"/>
  <c r="T129" i="14"/>
  <c r="Q128" i="14" l="1"/>
  <c r="R128" i="14" s="1"/>
  <c r="W128" i="14" s="1"/>
  <c r="T128" i="14"/>
  <c r="Q127" i="14"/>
  <c r="R127" i="14" s="1"/>
  <c r="W127" i="14" s="1"/>
  <c r="T127" i="14"/>
  <c r="Q126" i="14"/>
  <c r="R126" i="14" s="1"/>
  <c r="W126" i="14" s="1"/>
  <c r="T126" i="14"/>
  <c r="Q125" i="14" l="1"/>
  <c r="R125" i="14" s="1"/>
  <c r="W125" i="14" s="1"/>
  <c r="T125" i="14"/>
  <c r="Q124" i="14"/>
  <c r="R124" i="14" s="1"/>
  <c r="W124" i="14" s="1"/>
  <c r="T124" i="14"/>
  <c r="Q123" i="14"/>
  <c r="R123" i="14" s="1"/>
  <c r="W123" i="14" s="1"/>
  <c r="T123" i="14"/>
  <c r="V121" i="14"/>
  <c r="V122" i="14"/>
  <c r="Q122" i="14"/>
  <c r="R122" i="14" s="1"/>
  <c r="T122" i="14"/>
  <c r="Q121" i="14"/>
  <c r="R121" i="14" s="1"/>
  <c r="T121" i="14"/>
  <c r="W122" i="14" l="1"/>
  <c r="W121" i="14"/>
  <c r="Q120" i="14" l="1"/>
  <c r="R120" i="14" s="1"/>
  <c r="W120" i="14" s="1"/>
  <c r="T120" i="14"/>
  <c r="Q119" i="14"/>
  <c r="R119" i="14" s="1"/>
  <c r="W119" i="14" s="1"/>
  <c r="T119" i="14"/>
  <c r="V75" i="14"/>
  <c r="Q118" i="14"/>
  <c r="R118" i="14" s="1"/>
  <c r="W118" i="14" s="1"/>
  <c r="T118" i="14"/>
  <c r="Q117" i="14"/>
  <c r="R117" i="14" s="1"/>
  <c r="W117" i="14" s="1"/>
  <c r="T117" i="14"/>
  <c r="V112" i="14"/>
  <c r="Q112" i="14"/>
  <c r="R112" i="14" s="1"/>
  <c r="W112" i="14" s="1"/>
  <c r="T112" i="14"/>
  <c r="V116" i="14"/>
  <c r="Q116" i="14"/>
  <c r="R116" i="14" s="1"/>
  <c r="W116" i="14" s="1"/>
  <c r="T116" i="14"/>
  <c r="Q115" i="14" l="1"/>
  <c r="R115" i="14" s="1"/>
  <c r="W115" i="14" s="1"/>
  <c r="T115" i="14"/>
  <c r="V114" i="14"/>
  <c r="Q114" i="14"/>
  <c r="T114" i="14"/>
  <c r="Q113" i="14"/>
  <c r="R113" i="14" s="1"/>
  <c r="W113" i="14" s="1"/>
  <c r="T113" i="14"/>
  <c r="V111" i="14"/>
  <c r="Q111" i="14"/>
  <c r="R111" i="14" s="1"/>
  <c r="T111" i="14"/>
  <c r="Q55" i="14"/>
  <c r="R55" i="14" s="1"/>
  <c r="W55" i="14" s="1"/>
  <c r="T55" i="14"/>
  <c r="V54" i="14"/>
  <c r="Q54" i="14"/>
  <c r="R54" i="14" s="1"/>
  <c r="W54" i="14" s="1"/>
  <c r="T54" i="14"/>
  <c r="Q53" i="14"/>
  <c r="R53" i="14" s="1"/>
  <c r="W53" i="14" s="1"/>
  <c r="T53" i="14"/>
  <c r="Q52" i="14"/>
  <c r="R52" i="14" s="1"/>
  <c r="W52" i="14" s="1"/>
  <c r="T52" i="14"/>
  <c r="R114" i="14" l="1"/>
  <c r="W111" i="14"/>
  <c r="W114" i="14" l="1"/>
  <c r="Q110" i="14"/>
  <c r="R110" i="14" s="1"/>
  <c r="W110" i="14" s="1"/>
  <c r="T110" i="14"/>
  <c r="Q109" i="14" l="1"/>
  <c r="R109" i="14" s="1"/>
  <c r="W109" i="14" s="1"/>
  <c r="T109" i="14"/>
  <c r="O108" i="14"/>
  <c r="Q108" i="14" s="1"/>
  <c r="T108" i="14"/>
  <c r="O107" i="14"/>
  <c r="R80" i="22"/>
  <c r="P93" i="22"/>
  <c r="Q93" i="22" s="1"/>
  <c r="S93" i="22" s="1"/>
  <c r="P92" i="22"/>
  <c r="Q92" i="22" s="1"/>
  <c r="S92" i="22" s="1"/>
  <c r="P91" i="22"/>
  <c r="Q91" i="22" s="1"/>
  <c r="S91" i="22" s="1"/>
  <c r="P90" i="22"/>
  <c r="Q90" i="22" s="1"/>
  <c r="S90" i="22" s="1"/>
  <c r="P89" i="22"/>
  <c r="Q89" i="22" s="1"/>
  <c r="S89" i="22" s="1"/>
  <c r="P88" i="22"/>
  <c r="Q88" i="22" s="1"/>
  <c r="S88" i="22" s="1"/>
  <c r="P87" i="22"/>
  <c r="Q87" i="22" s="1"/>
  <c r="S87" i="22" s="1"/>
  <c r="P86" i="22"/>
  <c r="Q86" i="22" s="1"/>
  <c r="S86" i="22" s="1"/>
  <c r="P85" i="22"/>
  <c r="Q85" i="22" s="1"/>
  <c r="S85" i="22" s="1"/>
  <c r="P84" i="22"/>
  <c r="Q84" i="22" s="1"/>
  <c r="S84" i="22" s="1"/>
  <c r="P83" i="22"/>
  <c r="Q83" i="22" s="1"/>
  <c r="S83" i="22" s="1"/>
  <c r="P82" i="22"/>
  <c r="Q82" i="22" s="1"/>
  <c r="S82" i="22" s="1"/>
  <c r="P81" i="22"/>
  <c r="Q81" i="22" s="1"/>
  <c r="S81" i="22" s="1"/>
  <c r="P80" i="22"/>
  <c r="Q80" i="22" s="1"/>
  <c r="P79" i="22"/>
  <c r="Q79" i="22" s="1"/>
  <c r="S79" i="22" s="1"/>
  <c r="P78" i="22"/>
  <c r="Q78" i="22" s="1"/>
  <c r="S78" i="22" s="1"/>
  <c r="P77" i="22"/>
  <c r="Q77" i="22" s="1"/>
  <c r="S77" i="22" s="1"/>
  <c r="P76" i="22"/>
  <c r="Q76" i="22" s="1"/>
  <c r="S76" i="22" s="1"/>
  <c r="P75" i="22"/>
  <c r="Q75" i="22" s="1"/>
  <c r="S75" i="22" s="1"/>
  <c r="P74" i="22"/>
  <c r="Q74" i="22" s="1"/>
  <c r="S74" i="22" s="1"/>
  <c r="P73" i="22"/>
  <c r="Q73" i="22" s="1"/>
  <c r="S73" i="22" s="1"/>
  <c r="P72" i="22"/>
  <c r="Q72" i="22" s="1"/>
  <c r="S72" i="22" s="1"/>
  <c r="P71" i="22"/>
  <c r="Q71" i="22" s="1"/>
  <c r="S71" i="22" s="1"/>
  <c r="P70" i="22"/>
  <c r="Q70" i="22" s="1"/>
  <c r="S70" i="22" s="1"/>
  <c r="P69" i="22"/>
  <c r="Q69" i="22" s="1"/>
  <c r="S69" i="22" s="1"/>
  <c r="P68" i="22"/>
  <c r="Q68" i="22" s="1"/>
  <c r="S68" i="22" s="1"/>
  <c r="P67" i="22"/>
  <c r="Q67" i="22" s="1"/>
  <c r="S67" i="22" s="1"/>
  <c r="P66" i="22"/>
  <c r="Q66" i="22" s="1"/>
  <c r="S66" i="22" s="1"/>
  <c r="P65" i="22"/>
  <c r="Q65" i="22" s="1"/>
  <c r="S65" i="22" s="1"/>
  <c r="P64" i="22"/>
  <c r="Q64" i="22" s="1"/>
  <c r="S64" i="22" s="1"/>
  <c r="P63" i="22"/>
  <c r="Q63" i="22" s="1"/>
  <c r="S63" i="22" s="1"/>
  <c r="P62" i="22"/>
  <c r="Q62" i="22" s="1"/>
  <c r="S62" i="22" s="1"/>
  <c r="P61" i="22"/>
  <c r="Q61" i="22" s="1"/>
  <c r="S61" i="22" s="1"/>
  <c r="P60" i="22"/>
  <c r="Q60" i="22" s="1"/>
  <c r="S60" i="22" s="1"/>
  <c r="P59" i="22"/>
  <c r="Q59" i="22" s="1"/>
  <c r="S59" i="22" s="1"/>
  <c r="P58" i="22"/>
  <c r="Q58" i="22" s="1"/>
  <c r="S58" i="22" s="1"/>
  <c r="P57" i="22"/>
  <c r="Q57" i="22" s="1"/>
  <c r="S57" i="22" s="1"/>
  <c r="P56" i="22"/>
  <c r="Q56" i="22" s="1"/>
  <c r="S56" i="22" s="1"/>
  <c r="P55" i="22"/>
  <c r="Q55" i="22" s="1"/>
  <c r="S55" i="22" s="1"/>
  <c r="P54" i="22"/>
  <c r="Q54" i="22" s="1"/>
  <c r="S54" i="22" s="1"/>
  <c r="P53" i="22"/>
  <c r="Q53" i="22" s="1"/>
  <c r="S53" i="22" s="1"/>
  <c r="P52" i="22"/>
  <c r="Q52" i="22" s="1"/>
  <c r="S52" i="22" s="1"/>
  <c r="P51" i="22"/>
  <c r="Q51" i="22" s="1"/>
  <c r="S51" i="22" s="1"/>
  <c r="P50" i="22"/>
  <c r="Q50" i="22" s="1"/>
  <c r="S50" i="22" s="1"/>
  <c r="P49" i="22"/>
  <c r="Q49" i="22" s="1"/>
  <c r="S49" i="22" s="1"/>
  <c r="P48" i="22"/>
  <c r="Q48" i="22" s="1"/>
  <c r="S48" i="22" s="1"/>
  <c r="P47" i="22"/>
  <c r="Q47" i="22" s="1"/>
  <c r="S47" i="22" s="1"/>
  <c r="P46" i="22"/>
  <c r="Q46" i="22" s="1"/>
  <c r="S46" i="22" s="1"/>
  <c r="P45" i="22"/>
  <c r="Q45" i="22" s="1"/>
  <c r="S45" i="22" s="1"/>
  <c r="P44" i="22"/>
  <c r="Q44" i="22" s="1"/>
  <c r="S44" i="22" s="1"/>
  <c r="P43" i="22"/>
  <c r="Q43" i="22" s="1"/>
  <c r="S43" i="22" s="1"/>
  <c r="P42" i="22"/>
  <c r="Q42" i="22" s="1"/>
  <c r="S42" i="22" s="1"/>
  <c r="P41" i="22"/>
  <c r="Q41" i="22" s="1"/>
  <c r="S41" i="22" s="1"/>
  <c r="P40" i="22"/>
  <c r="Q40" i="22" s="1"/>
  <c r="S40" i="22" s="1"/>
  <c r="P39" i="22"/>
  <c r="Q39" i="22" s="1"/>
  <c r="S39" i="22" s="1"/>
  <c r="P38" i="22"/>
  <c r="Q38" i="22" s="1"/>
  <c r="S38" i="22" s="1"/>
  <c r="P37" i="22"/>
  <c r="Q37" i="22" s="1"/>
  <c r="S37" i="22" s="1"/>
  <c r="P36" i="22"/>
  <c r="Q36" i="22" s="1"/>
  <c r="S36" i="22" s="1"/>
  <c r="P35" i="22"/>
  <c r="Q35" i="22" s="1"/>
  <c r="S35" i="22" s="1"/>
  <c r="P34" i="22"/>
  <c r="Q34" i="22" s="1"/>
  <c r="S34" i="22" s="1"/>
  <c r="P33" i="22"/>
  <c r="Q33" i="22" s="1"/>
  <c r="S33" i="22" s="1"/>
  <c r="P32" i="22"/>
  <c r="Q32" i="22" s="1"/>
  <c r="S32" i="22" s="1"/>
  <c r="P31" i="22"/>
  <c r="Q31" i="22" s="1"/>
  <c r="S31" i="22" s="1"/>
  <c r="P30" i="22"/>
  <c r="Q30" i="22" s="1"/>
  <c r="S30" i="22" s="1"/>
  <c r="P29" i="22"/>
  <c r="Q29" i="22" s="1"/>
  <c r="S29" i="22" s="1"/>
  <c r="P28" i="22"/>
  <c r="Q28" i="22" s="1"/>
  <c r="S28" i="22" s="1"/>
  <c r="P27" i="22"/>
  <c r="Q27" i="22" s="1"/>
  <c r="S27" i="22" s="1"/>
  <c r="P26" i="22"/>
  <c r="Q26" i="22" s="1"/>
  <c r="S26" i="22" s="1"/>
  <c r="P25" i="22"/>
  <c r="Q25" i="22" s="1"/>
  <c r="S25" i="22" s="1"/>
  <c r="P24" i="22"/>
  <c r="Q24" i="22" s="1"/>
  <c r="S24" i="22" s="1"/>
  <c r="P23" i="22"/>
  <c r="Q23" i="22" s="1"/>
  <c r="S23" i="22" s="1"/>
  <c r="P22" i="22"/>
  <c r="Q22" i="22" s="1"/>
  <c r="S22" i="22" s="1"/>
  <c r="P21" i="22"/>
  <c r="Q21" i="22" s="1"/>
  <c r="S21" i="22" s="1"/>
  <c r="P20" i="22"/>
  <c r="Q20" i="22" s="1"/>
  <c r="S20" i="22" s="1"/>
  <c r="P19" i="22"/>
  <c r="Q19" i="22" s="1"/>
  <c r="S19" i="22" s="1"/>
  <c r="P18" i="22"/>
  <c r="Q18" i="22" s="1"/>
  <c r="S18" i="22" s="1"/>
  <c r="P17" i="22"/>
  <c r="Q17" i="22" s="1"/>
  <c r="S17" i="22" s="1"/>
  <c r="P16" i="22"/>
  <c r="Q16" i="22" s="1"/>
  <c r="S16" i="22" s="1"/>
  <c r="P15" i="22"/>
  <c r="Q15" i="22" s="1"/>
  <c r="S15" i="22" s="1"/>
  <c r="P14" i="22"/>
  <c r="Q14" i="22" s="1"/>
  <c r="S14" i="22" s="1"/>
  <c r="P13" i="22"/>
  <c r="Q13" i="22" s="1"/>
  <c r="S13" i="22" s="1"/>
  <c r="P12" i="22"/>
  <c r="Q12" i="22" s="1"/>
  <c r="S12" i="22" s="1"/>
  <c r="P11" i="22"/>
  <c r="Q11" i="22" s="1"/>
  <c r="S11" i="22" s="1"/>
  <c r="P10" i="22"/>
  <c r="Q10" i="22" s="1"/>
  <c r="S10" i="22" s="1"/>
  <c r="P9" i="22"/>
  <c r="Q9" i="22" s="1"/>
  <c r="S9" i="22" s="1"/>
  <c r="P8" i="22"/>
  <c r="Q8" i="22" s="1"/>
  <c r="S8" i="22" s="1"/>
  <c r="P7" i="22"/>
  <c r="Q7" i="22" s="1"/>
  <c r="S7" i="22" s="1"/>
  <c r="P6" i="22"/>
  <c r="Q6" i="22" s="1"/>
  <c r="S6" i="22" s="1"/>
  <c r="P5" i="22"/>
  <c r="Q5" i="22" s="1"/>
  <c r="S5" i="22" s="1"/>
  <c r="P4" i="22"/>
  <c r="Q4" i="22" s="1"/>
  <c r="S4" i="22" s="1"/>
  <c r="T107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Q106" i="14"/>
  <c r="R106" i="14" s="1"/>
  <c r="W106" i="14" s="1"/>
  <c r="Q107" i="14" l="1"/>
  <c r="R107" i="14" s="1"/>
  <c r="W107" i="14" s="1"/>
  <c r="O155" i="14"/>
  <c r="R108" i="14"/>
  <c r="W108" i="14" s="1"/>
  <c r="S80" i="22"/>
  <c r="Q105" i="14"/>
  <c r="R105" i="14" s="1"/>
  <c r="W105" i="14" s="1"/>
  <c r="Q104" i="14"/>
  <c r="R104" i="14" s="1"/>
  <c r="W104" i="14" s="1"/>
  <c r="Q103" i="14"/>
  <c r="R103" i="14" s="1"/>
  <c r="W103" i="14" s="1"/>
  <c r="Q102" i="14"/>
  <c r="R102" i="14" s="1"/>
  <c r="W102" i="14" s="1"/>
  <c r="Q101" i="14"/>
  <c r="R101" i="14" s="1"/>
  <c r="W101" i="14" s="1"/>
  <c r="Q100" i="14"/>
  <c r="R100" i="14" s="1"/>
  <c r="W100" i="14" s="1"/>
  <c r="Q99" i="14"/>
  <c r="R99" i="14" s="1"/>
  <c r="W99" i="14" s="1"/>
  <c r="Q98" i="14"/>
  <c r="R98" i="14" s="1"/>
  <c r="W98" i="14" s="1"/>
  <c r="Q97" i="14"/>
  <c r="R97" i="14" s="1"/>
  <c r="W97" i="14" s="1"/>
  <c r="Q96" i="14"/>
  <c r="R96" i="14" s="1"/>
  <c r="W96" i="14" s="1"/>
  <c r="Q95" i="14"/>
  <c r="R95" i="14" s="1"/>
  <c r="W95" i="14" s="1"/>
  <c r="Q94" i="14"/>
  <c r="R94" i="14" s="1"/>
  <c r="W94" i="14" s="1"/>
  <c r="V93" i="14"/>
  <c r="V155" i="14" s="1"/>
  <c r="Q93" i="14"/>
  <c r="R93" i="14" s="1"/>
  <c r="Q92" i="14"/>
  <c r="R92" i="14" s="1"/>
  <c r="W92" i="14" s="1"/>
  <c r="Q91" i="14"/>
  <c r="R91" i="14" s="1"/>
  <c r="W91" i="14" s="1"/>
  <c r="Q90" i="14"/>
  <c r="R90" i="14" s="1"/>
  <c r="W90" i="14" s="1"/>
  <c r="Q89" i="14"/>
  <c r="R89" i="14" s="1"/>
  <c r="W89" i="14" s="1"/>
  <c r="Q88" i="14"/>
  <c r="R88" i="14" s="1"/>
  <c r="W88" i="14" s="1"/>
  <c r="Q87" i="14"/>
  <c r="R87" i="14" s="1"/>
  <c r="W87" i="14" s="1"/>
  <c r="Q86" i="14"/>
  <c r="R86" i="14" s="1"/>
  <c r="W86" i="14" s="1"/>
  <c r="Q85" i="14"/>
  <c r="R85" i="14" s="1"/>
  <c r="W85" i="14" s="1"/>
  <c r="Q84" i="14"/>
  <c r="R84" i="14" s="1"/>
  <c r="W84" i="14" s="1"/>
  <c r="Q83" i="14"/>
  <c r="R83" i="14" s="1"/>
  <c r="W83" i="14" s="1"/>
  <c r="Q82" i="14"/>
  <c r="R82" i="14" s="1"/>
  <c r="W82" i="14" s="1"/>
  <c r="Q81" i="14"/>
  <c r="R81" i="14" s="1"/>
  <c r="W81" i="14" s="1"/>
  <c r="W93" i="14" l="1"/>
  <c r="Q80" i="14"/>
  <c r="R80" i="14" s="1"/>
  <c r="W80" i="14" s="1"/>
  <c r="Q79" i="14"/>
  <c r="R79" i="14" s="1"/>
  <c r="W79" i="14" s="1"/>
  <c r="Q78" i="14"/>
  <c r="R78" i="14" s="1"/>
  <c r="W78" i="14" s="1"/>
  <c r="Q77" i="14"/>
  <c r="R77" i="14" s="1"/>
  <c r="W77" i="14" s="1"/>
  <c r="Q76" i="14"/>
  <c r="R76" i="14" s="1"/>
  <c r="W76" i="14" s="1"/>
  <c r="Q75" i="14"/>
  <c r="R75" i="14" s="1"/>
  <c r="W75" i="14" s="1"/>
  <c r="Q74" i="14"/>
  <c r="R74" i="14" s="1"/>
  <c r="W74" i="14" s="1"/>
  <c r="Q73" i="14"/>
  <c r="R73" i="14" s="1"/>
  <c r="W73" i="14" s="1"/>
  <c r="Q72" i="14"/>
  <c r="R72" i="14" s="1"/>
  <c r="W72" i="14" s="1"/>
  <c r="Q71" i="14"/>
  <c r="R71" i="14" s="1"/>
  <c r="W71" i="14" s="1"/>
  <c r="Q70" i="14"/>
  <c r="R70" i="14" s="1"/>
  <c r="W70" i="14" s="1"/>
  <c r="Q69" i="14"/>
  <c r="R69" i="14" s="1"/>
  <c r="W69" i="14" s="1"/>
  <c r="Q68" i="14"/>
  <c r="R68" i="14" s="1"/>
  <c r="W68" i="14" s="1"/>
  <c r="Q67" i="14"/>
  <c r="R67" i="14" s="1"/>
  <c r="W67" i="14" s="1"/>
  <c r="Q66" i="14"/>
  <c r="R66" i="14" s="1"/>
  <c r="W66" i="14" s="1"/>
  <c r="Q65" i="14"/>
  <c r="R65" i="14" s="1"/>
  <c r="W65" i="14" s="1"/>
  <c r="Q64" i="14"/>
  <c r="R64" i="14" s="1"/>
  <c r="W64" i="14" s="1"/>
  <c r="Q63" i="14"/>
  <c r="R63" i="14" s="1"/>
  <c r="W63" i="14" s="1"/>
  <c r="Q62" i="14"/>
  <c r="R62" i="14" s="1"/>
  <c r="W62" i="14" s="1"/>
  <c r="Q61" i="14" l="1"/>
  <c r="R61" i="14" s="1"/>
  <c r="W61" i="14" s="1"/>
  <c r="Q60" i="14"/>
  <c r="R60" i="14" s="1"/>
  <c r="W60" i="14" s="1"/>
  <c r="Q59" i="14"/>
  <c r="R59" i="14" s="1"/>
  <c r="W59" i="14" s="1"/>
  <c r="Q58" i="14"/>
  <c r="R58" i="14" s="1"/>
  <c r="W58" i="14" s="1"/>
  <c r="Q57" i="14" l="1"/>
  <c r="R57" i="14" s="1"/>
  <c r="W57" i="14" s="1"/>
  <c r="Q56" i="14"/>
  <c r="R56" i="14" s="1"/>
  <c r="W56" i="14" s="1"/>
  <c r="Q51" i="14"/>
  <c r="R51" i="14" s="1"/>
  <c r="W51" i="14" s="1"/>
  <c r="Q50" i="14"/>
  <c r="R50" i="14" s="1"/>
  <c r="W50" i="14" s="1"/>
  <c r="Q49" i="14"/>
  <c r="R49" i="14" s="1"/>
  <c r="W49" i="14" s="1"/>
  <c r="Q48" i="14"/>
  <c r="R48" i="14" s="1"/>
  <c r="W48" i="14" s="1"/>
  <c r="Q47" i="14"/>
  <c r="R47" i="14" s="1"/>
  <c r="W47" i="14" s="1"/>
  <c r="Q46" i="14"/>
  <c r="R46" i="14" s="1"/>
  <c r="W46" i="14" s="1"/>
  <c r="Q45" i="14"/>
  <c r="R45" i="14" s="1"/>
  <c r="W45" i="14" s="1"/>
  <c r="Q44" i="14"/>
  <c r="R44" i="14" s="1"/>
  <c r="W44" i="14" s="1"/>
  <c r="Q43" i="14"/>
  <c r="R43" i="14" s="1"/>
  <c r="W43" i="14" s="1"/>
  <c r="Q42" i="14"/>
  <c r="R42" i="14" s="1"/>
  <c r="W42" i="14" s="1"/>
  <c r="Q41" i="14"/>
  <c r="R41" i="14" s="1"/>
  <c r="W41" i="14" s="1"/>
  <c r="Q40" i="14"/>
  <c r="R40" i="14" s="1"/>
  <c r="W40" i="14" s="1"/>
  <c r="Q39" i="14" l="1"/>
  <c r="R39" i="14" s="1"/>
  <c r="W39" i="14" s="1"/>
  <c r="Q38" i="14"/>
  <c r="R38" i="14" s="1"/>
  <c r="W38" i="14" s="1"/>
  <c r="Q37" i="14"/>
  <c r="R37" i="14" s="1"/>
  <c r="W37" i="14" s="1"/>
  <c r="Q27" i="14"/>
  <c r="Q28" i="14"/>
  <c r="R28" i="14" s="1"/>
  <c r="W28" i="14" s="1"/>
  <c r="Q29" i="14"/>
  <c r="R29" i="14" s="1"/>
  <c r="W29" i="14" s="1"/>
  <c r="Q30" i="14"/>
  <c r="R30" i="14" s="1"/>
  <c r="W30" i="14" s="1"/>
  <c r="Q31" i="14"/>
  <c r="R31" i="14" s="1"/>
  <c r="W31" i="14" s="1"/>
  <c r="Q32" i="14"/>
  <c r="R32" i="14" s="1"/>
  <c r="W32" i="14" s="1"/>
  <c r="Q33" i="14"/>
  <c r="R33" i="14" s="1"/>
  <c r="W33" i="14" s="1"/>
  <c r="Q34" i="14"/>
  <c r="R34" i="14" s="1"/>
  <c r="W34" i="14" s="1"/>
  <c r="Q35" i="14"/>
  <c r="R35" i="14" s="1"/>
  <c r="W35" i="14" s="1"/>
  <c r="Q36" i="14"/>
  <c r="R36" i="14" s="1"/>
  <c r="W36" i="14" s="1"/>
  <c r="R27" i="14" l="1"/>
  <c r="Q22" i="14"/>
  <c r="R22" i="14" s="1"/>
  <c r="W22" i="14" s="1"/>
  <c r="Q26" i="14"/>
  <c r="R26" i="14" s="1"/>
  <c r="W26" i="14" s="1"/>
  <c r="Q25" i="14"/>
  <c r="R25" i="14" s="1"/>
  <c r="W25" i="14" s="1"/>
  <c r="Q24" i="14"/>
  <c r="R24" i="14" s="1"/>
  <c r="W24" i="14" s="1"/>
  <c r="Q23" i="14"/>
  <c r="R23" i="14" s="1"/>
  <c r="W23" i="14" s="1"/>
  <c r="Q21" i="14"/>
  <c r="R21" i="14" s="1"/>
  <c r="W21" i="14" s="1"/>
  <c r="Q20" i="14"/>
  <c r="R20" i="14" s="1"/>
  <c r="W20" i="14" s="1"/>
  <c r="Q19" i="14"/>
  <c r="R19" i="14" s="1"/>
  <c r="W19" i="14" s="1"/>
  <c r="W27" i="14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N50" i="2"/>
  <c r="N51" i="2"/>
  <c r="N52" i="2"/>
  <c r="N53" i="2"/>
  <c r="N54" i="2"/>
  <c r="N55" i="2"/>
  <c r="N56" i="2"/>
  <c r="N57" i="2"/>
  <c r="N45" i="2"/>
  <c r="N46" i="2"/>
  <c r="N47" i="2"/>
  <c r="N48" i="2"/>
  <c r="N49" i="2"/>
  <c r="N37" i="2"/>
  <c r="N38" i="2"/>
  <c r="N39" i="2"/>
  <c r="N40" i="2"/>
  <c r="N41" i="2"/>
  <c r="N42" i="2"/>
  <c r="N43" i="2"/>
  <c r="N44" i="2"/>
  <c r="N30" i="2"/>
  <c r="N31" i="2"/>
  <c r="N32" i="2"/>
  <c r="N33" i="2"/>
  <c r="N34" i="2"/>
  <c r="N35" i="2"/>
  <c r="N36" i="2"/>
  <c r="N27" i="2"/>
  <c r="N28" i="2"/>
  <c r="N29" i="2"/>
  <c r="N22" i="2"/>
  <c r="N23" i="2"/>
  <c r="N24" i="2"/>
  <c r="N25" i="2"/>
  <c r="N26" i="2"/>
  <c r="N21" i="2"/>
  <c r="N20" i="2"/>
  <c r="N19" i="2"/>
  <c r="N12" i="2"/>
  <c r="N13" i="2"/>
  <c r="N14" i="2"/>
  <c r="N15" i="2"/>
  <c r="N16" i="2"/>
  <c r="N17" i="2"/>
  <c r="N18" i="2"/>
  <c r="N11" i="2"/>
  <c r="N10" i="2"/>
  <c r="N9" i="2"/>
  <c r="N8" i="2"/>
  <c r="N7" i="2"/>
  <c r="N6" i="2"/>
  <c r="N5" i="2"/>
  <c r="N4" i="2"/>
  <c r="N3" i="2"/>
  <c r="Q18" i="14" l="1"/>
  <c r="R18" i="14" s="1"/>
  <c r="W18" i="14" s="1"/>
  <c r="Q17" i="14" l="1"/>
  <c r="R17" i="14" s="1"/>
  <c r="W17" i="14" s="1"/>
  <c r="Q16" i="14"/>
  <c r="R16" i="14" s="1"/>
  <c r="W16" i="14" s="1"/>
  <c r="Q15" i="14"/>
  <c r="R15" i="14" s="1"/>
  <c r="W15" i="14" s="1"/>
  <c r="Q14" i="14" l="1"/>
  <c r="R14" i="14" s="1"/>
  <c r="W14" i="14" s="1"/>
  <c r="Q13" i="14"/>
  <c r="R13" i="14" s="1"/>
  <c r="W13" i="14" s="1"/>
  <c r="Q12" i="14"/>
  <c r="R12" i="14" s="1"/>
  <c r="W12" i="14" s="1"/>
  <c r="Q11" i="14"/>
  <c r="R11" i="14" s="1"/>
  <c r="W11" i="14" s="1"/>
  <c r="Q10" i="14"/>
  <c r="R10" i="14" s="1"/>
  <c r="W10" i="14" s="1"/>
  <c r="Q9" i="14"/>
  <c r="R9" i="14" s="1"/>
  <c r="W9" i="14" s="1"/>
  <c r="Q8" i="14"/>
  <c r="R8" i="14" s="1"/>
  <c r="W8" i="14" s="1"/>
  <c r="Q7" i="14"/>
  <c r="R7" i="14" s="1"/>
  <c r="W7" i="14" s="1"/>
  <c r="Q6" i="14"/>
  <c r="R6" i="14" s="1"/>
  <c r="W6" i="14" s="1"/>
  <c r="Q5" i="14"/>
  <c r="R5" i="14" s="1"/>
  <c r="W5" i="14" s="1"/>
  <c r="Q4" i="14"/>
  <c r="Q155" i="14" l="1"/>
  <c r="R4" i="14"/>
  <c r="R155" i="14" s="1"/>
  <c r="W4" i="14" l="1"/>
  <c r="W155" i="14" s="1"/>
  <c r="I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D10" i="11"/>
  <c r="D44" i="11" s="1"/>
  <c r="H9" i="11"/>
  <c r="H8" i="11"/>
  <c r="H7" i="11"/>
  <c r="H6" i="11"/>
  <c r="H5" i="11"/>
  <c r="H4" i="11"/>
  <c r="H3" i="11"/>
  <c r="H2" i="11"/>
  <c r="I40" i="8" l="1"/>
  <c r="A40" i="8"/>
  <c r="N40" i="8"/>
  <c r="K37" i="4" l="1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C7" i="4" l="1"/>
  <c r="H7" i="4" l="1"/>
  <c r="F7" i="4"/>
  <c r="E7" i="4"/>
  <c r="D7" i="4"/>
  <c r="G7" i="4"/>
  <c r="I7" i="4"/>
  <c r="C8" i="4"/>
  <c r="B7" i="4"/>
  <c r="J7" i="4" l="1"/>
  <c r="H8" i="4"/>
  <c r="E8" i="4"/>
  <c r="F8" i="4"/>
  <c r="G8" i="4"/>
  <c r="I8" i="4"/>
  <c r="D8" i="4"/>
  <c r="C9" i="4"/>
  <c r="B8" i="4"/>
  <c r="H9" i="4" l="1"/>
  <c r="F9" i="4"/>
  <c r="E9" i="4"/>
  <c r="G9" i="4"/>
  <c r="I9" i="4"/>
  <c r="D9" i="4"/>
  <c r="J8" i="4"/>
  <c r="C10" i="4"/>
  <c r="B9" i="4"/>
  <c r="H10" i="4" l="1"/>
  <c r="E10" i="4"/>
  <c r="F10" i="4"/>
  <c r="D10" i="4"/>
  <c r="I10" i="4"/>
  <c r="G10" i="4"/>
  <c r="J9" i="4"/>
  <c r="C11" i="4"/>
  <c r="B10" i="4"/>
  <c r="H11" i="4" l="1"/>
  <c r="E11" i="4"/>
  <c r="F11" i="4"/>
  <c r="I11" i="4"/>
  <c r="G11" i="4"/>
  <c r="D11" i="4"/>
  <c r="J10" i="4"/>
  <c r="C12" i="4"/>
  <c r="B11" i="4"/>
  <c r="H12" i="4" l="1"/>
  <c r="E12" i="4"/>
  <c r="F12" i="4"/>
  <c r="G12" i="4"/>
  <c r="I12" i="4"/>
  <c r="D12" i="4"/>
  <c r="J11" i="4"/>
  <c r="C13" i="4"/>
  <c r="B12" i="4"/>
  <c r="H13" i="4" l="1"/>
  <c r="E13" i="4"/>
  <c r="F13" i="4"/>
  <c r="D13" i="4"/>
  <c r="I13" i="4"/>
  <c r="G13" i="4"/>
  <c r="J12" i="4"/>
  <c r="C14" i="4"/>
  <c r="B13" i="4"/>
  <c r="H14" i="4" l="1"/>
  <c r="F14" i="4"/>
  <c r="E14" i="4"/>
  <c r="D14" i="4"/>
  <c r="I14" i="4"/>
  <c r="G14" i="4"/>
  <c r="J13" i="4"/>
  <c r="C15" i="4"/>
  <c r="B14" i="4"/>
  <c r="H15" i="4" l="1"/>
  <c r="F15" i="4"/>
  <c r="E15" i="4"/>
  <c r="D15" i="4"/>
  <c r="G15" i="4"/>
  <c r="I15" i="4"/>
  <c r="J14" i="4"/>
  <c r="C16" i="4"/>
  <c r="B15" i="4"/>
  <c r="H16" i="4" l="1"/>
  <c r="E16" i="4"/>
  <c r="F16" i="4"/>
  <c r="G16" i="4"/>
  <c r="D16" i="4"/>
  <c r="I16" i="4"/>
  <c r="J15" i="4"/>
  <c r="C17" i="4"/>
  <c r="B16" i="4"/>
  <c r="H17" i="4" l="1"/>
  <c r="E17" i="4"/>
  <c r="F17" i="4"/>
  <c r="G17" i="4"/>
  <c r="I17" i="4"/>
  <c r="D17" i="4"/>
  <c r="J16" i="4"/>
  <c r="C18" i="4"/>
  <c r="B17" i="4"/>
  <c r="H18" i="4" l="1"/>
  <c r="F18" i="4"/>
  <c r="E18" i="4"/>
  <c r="I18" i="4"/>
  <c r="G18" i="4"/>
  <c r="D18" i="4"/>
  <c r="J17" i="4"/>
  <c r="C19" i="4"/>
  <c r="B18" i="4"/>
  <c r="H19" i="4" l="1"/>
  <c r="F19" i="4"/>
  <c r="E19" i="4"/>
  <c r="I19" i="4"/>
  <c r="G19" i="4"/>
  <c r="D19" i="4"/>
  <c r="J18" i="4"/>
  <c r="C20" i="4"/>
  <c r="B19" i="4"/>
  <c r="H20" i="4" l="1"/>
  <c r="E20" i="4"/>
  <c r="F20" i="4"/>
  <c r="I20" i="4"/>
  <c r="D20" i="4"/>
  <c r="G20" i="4"/>
  <c r="J19" i="4"/>
  <c r="C21" i="4"/>
  <c r="B20" i="4"/>
  <c r="H21" i="4" l="1"/>
  <c r="F21" i="4"/>
  <c r="E21" i="4"/>
  <c r="I21" i="4"/>
  <c r="D21" i="4"/>
  <c r="G21" i="4"/>
  <c r="J20" i="4"/>
  <c r="C22" i="4"/>
  <c r="B21" i="4"/>
  <c r="H22" i="4" l="1"/>
  <c r="F22" i="4"/>
  <c r="E22" i="4"/>
  <c r="D22" i="4"/>
  <c r="G22" i="4"/>
  <c r="I22" i="4"/>
  <c r="J21" i="4"/>
  <c r="C23" i="4"/>
  <c r="B22" i="4"/>
  <c r="H23" i="4" l="1"/>
  <c r="E23" i="4"/>
  <c r="F23" i="4"/>
  <c r="D23" i="4"/>
  <c r="G23" i="4"/>
  <c r="I23" i="4"/>
  <c r="J22" i="4"/>
  <c r="C24" i="4"/>
  <c r="B23" i="4"/>
  <c r="H24" i="4" l="1"/>
  <c r="E24" i="4"/>
  <c r="F24" i="4"/>
  <c r="G24" i="4"/>
  <c r="I24" i="4"/>
  <c r="D24" i="4"/>
  <c r="J23" i="4"/>
  <c r="C25" i="4"/>
  <c r="B24" i="4"/>
  <c r="H25" i="4" l="1"/>
  <c r="E25" i="4"/>
  <c r="F25" i="4"/>
  <c r="G25" i="4"/>
  <c r="D25" i="4"/>
  <c r="I25" i="4"/>
  <c r="J24" i="4"/>
  <c r="C26" i="4"/>
  <c r="B25" i="4"/>
  <c r="H26" i="4" l="1"/>
  <c r="E26" i="4"/>
  <c r="F26" i="4"/>
  <c r="I26" i="4"/>
  <c r="D26" i="4"/>
  <c r="G26" i="4"/>
  <c r="J25" i="4"/>
  <c r="C27" i="4"/>
  <c r="B26" i="4"/>
  <c r="H27" i="4" l="1"/>
  <c r="E27" i="4"/>
  <c r="F27" i="4"/>
  <c r="I27" i="4"/>
  <c r="D27" i="4"/>
  <c r="G27" i="4"/>
  <c r="J26" i="4"/>
  <c r="C28" i="4"/>
  <c r="B27" i="4"/>
  <c r="H28" i="4" l="1"/>
  <c r="E28" i="4"/>
  <c r="F28" i="4"/>
  <c r="G28" i="4"/>
  <c r="D28" i="4"/>
  <c r="I28" i="4"/>
  <c r="J27" i="4"/>
  <c r="C29" i="4"/>
  <c r="B28" i="4"/>
  <c r="H29" i="4" l="1"/>
  <c r="E29" i="4"/>
  <c r="F29" i="4"/>
  <c r="D29" i="4"/>
  <c r="I29" i="4"/>
  <c r="G29" i="4"/>
  <c r="J28" i="4"/>
  <c r="C30" i="4"/>
  <c r="B29" i="4"/>
  <c r="H30" i="4" l="1"/>
  <c r="F30" i="4"/>
  <c r="E30" i="4"/>
  <c r="D30" i="4"/>
  <c r="I30" i="4"/>
  <c r="G30" i="4"/>
  <c r="J29" i="4"/>
  <c r="C31" i="4"/>
  <c r="B30" i="4"/>
  <c r="H31" i="4" l="1"/>
  <c r="F31" i="4"/>
  <c r="E31" i="4"/>
  <c r="D31" i="4"/>
  <c r="G31" i="4"/>
  <c r="I31" i="4"/>
  <c r="J30" i="4"/>
  <c r="C32" i="4"/>
  <c r="B31" i="4"/>
  <c r="H32" i="4" l="1"/>
  <c r="F32" i="4"/>
  <c r="E32" i="4"/>
  <c r="G32" i="4"/>
  <c r="I32" i="4"/>
  <c r="D32" i="4"/>
  <c r="J31" i="4"/>
  <c r="B32" i="4"/>
  <c r="C33" i="4"/>
  <c r="H33" i="4" l="1"/>
  <c r="F33" i="4"/>
  <c r="E33" i="4"/>
  <c r="G33" i="4"/>
  <c r="D33" i="4"/>
  <c r="I33" i="4"/>
  <c r="J32" i="4"/>
  <c r="C34" i="4"/>
  <c r="B33" i="4"/>
  <c r="H34" i="4" l="1"/>
  <c r="E34" i="4"/>
  <c r="F34" i="4"/>
  <c r="I34" i="4"/>
  <c r="D34" i="4"/>
  <c r="G34" i="4"/>
  <c r="J33" i="4"/>
  <c r="B34" i="4"/>
  <c r="C35" i="4"/>
  <c r="H35" i="4" l="1"/>
  <c r="E35" i="4"/>
  <c r="F35" i="4"/>
  <c r="I35" i="4"/>
  <c r="G35" i="4"/>
  <c r="D35" i="4"/>
  <c r="J34" i="4"/>
  <c r="B35" i="4"/>
  <c r="C36" i="4"/>
  <c r="H36" i="4" l="1"/>
  <c r="E36" i="4"/>
  <c r="F36" i="4"/>
  <c r="I36" i="4"/>
  <c r="D36" i="4"/>
  <c r="G36" i="4"/>
  <c r="J35" i="4"/>
  <c r="C37" i="4"/>
  <c r="B36" i="4"/>
  <c r="H37" i="4" l="1"/>
  <c r="F37" i="4"/>
  <c r="E37" i="4"/>
  <c r="I37" i="4"/>
  <c r="D37" i="4"/>
  <c r="G37" i="4"/>
  <c r="B37" i="4"/>
  <c r="J36" i="4"/>
  <c r="J37" i="4" l="1"/>
  <c r="Z58" i="2"/>
  <c r="V58" i="2" l="1"/>
  <c r="Z3" i="24" l="1"/>
  <c r="Y3" i="24"/>
  <c r="Y4" i="24"/>
  <c r="Z4" i="24"/>
  <c r="V4" i="24" s="1"/>
</calcChain>
</file>

<file path=xl/sharedStrings.xml><?xml version="1.0" encoding="utf-8"?>
<sst xmlns="http://schemas.openxmlformats.org/spreadsheetml/2006/main" count="5432" uniqueCount="1686">
  <si>
    <t>AFFAIRE</t>
  </si>
  <si>
    <t>CLIENT</t>
  </si>
  <si>
    <t>NUM_FACTURE</t>
  </si>
  <si>
    <t>ENTITE</t>
  </si>
  <si>
    <t>DATE_FACTURE</t>
  </si>
  <si>
    <t>VENTES</t>
  </si>
  <si>
    <t>FRAIS GENERAUX</t>
  </si>
  <si>
    <t>TRESORERIE INITIALE</t>
  </si>
  <si>
    <t>DATE</t>
  </si>
  <si>
    <t>TRESORERIE</t>
  </si>
  <si>
    <t>DATE DEPART</t>
  </si>
  <si>
    <t>MONTANT HT</t>
  </si>
  <si>
    <t>TVA</t>
  </si>
  <si>
    <t>MONTANT TTC</t>
  </si>
  <si>
    <t>DATE PAIEMENT</t>
  </si>
  <si>
    <t>PAYE</t>
  </si>
  <si>
    <t>N°</t>
  </si>
  <si>
    <t>FOURNISSEUR</t>
  </si>
  <si>
    <t>DETAIL</t>
  </si>
  <si>
    <t>DATE DE PAIEMENT</t>
  </si>
  <si>
    <t>DELAI</t>
  </si>
  <si>
    <t>ECHEANCE</t>
  </si>
  <si>
    <t>COMPTE TRESO</t>
  </si>
  <si>
    <t xml:space="preserve">SOLDE </t>
  </si>
  <si>
    <t>DATE DE REPORT</t>
  </si>
  <si>
    <t>SEUIL</t>
  </si>
  <si>
    <t>JOUR DE PRELEVEMENT</t>
  </si>
  <si>
    <t>ENTITÉ</t>
  </si>
  <si>
    <t>TYPE DE DÉCLARATION</t>
  </si>
  <si>
    <t xml:space="preserve"> DATE LIMITE</t>
  </si>
  <si>
    <t>MONTANT DÉCLARÉ</t>
  </si>
  <si>
    <t>MONTANT RÉGLÉ</t>
  </si>
  <si>
    <t xml:space="preserve"> STATUT</t>
  </si>
  <si>
    <t xml:space="preserve"> REMARQUES</t>
  </si>
  <si>
    <t>sim group</t>
  </si>
  <si>
    <t>POSTE TRESORERIE</t>
  </si>
  <si>
    <t>OBA</t>
  </si>
  <si>
    <t>BDU</t>
  </si>
  <si>
    <t>UBA</t>
  </si>
  <si>
    <t>GTBANK</t>
  </si>
  <si>
    <t>COFINA</t>
  </si>
  <si>
    <t>CAISSE</t>
  </si>
  <si>
    <t>WAVE</t>
  </si>
  <si>
    <t>ORANGE MONNEY</t>
  </si>
  <si>
    <t>NUMÉRO DE FACTURE</t>
  </si>
  <si>
    <t>DATE DE FACTURATION</t>
  </si>
  <si>
    <t>ÉCHÉANCE</t>
  </si>
  <si>
    <t>MONTANT ÉCHU</t>
  </si>
  <si>
    <t>MONTANT NON ÉCHU</t>
  </si>
  <si>
    <t>STATUT (PAYÉ / EN ATTENTE)</t>
  </si>
  <si>
    <t>SIM GROUP</t>
  </si>
  <si>
    <t>TEXTIPRINT</t>
  </si>
  <si>
    <t>SINERGIE RESEAU</t>
  </si>
  <si>
    <t xml:space="preserve">ROYAL LT </t>
  </si>
  <si>
    <t>SIGIB</t>
  </si>
  <si>
    <t>SIM BETON</t>
  </si>
  <si>
    <t>KOUAME SYLVIE</t>
  </si>
  <si>
    <t>EN ATTENTE</t>
  </si>
  <si>
    <t>ACHATS D 'EXPLOITATION</t>
  </si>
  <si>
    <t>HORS GROUPE</t>
  </si>
  <si>
    <t>INTRA-GROUPE</t>
  </si>
  <si>
    <t>TYPE DE DETTES</t>
  </si>
  <si>
    <t>DETAIL DE LA DEPENSE</t>
  </si>
  <si>
    <t xml:space="preserve">TYPE DE DÉPENSE </t>
  </si>
  <si>
    <t>FOUILLES</t>
  </si>
  <si>
    <t>LOCATION ABOBO</t>
  </si>
  <si>
    <t>ROYAL LOGISTIQUES</t>
  </si>
  <si>
    <t>LOCATIONS GRUE</t>
  </si>
  <si>
    <t>MATERIEL INFRA</t>
  </si>
  <si>
    <t xml:space="preserve">LOCATION DE BACHÉ </t>
  </si>
  <si>
    <t>EQUIPE DE TIRAGE ABOBO / INNOV</t>
  </si>
  <si>
    <t>PRÊT A TEXTPRINT</t>
  </si>
  <si>
    <t>PRÊT A SIGIB</t>
  </si>
  <si>
    <t>TRAORE MAMADOU P/C HAMED LOCATION</t>
  </si>
  <si>
    <t>SALAIRE AOUT A OCTOBRE 2024</t>
  </si>
  <si>
    <t>LOCATION DE LOGICIEL MAI A JUILLET 2024</t>
  </si>
  <si>
    <t>FARAH ET FRERES</t>
  </si>
  <si>
    <t>COULIBALY</t>
  </si>
  <si>
    <t>CREATION DE LOGO ET AFFICHE</t>
  </si>
  <si>
    <t>N'GORAN ULRICHE</t>
  </si>
  <si>
    <t>KOFFI GERARD</t>
  </si>
  <si>
    <t>CONTACT</t>
  </si>
  <si>
    <t>0757288788</t>
  </si>
  <si>
    <t>0768054715</t>
  </si>
  <si>
    <t>KOUYATE</t>
  </si>
  <si>
    <t>ADIMI</t>
  </si>
  <si>
    <t>MECANIQUE HYDROLIQUE GRUE ET PIECES DETACHEES</t>
  </si>
  <si>
    <t>AQUISITION D'UN TRACTEUR ROUTIER COULEUR VERTE</t>
  </si>
  <si>
    <t>KAMATE</t>
  </si>
  <si>
    <t>MECANIQUE DE CAMION BLEU-DEPANNAGE</t>
  </si>
  <si>
    <t>SALIFOU</t>
  </si>
  <si>
    <t>MECANIQUE DE CAMION VERT-DEPANNAGE</t>
  </si>
  <si>
    <t>PERSONNEL</t>
  </si>
  <si>
    <t>LOCATION ET IMPLANTATION DEC 2023-OCT 2024</t>
  </si>
  <si>
    <t>LOCATION GRUE</t>
  </si>
  <si>
    <t>SIM BETON BF</t>
  </si>
  <si>
    <t>SIM BETON CI</t>
  </si>
  <si>
    <t>GROUPE ELECTROGÈNE-LOCATION DE MARTEAUX PIQUEUR</t>
  </si>
  <si>
    <t>ACQUISITION DE 3 VEHICULES</t>
  </si>
  <si>
    <t>FOUILLES METALLIQUES ( AVRIL, MAI, JUIN ET JUILLET) 2024</t>
  </si>
  <si>
    <t>FOUILLES BETON (AVRIL, MAI, JUIN, JUILLET ET AOUT) 2024</t>
  </si>
  <si>
    <t>SANOGO</t>
  </si>
  <si>
    <t>0103404600</t>
  </si>
  <si>
    <t>TEFR</t>
  </si>
  <si>
    <t>LOCATION DE VEHICULE POUR ACTION INFRA</t>
  </si>
  <si>
    <t>ENTREPRISE SAVANE</t>
  </si>
  <si>
    <t>0700612128</t>
  </si>
  <si>
    <t>BONAVENTURE</t>
  </si>
  <si>
    <t>ZOUZOUA</t>
  </si>
  <si>
    <t>M. JD</t>
  </si>
  <si>
    <t>GROUP HOREB</t>
  </si>
  <si>
    <t>ALYCARTOUCHE</t>
  </si>
  <si>
    <t>MALICK</t>
  </si>
  <si>
    <t>WINNER PROD FIRMIN</t>
  </si>
  <si>
    <t>GUIGUI ARMEL NATHAN IMPRIME</t>
  </si>
  <si>
    <t>KOUAME SALOMON ET YAHIRI EMMANUEL</t>
  </si>
  <si>
    <t>DOCUMENT A DOS CARRE PPE 2023</t>
  </si>
  <si>
    <t>DOCUMENT A DOS CARRE PPE 0CTOBRE 2024</t>
  </si>
  <si>
    <t xml:space="preserve">DETTE </t>
  </si>
  <si>
    <t>ACHAT DE BACHE 2022</t>
  </si>
  <si>
    <t>CONFECTION DE 38 TENUES MARS 2024</t>
  </si>
  <si>
    <t>IMPRESSION SUR 100 CHASUBLES SIKA M</t>
  </si>
  <si>
    <t>ACHAT DE BACHE FEVRIER 2024</t>
  </si>
  <si>
    <t>SOLDE CONFECTION DE SUPPORT METALLIQUE NSIA FEVRIER 2023</t>
  </si>
  <si>
    <t>CONFECTION DE 676 PLAQUES EN PLEXIGLASS</t>
  </si>
  <si>
    <t>CONFECTION DE 500 CALENDRIERS A3 PPE OCTOBRE 2024</t>
  </si>
  <si>
    <t>DROITS A REVERSER</t>
  </si>
  <si>
    <t>SORO NOUHOUOLA ETIENNE</t>
  </si>
  <si>
    <t>PRÊT POUR LA PRODUCTION-RAPPORTS MENSUELS SIM BETON</t>
  </si>
  <si>
    <t>PRÊT POUR LA PRODUCTION-FICHES DE DEPENSES JUILLET 2024</t>
  </si>
  <si>
    <t>LOYER DU MAGASIN ANCIEN SITE</t>
  </si>
  <si>
    <t>RÉFÉRENCE</t>
  </si>
  <si>
    <t>TYPE DE DETTE FINANCIÈRE</t>
  </si>
  <si>
    <t>CATÉGORIE</t>
  </si>
  <si>
    <t>MONTANT INITIAL</t>
  </si>
  <si>
    <t>TAUX D'INTÉRÊT</t>
  </si>
  <si>
    <t>PAIEMENT MENSUEL</t>
  </si>
  <si>
    <t>INSTITUTION</t>
  </si>
  <si>
    <t>MONTANT REMBOURSE</t>
  </si>
  <si>
    <t>ÉCHÉANCE PROCHAINE</t>
  </si>
  <si>
    <t>SOLDE RESTANT</t>
  </si>
  <si>
    <t>Procédure manuelle pour compléter les informations</t>
  </si>
  <si>
    <r>
      <t>1. Collectez les factures liées</t>
    </r>
    <r>
      <rPr>
        <sz val="11"/>
        <color theme="1"/>
        <rFont val="Calibri"/>
        <family val="2"/>
        <scheme val="minor"/>
      </rPr>
      <t xml:space="preserve"> :</t>
    </r>
  </si>
  <si>
    <t>Demandez aux fournisseurs de fournir les factures pour chaque fiche de dépense validée.</t>
  </si>
  <si>
    <r>
      <t>2. Vérifiez les montants et les conditions</t>
    </r>
    <r>
      <rPr>
        <sz val="11"/>
        <color theme="1"/>
        <rFont val="Calibri"/>
        <family val="2"/>
        <scheme val="minor"/>
      </rPr>
      <t xml:space="preserve"> :</t>
    </r>
  </si>
  <si>
    <t>Assurez-vous que les montants sur la facture correspondent à ceux engagés.</t>
  </si>
  <si>
    <t>Si une différence est détectée, mettez à jour le montant dans la fiche.</t>
  </si>
  <si>
    <r>
      <t>3. Mettez à jour le tableau</t>
    </r>
    <r>
      <rPr>
        <sz val="11"/>
        <color theme="1"/>
        <rFont val="Calibri"/>
        <family val="2"/>
        <scheme val="minor"/>
      </rPr>
      <t xml:space="preserve"> :</t>
    </r>
  </si>
  <si>
    <t>Ajoutez les informations de la facture (fournisseur, numéro de facture, échéance réelle).</t>
  </si>
  <si>
    <t>Changez le statut à "Dette fournisseur".</t>
  </si>
  <si>
    <t>Transition visuelle pour le suivi</t>
  </si>
  <si>
    <r>
      <t xml:space="preserve">Utilisez une </t>
    </r>
    <r>
      <rPr>
        <b/>
        <sz val="11"/>
        <color theme="1"/>
        <rFont val="Calibri"/>
        <family val="2"/>
        <scheme val="minor"/>
      </rPr>
      <t>mise en forme conditionnelle</t>
    </r>
    <r>
      <rPr>
        <sz val="11"/>
        <color theme="1"/>
        <rFont val="Calibri"/>
        <family val="2"/>
        <scheme val="minor"/>
      </rPr>
      <t xml:space="preserve"> pour identifier les fiches prêtes à être converties :</t>
    </r>
  </si>
  <si>
    <t>Rouge : Engagement sans facture.</t>
  </si>
  <si>
    <t>Orange : Engagement partiellement converti.</t>
  </si>
  <si>
    <t>Vert : Dette fournisseur.</t>
  </si>
  <si>
    <t>Dans votre fichier Excel, utilisez la colonne Statut pour indiquer où en est la fiche de dépense dans son cycle :</t>
  </si>
  <si>
    <r>
      <t>Engagement</t>
    </r>
    <r>
      <rPr>
        <sz val="11"/>
        <color theme="1"/>
        <rFont val="Calibri"/>
        <family val="2"/>
        <scheme val="minor"/>
      </rPr>
      <t xml:space="preserve"> : La fiche a été validée mais la dépense n'est pas encore réalisée.</t>
    </r>
  </si>
  <si>
    <r>
      <t>Partiellement engagé</t>
    </r>
    <r>
      <rPr>
        <sz val="11"/>
        <color theme="1"/>
        <rFont val="Calibri"/>
        <family val="2"/>
        <scheme val="minor"/>
      </rPr>
      <t xml:space="preserve"> : Une partie de la dépense a été réalisée ou payée.</t>
    </r>
  </si>
  <si>
    <r>
      <t>Dette fournisseur</t>
    </r>
    <r>
      <rPr>
        <sz val="11"/>
        <color theme="1"/>
        <rFont val="Calibri"/>
        <family val="2"/>
        <scheme val="minor"/>
      </rPr>
      <t xml:space="preserve"> : Une facture a été reçue et est en attente de règlement.</t>
    </r>
  </si>
  <si>
    <r>
      <t>Réglé</t>
    </r>
    <r>
      <rPr>
        <sz val="11"/>
        <color theme="1"/>
        <rFont val="Calibri"/>
        <family val="2"/>
        <scheme val="minor"/>
      </rPr>
      <t xml:space="preserve"> : La facture a été payée.</t>
    </r>
  </si>
  <si>
    <t>TYPE D’INFORMATION</t>
  </si>
  <si>
    <t>MONTANT (FCFA)</t>
  </si>
  <si>
    <t>DESCRIPTION</t>
  </si>
  <si>
    <t>DEMANDEUR</t>
  </si>
  <si>
    <t>STATUT</t>
  </si>
  <si>
    <t>ROYAL LT</t>
  </si>
  <si>
    <t>ENGAGEMENT</t>
  </si>
  <si>
    <t>EDITION FACTURES NORMALISEES A4 RECTO SIMPLE</t>
  </si>
  <si>
    <t>EN ATTENTE DE PAIEMENT</t>
  </si>
  <si>
    <t>REPARATION CAMION A BOUAKE-PERIODE DECEMBRE 2024</t>
  </si>
  <si>
    <t>DETTES FOURNISSEURS</t>
  </si>
  <si>
    <t>LOYER SITE DE PRODUCTION ABJ-4,5 MOIS_OPTIGESTION</t>
  </si>
  <si>
    <t>NON REGLE</t>
  </si>
  <si>
    <t>CARNET BL 3 FEUILLETS</t>
  </si>
  <si>
    <t>FRAIS DE PRODUCTION SEMAINE DU 14 AU 19/01/2025-SITE BKE</t>
  </si>
  <si>
    <t>FRAIS DE PRODUCTION SEMAINE DU 14 AU 19/01/2025-SITE ABJ</t>
  </si>
  <si>
    <t>FRAIS DE PRODUCTION SEMAINE DU 14 AU 19/01/2025-SITE MAN</t>
  </si>
  <si>
    <t>FACTURES GARAGE TS &amp; FILS (04)</t>
  </si>
  <si>
    <t>CAUTION AGENT DE SECURITE ET FRAIS CREATION SIM BETON</t>
  </si>
  <si>
    <t>PRESTATION CIC-SAN PEDRO</t>
  </si>
  <si>
    <t>FRAIS PROFESSIONNELS</t>
  </si>
  <si>
    <t>CARBURANT ET ACHAT MECHES-KOUAME SYLVIE</t>
  </si>
  <si>
    <t>MO JOURNALIERE POUR PRESTATION-KOUAME SYLVIE</t>
  </si>
  <si>
    <t>FOUILLES ALEX-KOUAME SYLVIE</t>
  </si>
  <si>
    <t>PRESTATION INFRA DU 15/7/24-KOUAME SYLVIE</t>
  </si>
  <si>
    <t>TRANSPORT POUR LE RETRAIT DU  BC N° 4 CIC-TIKANA</t>
  </si>
  <si>
    <t>NON REMBOURSE</t>
  </si>
  <si>
    <t>DETTES SOCIALES</t>
  </si>
  <si>
    <t>COTISATION CNPS 3T 2024</t>
  </si>
  <si>
    <t>ACHAT OUTIL SLITTER-TIKANA</t>
  </si>
  <si>
    <t>FRAIS DE DEPLACEMENT YANGO CARGO ALLER-TIKANA</t>
  </si>
  <si>
    <t>FOUILLES IMPREVU</t>
  </si>
  <si>
    <t>CARBURANT, FRAIS ROUTE…</t>
  </si>
  <si>
    <t>SOLDE FICHE CARBURANT FRAIS DE ROUTE LOCATION DES VEH…</t>
  </si>
  <si>
    <t>ACHAT D'EQUIPEMENT ET ACCESSOIRES DE PRESTATION-KOUAME SYLVIE</t>
  </si>
  <si>
    <t>IMPRESSION ET ACHAT DE CHEVILLE-KOUAME SYLVIE</t>
  </si>
  <si>
    <t>TRANSPORT ADMINSTRATIF</t>
  </si>
  <si>
    <t xml:space="preserve">FOUILLES LOCATION ET CARBURANT </t>
  </si>
  <si>
    <t>SOLDE LOCATION VEHICULE PR 30 J_F/00434636-ENTREPRISE SAVANE</t>
  </si>
  <si>
    <t>CARTE DE TRANSPORT</t>
  </si>
  <si>
    <t>TRAVAUX DE FOUILLES</t>
  </si>
  <si>
    <t>ACHAT D'EQUIPEMENT ET ACCESSOIRES</t>
  </si>
  <si>
    <t>PRESTATION ELECTRICITE-CIC MAN</t>
  </si>
  <si>
    <t>PRESTATION ELECTRICITE-CIC SINEMATIALI</t>
  </si>
  <si>
    <t>2IEME ACHAT DE CIMENT-PRESTATION-CIC BLOLEQUIN</t>
  </si>
  <si>
    <t>LOCATION GRUE REMORQUE-CIC KM4</t>
  </si>
  <si>
    <t>Total</t>
  </si>
  <si>
    <t xml:space="preserve">ENTITÉ </t>
  </si>
  <si>
    <t xml:space="preserve">TYPE DE DETTE </t>
  </si>
  <si>
    <t>TYPE D’ INFORMATION</t>
  </si>
  <si>
    <t>CATEGORIE FINANCIERE</t>
  </si>
  <si>
    <t xml:space="preserve">ÉTAT DE LA DETTE </t>
  </si>
  <si>
    <t>STATUT BC</t>
  </si>
  <si>
    <t>TRANSACTION INTRACOMMERCIALE</t>
  </si>
  <si>
    <t>Créances Clients</t>
  </si>
  <si>
    <t>PRÊT BANCAIRE</t>
  </si>
  <si>
    <t>ÉCHU</t>
  </si>
  <si>
    <t>COMMANDÉ</t>
  </si>
  <si>
    <t xml:space="preserve">INTRA-GROUPE </t>
  </si>
  <si>
    <t>FISCALE</t>
  </si>
  <si>
    <t>Dettes Fournisseurs</t>
  </si>
  <si>
    <t>LIGNE DE CRÉDIT</t>
  </si>
  <si>
    <t xml:space="preserve"> À ÉCHOIR</t>
  </si>
  <si>
    <t xml:space="preserve"> FACTURÉ</t>
  </si>
  <si>
    <t>HORS-GROUPE</t>
  </si>
  <si>
    <t>SOCIALE</t>
  </si>
  <si>
    <t>Dettes Fiscales</t>
  </si>
  <si>
    <t>DÉCOUVERT BANCAIRE</t>
  </si>
  <si>
    <t xml:space="preserve"> NON FACTURÉ</t>
  </si>
  <si>
    <t>Solde Bancaire</t>
  </si>
  <si>
    <t>Solde Caisse</t>
  </si>
  <si>
    <t>TYPE D'ENGAGEMENT</t>
  </si>
  <si>
    <t>ENGAGEMENT PREVISIONNELLE</t>
  </si>
  <si>
    <t>DETTE REELLE</t>
  </si>
  <si>
    <t>ETAT DE LA DETTE ELARGIE</t>
  </si>
  <si>
    <t>N° FICHE/DOSSIER</t>
  </si>
  <si>
    <t xml:space="preserve"> N° FACTURE/REF</t>
  </si>
  <si>
    <t>TYPE DE DETTE</t>
  </si>
  <si>
    <t>FOURNISSEUR/ORGANISME/TIERS</t>
  </si>
  <si>
    <t>TYPE TIERS HORS OU INTRA GROUPE</t>
  </si>
  <si>
    <t xml:space="preserve">NATURE </t>
  </si>
  <si>
    <t>TAUX TVA</t>
  </si>
  <si>
    <t>NBRE DE JOURS AVANT ECHEANCE</t>
  </si>
  <si>
    <t>MONTANT PAYÉ (FCFA)</t>
  </si>
  <si>
    <t>SOLDE RESTANT (FCFA)</t>
  </si>
  <si>
    <t>LITIGE DÉTECTÉ</t>
  </si>
  <si>
    <t>DÉTAILS LITIGE</t>
  </si>
  <si>
    <t>ÉTAT</t>
  </si>
  <si>
    <t>BON DE COMMANDE N°</t>
  </si>
  <si>
    <t>CONCORDANCE AVEC BC</t>
  </si>
  <si>
    <t>OBSERVATIONS</t>
  </si>
  <si>
    <t>TYPE DE CONTRAT</t>
  </si>
  <si>
    <t>STATUT (PAYÉ/IMPAYÉ)</t>
  </si>
  <si>
    <t>PÉRIODICITÉ</t>
  </si>
  <si>
    <t>COMMENTAIRE</t>
  </si>
  <si>
    <t>DATE D'ÉCHÉANCE</t>
  </si>
  <si>
    <t>MONTANT RESTANT</t>
  </si>
  <si>
    <t>PAIEMENT EFFECTUÉ</t>
  </si>
  <si>
    <t>SOLDE À PAYER</t>
  </si>
  <si>
    <t>TOTAL DETTES FOURNISSEURS</t>
  </si>
  <si>
    <t>TOTAL DETTES FISCALES</t>
  </si>
  <si>
    <t>TOTAL DETTES SOCIALES</t>
  </si>
  <si>
    <t>TOTAL DETTES FINANCIÈRES</t>
  </si>
  <si>
    <t>TOTAL DETTES GLOBALES</t>
  </si>
  <si>
    <t>DETTES ÉCHUES</t>
  </si>
  <si>
    <t>DETTES À ÉCHOIR (7 JOURS)</t>
  </si>
  <si>
    <t>TOP FOURNISSEUR/ORGANISME</t>
  </si>
  <si>
    <t>DATE DE CRÉATION</t>
  </si>
  <si>
    <t>MONTANT COMMANDÉ (FCFA)</t>
  </si>
  <si>
    <t>MONTANT FACTURÉ (FCFA)</t>
  </si>
  <si>
    <t>CONCORDANCE</t>
  </si>
  <si>
    <t>FOURNISSEUR/ORGANISME</t>
  </si>
  <si>
    <t>FACTURE N°</t>
  </si>
  <si>
    <t>DESCRIPTION DU LITIGE</t>
  </si>
  <si>
    <t>DATE DÉTECTION</t>
  </si>
  <si>
    <t>ACTION ENTREPRISE</t>
  </si>
  <si>
    <t>DATE RÉSOLUTION</t>
  </si>
  <si>
    <t>RESPONSABLE</t>
  </si>
  <si>
    <t xml:space="preserve">DATE DERNIER PAIEMENT </t>
  </si>
  <si>
    <t>DETTE ACHAT</t>
  </si>
  <si>
    <t>DETTE FRAIS GENERAUX</t>
  </si>
  <si>
    <t>DETTE FINANCIERE</t>
  </si>
  <si>
    <t>FICHE DE DEPENSES</t>
  </si>
  <si>
    <t>BASE DETTE</t>
  </si>
  <si>
    <t>BASE DF</t>
  </si>
  <si>
    <t>BASE DFG</t>
  </si>
  <si>
    <t>DETTE FISCALE ET SOCIALE</t>
  </si>
  <si>
    <t>MODE DE PAIEMENT</t>
  </si>
  <si>
    <t>RÉFÉRENCE PAIEMENT</t>
  </si>
  <si>
    <t>OK</t>
  </si>
  <si>
    <t>DATE PROCHAIN PRELEVEMENT</t>
  </si>
  <si>
    <t>NBRE DE FACTURES RECUS</t>
  </si>
  <si>
    <t>FD250123-1</t>
  </si>
  <si>
    <t>KOUAKOU BRICE VENANCE</t>
  </si>
  <si>
    <t>FRAIS DE MISSION</t>
  </si>
  <si>
    <t>CARBURANT</t>
  </si>
  <si>
    <t>MONTANT TVA</t>
  </si>
  <si>
    <t>DELAIS</t>
  </si>
  <si>
    <t>TANON ANDRE</t>
  </si>
  <si>
    <t>TRANSPORT</t>
  </si>
  <si>
    <t>FD250124-2</t>
  </si>
  <si>
    <t>GBANHOUN SANDRINE</t>
  </si>
  <si>
    <t>ACHAT DE FOURNITURES</t>
  </si>
  <si>
    <t>CENTRE IMPUTATION</t>
  </si>
  <si>
    <t>USINE ABJ</t>
  </si>
  <si>
    <t xml:space="preserve">ACHAT D AGREGAT </t>
  </si>
  <si>
    <t>PROJET AGL KM4</t>
  </si>
  <si>
    <t>USINE BKE</t>
  </si>
  <si>
    <t>USINE BKE-USINE MAN</t>
  </si>
  <si>
    <t>TRANSPORT DE CIMENT ABJ BKE ET MAN</t>
  </si>
  <si>
    <t>FD250125-1</t>
  </si>
  <si>
    <t>FD250125-2</t>
  </si>
  <si>
    <t xml:space="preserve">TRANSPORT DE GRAVIER ABJ </t>
  </si>
  <si>
    <t>FD250125-3</t>
  </si>
  <si>
    <t>ACHAT DE 2 VOYAGE SABLE</t>
  </si>
  <si>
    <t>FD250125-4</t>
  </si>
  <si>
    <t>LOCATION</t>
  </si>
  <si>
    <t>LOCATION DE GRUE</t>
  </si>
  <si>
    <t>FD250127-1</t>
  </si>
  <si>
    <t>ACHAT DE PETIT MATERIEL</t>
  </si>
  <si>
    <t>ACHAT DE PINCEAU NIV MACON</t>
  </si>
  <si>
    <t>USINE MAN</t>
  </si>
  <si>
    <t>FD250127-2</t>
  </si>
  <si>
    <t>ACHAT DE BOULON, CLE,…</t>
  </si>
  <si>
    <t>FD250127-3</t>
  </si>
  <si>
    <t>SORO ETIENNE</t>
  </si>
  <si>
    <t>FD250127-4</t>
  </si>
  <si>
    <t>FRAIS DE PRODUCTION DU 27/01/25 AU 01/02/25</t>
  </si>
  <si>
    <t>FD250127-5</t>
  </si>
  <si>
    <t>KONAN N'DRI</t>
  </si>
  <si>
    <t>ACHAT D UN TELEPHONE PORTABLE</t>
  </si>
  <si>
    <t>FD250127-6</t>
  </si>
  <si>
    <t>GOSSAN P/C SORO</t>
  </si>
  <si>
    <t>MAIN ŒUVRE</t>
  </si>
  <si>
    <t>MO ARMATURIERS EQUIPE SEKOFOLE DU 06/01 -23/01/25</t>
  </si>
  <si>
    <t>FD250127-7</t>
  </si>
  <si>
    <t>GOSSAN P/C FOFANA</t>
  </si>
  <si>
    <t>MO ARMATURIERS EQUIPE BEAN DU 08/01 -16/01/25</t>
  </si>
  <si>
    <t>FD250127-8</t>
  </si>
  <si>
    <t>GOSSAN P/C ACHI</t>
  </si>
  <si>
    <t>MO ARMATURIERS EQUIPE YAO DU 10/01 -23/01/25</t>
  </si>
  <si>
    <t>DATE_FICHE</t>
  </si>
  <si>
    <t>DATE ÉCHÉANCE_
ENGAGEMENT</t>
  </si>
  <si>
    <t>FD250127-9</t>
  </si>
  <si>
    <t>CONTRAT DE BAIL</t>
  </si>
  <si>
    <t>OUMAR</t>
  </si>
  <si>
    <t>MENSUELLE</t>
  </si>
  <si>
    <t>PREMIERE DATE ECHEANCE</t>
  </si>
  <si>
    <t>SINERGIE</t>
  </si>
  <si>
    <t>15% DU CA</t>
  </si>
  <si>
    <t>CONTRAT DE BAIL-SOUS LOCATION</t>
  </si>
  <si>
    <t>SOUS ENTITE</t>
  </si>
  <si>
    <t>BOUAKE</t>
  </si>
  <si>
    <t>ABIDJAN</t>
  </si>
  <si>
    <t>EAU</t>
  </si>
  <si>
    <t>ELECTRICITE</t>
  </si>
  <si>
    <t>INTERNET</t>
  </si>
  <si>
    <t>ASSURANCE</t>
  </si>
  <si>
    <t>FRAIS DE COMMUNICATION</t>
  </si>
  <si>
    <t>AUTRES ENERGIE-CARBURANT</t>
  </si>
  <si>
    <t>REMUNERATION</t>
  </si>
  <si>
    <t>FD250207-1</t>
  </si>
  <si>
    <t>AMENAGEMENT BUREAUX SIEGE</t>
  </si>
  <si>
    <t>FOURNITURE ET POSE DE STORE</t>
  </si>
  <si>
    <t>DJOROGOBITE 1</t>
  </si>
  <si>
    <t>FD250207-2</t>
  </si>
  <si>
    <t>FOURNITURE ET POSE DE STORE AU BUREAU DE LA COMPTABILITE</t>
  </si>
  <si>
    <t>FD250207-3</t>
  </si>
  <si>
    <t>TRANSPORT ALLER RETOUR SIEGE</t>
  </si>
  <si>
    <t>FD250208-1</t>
  </si>
  <si>
    <t>PETIT MATERIEL ET FOURNITURE DE PRODUCTION</t>
  </si>
  <si>
    <t>FD250208-2</t>
  </si>
  <si>
    <t xml:space="preserve">YEO NOUGNON </t>
  </si>
  <si>
    <t>FRAIS DE PRODUCTION DU 10/02/2025 AU 15/02/2025</t>
  </si>
  <si>
    <t>FD250208-3</t>
  </si>
  <si>
    <t>FD250207-4</t>
  </si>
  <si>
    <t>EPONON EMMANUEL</t>
  </si>
  <si>
    <t>SALAIRE</t>
  </si>
  <si>
    <t xml:space="preserve">ACOMPTE SALAIRE </t>
  </si>
  <si>
    <t>FD250208-4</t>
  </si>
  <si>
    <t>KOFFI LAURA</t>
  </si>
  <si>
    <t xml:space="preserve">ACHAT DE SERVICE </t>
  </si>
  <si>
    <t>PRESTATION DU 08/02/2025</t>
  </si>
  <si>
    <t>FD250208-5</t>
  </si>
  <si>
    <t>FD250208-6</t>
  </si>
  <si>
    <t>FD250210-1</t>
  </si>
  <si>
    <t>FD250210-2</t>
  </si>
  <si>
    <t>FD250210-3</t>
  </si>
  <si>
    <t>FD250210-4</t>
  </si>
  <si>
    <t>GOSSAN</t>
  </si>
  <si>
    <t>YEO DG</t>
  </si>
  <si>
    <t>AHUI SYNTHIA</t>
  </si>
  <si>
    <t>CIE</t>
  </si>
  <si>
    <t>SODECI</t>
  </si>
  <si>
    <t>EMPRUNT INTER CO</t>
  </si>
  <si>
    <t>PRÊT RECU DE TEXTIPRINT</t>
  </si>
  <si>
    <t xml:space="preserve">EMPRUNT </t>
  </si>
  <si>
    <t>EMPRUNT AUPRES DE L ADG</t>
  </si>
  <si>
    <t>TRANSPORT DE GRAVIER</t>
  </si>
  <si>
    <t>ACHAT DE VOYAGE DE SABLE</t>
  </si>
  <si>
    <t>LOCATION GROUPE ELECTROGENE</t>
  </si>
  <si>
    <t>FRAIS DE CARBURANT POUR ROYAL</t>
  </si>
  <si>
    <t xml:space="preserve">ACHAT DE MO DES ARMATURES </t>
  </si>
  <si>
    <t>CONSOMMATION ELECTRICITE 04/10/2024 AU 04/12/2024</t>
  </si>
  <si>
    <t>CONSOMMATION EAU DES PERIODES DE SEPT, OCT ET NOV 2024</t>
  </si>
  <si>
    <t>BORIS MADOU</t>
  </si>
  <si>
    <t>0211202401</t>
  </si>
  <si>
    <t>120</t>
  </si>
  <si>
    <t>HG</t>
  </si>
  <si>
    <t>AUTRES ENERGIES ELECTRICITE</t>
  </si>
  <si>
    <t>AUTRES ENERGIES EAU</t>
  </si>
  <si>
    <t>FD250210-5</t>
  </si>
  <si>
    <t>FD250210-6</t>
  </si>
  <si>
    <t>FD250210-7</t>
  </si>
  <si>
    <t>FD250210-8</t>
  </si>
  <si>
    <t>FD250210-9</t>
  </si>
  <si>
    <t>FD250210-10</t>
  </si>
  <si>
    <t>IG</t>
  </si>
  <si>
    <t>LOCATION DE 02 CAMIONS</t>
  </si>
  <si>
    <t>FD250210-11</t>
  </si>
  <si>
    <t>FOURNITURE DE BUREAU</t>
  </si>
  <si>
    <t>CARNET DE BL A 3 FEUILLETS</t>
  </si>
  <si>
    <t>EMPRUNT AUPRES DU DG LOCATION ROYAL BEOUIN-BOUAKE</t>
  </si>
  <si>
    <t>FD241010-1</t>
  </si>
  <si>
    <t>PRESTATION D'IMPLANTATION DE PBA DU 10/10/2024</t>
  </si>
  <si>
    <t>CIC SAN PEDRO</t>
  </si>
  <si>
    <t>FD240906-1</t>
  </si>
  <si>
    <t>TIKANA FATIMA</t>
  </si>
  <si>
    <t>00434636</t>
  </si>
  <si>
    <t>LOCATION D'UN PICK UP-1MOIS-TX ABIDJAN</t>
  </si>
  <si>
    <t>INFRA</t>
  </si>
  <si>
    <t>FD241122-1</t>
  </si>
  <si>
    <t>DOSSO MEDJOUA</t>
  </si>
  <si>
    <t>FOURNITURES ET CORRECTION DE MOULE</t>
  </si>
  <si>
    <t>0009</t>
  </si>
  <si>
    <t>COMMUNITY MANAGEMENT MENSUEL</t>
  </si>
  <si>
    <t>EM'NISS CREATIV</t>
  </si>
  <si>
    <t>0013</t>
  </si>
  <si>
    <t>0012</t>
  </si>
  <si>
    <t>0015</t>
  </si>
  <si>
    <t>0016</t>
  </si>
  <si>
    <t>0021</t>
  </si>
  <si>
    <t>0022</t>
  </si>
  <si>
    <t>0023</t>
  </si>
  <si>
    <t>COMMUNICATION DIGITAL MENSUEL AOUT 2023</t>
  </si>
  <si>
    <t>COMMUNICATION DIGITAL MENSUEL SEPTEMBRE 2023</t>
  </si>
  <si>
    <t>COMMUNICATION DIGITAL MENSUEL OCTOBRE 2023</t>
  </si>
  <si>
    <t>COMMUNICATION DIGITAL MENSUEL NOVEMBRE 2023</t>
  </si>
  <si>
    <t>COMMUNICATION DIGITAL MENSUEL DECEMBRE 2023</t>
  </si>
  <si>
    <t>0024</t>
  </si>
  <si>
    <t>COMMUNICATION DIGITAL MENSUEL JANVIER 2024</t>
  </si>
  <si>
    <t>0025</t>
  </si>
  <si>
    <t>RENOUVELLEMENT HEBERGEMENT</t>
  </si>
  <si>
    <t>FD241104-1</t>
  </si>
  <si>
    <t>ACHAT POUR PRESTATION INFRA FTTH DU 04/11/2024</t>
  </si>
  <si>
    <t>CAMUSAT FTTH</t>
  </si>
  <si>
    <t xml:space="preserve">TRANSPORT ALLER PAR YANGO CARGO POUR PRESTATION </t>
  </si>
  <si>
    <t>FD241021-1</t>
  </si>
  <si>
    <t>FD241021-2</t>
  </si>
  <si>
    <t>ACHAT POUR PRESTATION PM DU 21/10/24</t>
  </si>
  <si>
    <t>CIC PM</t>
  </si>
  <si>
    <t>FD241031-3</t>
  </si>
  <si>
    <t>ACHAT DE PRESTATION PM DU 31/10/24</t>
  </si>
  <si>
    <t>FD241121-1</t>
  </si>
  <si>
    <t>ACHAT DE PRESTATION PM DU 21/11/24</t>
  </si>
  <si>
    <t>FD241113-1</t>
  </si>
  <si>
    <t>ACHAT DE FACTURE NORMALISE</t>
  </si>
  <si>
    <t>TRANSPORT POUR LE RETRAIT DU BC N° 004 CIC</t>
  </si>
  <si>
    <t>FD241008-1</t>
  </si>
  <si>
    <t>FD241030-1</t>
  </si>
  <si>
    <t>TRANSPORT ET SOIN MEDICAUX D UN FOUILLEUR BLESSE</t>
  </si>
  <si>
    <t>FD241030-2</t>
  </si>
  <si>
    <t>001658</t>
  </si>
  <si>
    <t>WATTA CONSTRUCTION SA</t>
  </si>
  <si>
    <t>MISSION</t>
  </si>
  <si>
    <t>FRAIS HEBERGEMENT DU 30 AU 31/10/2024</t>
  </si>
  <si>
    <t>FD2401104-1</t>
  </si>
  <si>
    <t>ACHAT DE PRESTATION PM DU 04/11/24</t>
  </si>
  <si>
    <t>ROYAL</t>
  </si>
  <si>
    <t>FD241015-1</t>
  </si>
  <si>
    <t>CHARGE SOCIALES</t>
  </si>
  <si>
    <t>COTISATION CNPS T3 2024</t>
  </si>
  <si>
    <t>FD241102-1</t>
  </si>
  <si>
    <t>ACHAT DE PRESTATION PM DU 02/11/24</t>
  </si>
  <si>
    <t>FD241105-1</t>
  </si>
  <si>
    <t>ACHAT DE PRESTATION PM DU 05/11/24</t>
  </si>
  <si>
    <t>FD240713-1</t>
  </si>
  <si>
    <t>ACHAT DE PRESTATION PM DU 13/07/24</t>
  </si>
  <si>
    <t>FD241016-1</t>
  </si>
  <si>
    <t>LOCATION VEHICULE, ACHAT SLITTER ET COLLE FORTE</t>
  </si>
  <si>
    <t>FD241221-1</t>
  </si>
  <si>
    <t>ENTRETIEN ET REPARATION</t>
  </si>
  <si>
    <t>VIDANGE VEHICULE DU COMMERCIALE</t>
  </si>
  <si>
    <t>FD240714-1</t>
  </si>
  <si>
    <t>FOUILLE ALEX ET TX DU 14/07/2024</t>
  </si>
  <si>
    <t>TRANSPORT POUR VALIDATION D ATTACHEMENT</t>
  </si>
  <si>
    <t>FD241124-1</t>
  </si>
  <si>
    <t>ACHAT D EQUIPEMENT</t>
  </si>
  <si>
    <t>ACHAT DE MATERIELS ET OUTILLAGES</t>
  </si>
  <si>
    <t>FD241108-1</t>
  </si>
  <si>
    <t>FRAIS DE RELUIRE</t>
  </si>
  <si>
    <t>TRANSPORT DU TECHNICIEN POUR VISITE A SICMA</t>
  </si>
  <si>
    <t>INNOV TECH</t>
  </si>
  <si>
    <t>ACHAT DE PRESTATION PM DU 09/07/24</t>
  </si>
  <si>
    <t>FD240709-1</t>
  </si>
  <si>
    <t>FD240715-1</t>
  </si>
  <si>
    <t>FD240623-1</t>
  </si>
  <si>
    <t>ACHAT DE PRESTATION PM DU 23/06/24</t>
  </si>
  <si>
    <t>FD250211</t>
  </si>
  <si>
    <t>N'GUESSAN ARMELLE</t>
  </si>
  <si>
    <t>FRAIS D'ETABLISSEMENT DE DOCUMENTS ADMINISTRATIF</t>
  </si>
  <si>
    <t>FD250305</t>
  </si>
  <si>
    <t>ZAR SANDRINE P/C ZAR SECURITY</t>
  </si>
  <si>
    <t>FRAIS DE GARDIENNAGE USINE BKE FEVRIER 2025</t>
  </si>
  <si>
    <t>FD250307</t>
  </si>
  <si>
    <t>PLEIN DE CARBURANT POUR LE VEHICULE KIA SPORTAGE</t>
  </si>
  <si>
    <t>ZAR SANDRINE P/C DIANE SEKO</t>
  </si>
  <si>
    <t>LOYER ECHU MOIS DE FEVRIER 2025</t>
  </si>
  <si>
    <t>FD250227</t>
  </si>
  <si>
    <t xml:space="preserve">ACHAT DE GAINES, FIL NYLON, </t>
  </si>
  <si>
    <t>FD250214</t>
  </si>
  <si>
    <t>ACHAT DE POSTE A SOUDER</t>
  </si>
  <si>
    <t>FD250306</t>
  </si>
  <si>
    <t>MO JOURNALIERES 28/02/25 AU 06/03/25</t>
  </si>
  <si>
    <t>MO FERAILLEURS AU RENDEMENT 28/02/25 AU 06/03/25</t>
  </si>
  <si>
    <t>DATE DE SAISIE</t>
  </si>
  <si>
    <t>FD250226</t>
  </si>
  <si>
    <t>FD250222</t>
  </si>
  <si>
    <t>MO FERAILLEURS AU RENDEMENT 15/02/25 AU 21/02/25</t>
  </si>
  <si>
    <t>FD250221</t>
  </si>
  <si>
    <t>ACHAT DE CIMENT</t>
  </si>
  <si>
    <t>ACHAT AGREGATS</t>
  </si>
  <si>
    <t>FD250213</t>
  </si>
  <si>
    <t>ACHAT DE PNEU ET EQUILIBRAGE</t>
  </si>
  <si>
    <t>CIC MAN</t>
  </si>
  <si>
    <t xml:space="preserve">ACHAT DE PNEU </t>
  </si>
  <si>
    <t>FRAIS DE MISSION A KAADE 01/03/25 AU 09/03/25</t>
  </si>
  <si>
    <t>CIC SNT</t>
  </si>
  <si>
    <t>ACHAT PRESTATIONS PM DU 06/03/25</t>
  </si>
  <si>
    <t>ACHAT PRESTATIONS PM DU 07/03/25</t>
  </si>
  <si>
    <t>ACHAT PRESTATIONS PBA DU 07/03/25</t>
  </si>
  <si>
    <t>CIC KAADE SNT</t>
  </si>
  <si>
    <t>TRANSPORT TOULEUPLEU  DU 07/03/25</t>
  </si>
  <si>
    <t>CIC TOULEUPLEU</t>
  </si>
  <si>
    <t>ACHAT PRESTATION FOUILLES NON REGLER</t>
  </si>
  <si>
    <t>CIC M BENGUE</t>
  </si>
  <si>
    <t>MO JOURNALIERES 03/03/25 AU 05/03/25</t>
  </si>
  <si>
    <t>CIC BKE</t>
  </si>
  <si>
    <t>00109</t>
  </si>
  <si>
    <t>VARIANCE GRH</t>
  </si>
  <si>
    <t>FOURMATION D'UN RESPONSABLE SOCIETALE DE L'ENTREPRISE</t>
  </si>
  <si>
    <t>ADMIN</t>
  </si>
  <si>
    <t>ETABLIR LA FICHE</t>
  </si>
  <si>
    <t>0734475</t>
  </si>
  <si>
    <t>LOCATION DE CAMION GRUE 02/25 ET LOCATION DE CAMION REMORQUE 260 HS</t>
  </si>
  <si>
    <t>LOCATION DE CAMION GRUE AA 2502 HS ET LOCATION DE CAMION REMORQUE AA 260 HS</t>
  </si>
  <si>
    <t>RETROUVER LES FICHES CORRESPONDANTES</t>
  </si>
  <si>
    <t>0734473</t>
  </si>
  <si>
    <t>0734474</t>
  </si>
  <si>
    <t xml:space="preserve">LOCATION DE CAMION GRUE AA 2502 HS &amp; 768 LG </t>
  </si>
  <si>
    <t>FD250416-1</t>
  </si>
  <si>
    <t>Facture fournisseur non encore réglée</t>
  </si>
  <si>
    <t>Salaires ou primes dus</t>
  </si>
  <si>
    <t>Cotisations sociales URSSAF, retraite, etc.</t>
  </si>
  <si>
    <t>Avance/remboursement dû à un employé</t>
  </si>
  <si>
    <t>TVA collectée ou à reverser</t>
  </si>
  <si>
    <t>Emprunt bancaire à rembourser</t>
  </si>
  <si>
    <t>CAS DE FIGURE</t>
  </si>
  <si>
    <t>FINANCIÈRE-EMPRUNT</t>
  </si>
  <si>
    <t>PERSONNEL-REMUNERATION</t>
  </si>
  <si>
    <t>PERSONNEL-AVANCE/REMB</t>
  </si>
  <si>
    <t>N'GUESSAN RH</t>
  </si>
  <si>
    <t>REMBOURSEMENT D' AVANCE DE FONDS POUR DEPENSES DE L'ENTREPRISE</t>
  </si>
  <si>
    <t>SINERGIE, SIM G, ROYAL</t>
  </si>
  <si>
    <t>AVANCE/LOCATION VEHICULE, ACHAT SLITTER ET COLLE FORTE MT INITIAL: 86 000</t>
  </si>
  <si>
    <t>MME TIKANA</t>
  </si>
  <si>
    <t>M YEO SOULEYMANE</t>
  </si>
  <si>
    <t>MME N'GUESSAN</t>
  </si>
  <si>
    <t>PRÊT INTERCO</t>
  </si>
  <si>
    <t>PRÊT ENTRE ENTITE</t>
  </si>
  <si>
    <t>R241003</t>
  </si>
  <si>
    <t>ESMEL NIKITA</t>
  </si>
  <si>
    <t>ACHAT CARBURANT POUR LES VEHICULES POUR LA REALISATION DES TRAVAUX DE CAMUSAT</t>
  </si>
  <si>
    <t>CNPS</t>
  </si>
  <si>
    <t>AC-3T_2024</t>
  </si>
  <si>
    <t>PRÊT INERCO</t>
  </si>
  <si>
    <t>TEXTIRINT</t>
  </si>
  <si>
    <t>ACHAT DE 10 M, COLLIER, CARBURANT</t>
  </si>
  <si>
    <t>FTTH</t>
  </si>
  <si>
    <t>ACHAT PRESTATION PM DU 28/11/2025</t>
  </si>
  <si>
    <t>ACHAT DE CARBURANT</t>
  </si>
  <si>
    <t>SANOU ROGER</t>
  </si>
  <si>
    <t>ACHAT DE MOULE PBA 10-A9/200; A12/400</t>
  </si>
  <si>
    <t>SIM B_ABJ</t>
  </si>
  <si>
    <t>TOURE SEIDOU</t>
  </si>
  <si>
    <t>FRAIS DE REPARATION DE VEHICULES</t>
  </si>
  <si>
    <t>SIM G_LOGISTIQUE</t>
  </si>
  <si>
    <t>FOFANA ISMAEL</t>
  </si>
  <si>
    <t>EXCELLENCE GROUPE</t>
  </si>
  <si>
    <t>FRAIS D'ETUDE TECHNIQUE</t>
  </si>
  <si>
    <t>SIM B_BF</t>
  </si>
  <si>
    <t>SOUMAHORO OUMAR</t>
  </si>
  <si>
    <t>FRAIS DE TOLERIE FOTON AA 551 GK 01</t>
  </si>
  <si>
    <t>SINERGIE LOGISTIQUE</t>
  </si>
  <si>
    <t>FARHAT FRERES</t>
  </si>
  <si>
    <t>ACHAT DE PIECES DE RECHANGFE AUTO-FILTRE</t>
  </si>
  <si>
    <t>FRAIS DE REPARATION DE MOULES DE PBA</t>
  </si>
  <si>
    <t>SIM B_BKE MAN</t>
  </si>
  <si>
    <t>PRESONNEL SINERGIE</t>
  </si>
  <si>
    <t>SOLDE SALAIRE MARS 2025</t>
  </si>
  <si>
    <t>TRANSPORT ALLER-RETOUR POUR L'USINE ABIDJAN</t>
  </si>
  <si>
    <t>SIM B-ABJ</t>
  </si>
  <si>
    <t>GARAGE K.S</t>
  </si>
  <si>
    <t>FRAIS DE REPARATION DU VEHICULE AA-551-GK 01</t>
  </si>
  <si>
    <t>MG TELECOM &amp; SERVICES</t>
  </si>
  <si>
    <t>FRAIS FORMATION DE 10 TECHNICIENS</t>
  </si>
  <si>
    <t>BC P00455</t>
  </si>
  <si>
    <t>CHEQUE</t>
  </si>
  <si>
    <t>ETS FIN</t>
  </si>
  <si>
    <t>IME</t>
  </si>
  <si>
    <t>ENTITE INTERCO</t>
  </si>
  <si>
    <t>0037</t>
  </si>
  <si>
    <t>0000063</t>
  </si>
  <si>
    <t>ESPECES</t>
  </si>
  <si>
    <t>ACOMPTE</t>
  </si>
  <si>
    <t>DE KOTCHY MICHEL</t>
  </si>
  <si>
    <t>PARTICULIER</t>
  </si>
  <si>
    <t>GNAMIEN KOUADIO CYRILLE</t>
  </si>
  <si>
    <t>0000296</t>
  </si>
  <si>
    <t>0000295</t>
  </si>
  <si>
    <t>ACHAT IMMOBILISATION</t>
  </si>
  <si>
    <t>ACHAT TERRAIN DE 4 100 M2</t>
  </si>
  <si>
    <t xml:space="preserve">ACHAT TERRAIN </t>
  </si>
  <si>
    <t>SOLDE/PRESTATIONS REALISEES</t>
  </si>
  <si>
    <t xml:space="preserve">AKHEDO GLOBAL FINANCES </t>
  </si>
  <si>
    <t>PRESTATION SERVICE</t>
  </si>
  <si>
    <t>ANVO ATTOUOMAN GHISLAIN RUDI/AKHEDO GLOBAL FINANCES</t>
  </si>
  <si>
    <t>0000299</t>
  </si>
  <si>
    <t>DYNAMIC SOLUTIONS</t>
  </si>
  <si>
    <t>REF_JUSTIFICATIF</t>
  </si>
  <si>
    <t>ACHAT 02 ORDINATEURS HP CORE I3</t>
  </si>
  <si>
    <t>SIEGE-SINERGIE</t>
  </si>
  <si>
    <t>0007</t>
  </si>
  <si>
    <t>ZAR SECURITY</t>
  </si>
  <si>
    <t>FRAIS DE GARDIENNAGE USINE BKE JUIN 2025</t>
  </si>
  <si>
    <t>0006</t>
  </si>
  <si>
    <t>FRAIS DE GARDIENNAGE SIEGE DJOROGOBITE 1 JUIN 2025</t>
  </si>
  <si>
    <t>SIEGE-SIM GROUP</t>
  </si>
  <si>
    <t>LASSO-MECANICIEN</t>
  </si>
  <si>
    <t>FRAIS REPARATION DE MOTEUR</t>
  </si>
  <si>
    <t>KOSSAR</t>
  </si>
  <si>
    <t xml:space="preserve">SANOU ROGER </t>
  </si>
  <si>
    <t>0000359</t>
  </si>
  <si>
    <t>PERSONNEL SINERGIE</t>
  </si>
  <si>
    <t>254100-SR</t>
  </si>
  <si>
    <t>2577-SBM</t>
  </si>
  <si>
    <t>25514-SR</t>
  </si>
  <si>
    <t>25568-SR</t>
  </si>
  <si>
    <t>25557-SG</t>
  </si>
  <si>
    <t>25576-SB</t>
  </si>
  <si>
    <t>25577-SB</t>
  </si>
  <si>
    <t>TOURE SEYDOU</t>
  </si>
  <si>
    <t>253125-SG</t>
  </si>
  <si>
    <t>253246-SG</t>
  </si>
  <si>
    <t>0000381</t>
  </si>
  <si>
    <t>25339-SB</t>
  </si>
  <si>
    <t>ACHAT DE GRAVIER 15/25 ET TRANSPORT</t>
  </si>
  <si>
    <t>SIM B CI</t>
  </si>
  <si>
    <t>EM'NISS</t>
  </si>
  <si>
    <t>0000037</t>
  </si>
  <si>
    <t>TRAORE MAMDOU</t>
  </si>
  <si>
    <t>0000385</t>
  </si>
  <si>
    <t>TOURE MAIMOUNA TANYA CINDY P/C T-AGENCY</t>
  </si>
  <si>
    <t>0000340</t>
  </si>
  <si>
    <t>TRANSFERT; HEBERGEMENT DE NOM DE DOMAINE</t>
  </si>
  <si>
    <t>SIM GROUP_ADM</t>
  </si>
  <si>
    <t>020-27/01/2025</t>
  </si>
  <si>
    <t>0000339</t>
  </si>
  <si>
    <t>WAVE SIM G</t>
  </si>
  <si>
    <t>25390_SGW</t>
  </si>
  <si>
    <t>KONE FOUNIBIGUE MOUSSA-OPERATEUR ODOO</t>
  </si>
  <si>
    <t>RIMAFRIC SARL</t>
  </si>
  <si>
    <t>ACHAT LICENCE ODOO ERP DE GESTION</t>
  </si>
  <si>
    <t xml:space="preserve">LOCATION DE GRUE </t>
  </si>
  <si>
    <t>SINERGIE PB</t>
  </si>
  <si>
    <t>CAISSE SR</t>
  </si>
  <si>
    <t>0287981</t>
  </si>
  <si>
    <t>FD250604/P00552</t>
  </si>
  <si>
    <t>ACHAT ORDINATEUR PORTABLE HP 250 G9-I3</t>
  </si>
  <si>
    <t>TIMAOC SDI</t>
  </si>
  <si>
    <t>CONTRAT N°</t>
  </si>
  <si>
    <t>BIEN CONCERNE</t>
  </si>
  <si>
    <t>BAIL PROFESSIONNEL</t>
  </si>
  <si>
    <t>POSTE BUDGETAIRE</t>
  </si>
  <si>
    <t>ECHEANCIER</t>
  </si>
  <si>
    <t>RECURENT</t>
  </si>
  <si>
    <t>CV0023/25</t>
  </si>
  <si>
    <t>VENTE AVEC PAIEMENT ECHELONNE</t>
  </si>
  <si>
    <t>PRESSE NUMERIQUE-KONICA</t>
  </si>
  <si>
    <t>NON</t>
  </si>
  <si>
    <t>IMMOBILISATION</t>
  </si>
  <si>
    <t>RECONDUCTION</t>
  </si>
  <si>
    <t>TEXTIPRINT_IMP</t>
  </si>
  <si>
    <t>0000018</t>
  </si>
  <si>
    <t>GTBk-TEXTIPRINT</t>
  </si>
  <si>
    <t>0000005</t>
  </si>
  <si>
    <t>26_1224</t>
  </si>
  <si>
    <t>TRAORE MAMADOU P/C SATM SARL</t>
  </si>
  <si>
    <t>0000370</t>
  </si>
  <si>
    <t>544230</t>
  </si>
  <si>
    <t>544229</t>
  </si>
  <si>
    <t>SCESO</t>
  </si>
  <si>
    <t>FRAIS DE TRANSPORT FER POUR MAN ET BOUAKE</t>
  </si>
  <si>
    <t>FRAIS DE TRANSPORT DE 40 T DE CIMENT CPA 42,5-BOUAKE</t>
  </si>
  <si>
    <t>OUSMANE</t>
  </si>
  <si>
    <t>LOCATION DU GROUPE ELECTROGENE</t>
  </si>
  <si>
    <t>IVOIRE ROCHE INTERNATIONAL</t>
  </si>
  <si>
    <t>ACHAT D UNE PRESSE NUMERIQUE KONICA</t>
  </si>
  <si>
    <t>LIVRAISON DE GRAVIER 5/15-40 T</t>
  </si>
  <si>
    <t>LIVRAISON DE GRAVIER 15/25-40 T</t>
  </si>
  <si>
    <t>TRANSPORT DES GRAVIERS</t>
  </si>
  <si>
    <t>ETS AFABE</t>
  </si>
  <si>
    <t>ACHAT D'ADJUVANT 1000L</t>
  </si>
  <si>
    <t>M KOSSAR</t>
  </si>
  <si>
    <t>APAVE</t>
  </si>
  <si>
    <t>FORMATION EN SECOURISME SUR TERRAIN ET TRAVAUX EN HAUTEUR</t>
  </si>
  <si>
    <t>DIOMANDE YACOUBA</t>
  </si>
  <si>
    <t>HEAVEN NETWORK</t>
  </si>
  <si>
    <t>ACHAT DE GAINE VERTE, DECAPANT FIL NYLON</t>
  </si>
  <si>
    <t>0649882</t>
  </si>
  <si>
    <t>ACHAT JHC 10-15 GAINE LUMIERE</t>
  </si>
  <si>
    <t>DIOMANDE YACOUBA P/C HEAVEN NETWORKS</t>
  </si>
  <si>
    <t>0000380</t>
  </si>
  <si>
    <t>TRAORE MAMADOU P/C SAMAD SERVICE SARL</t>
  </si>
  <si>
    <t>YEO SOULEYMANE</t>
  </si>
  <si>
    <t>MISE A DISPOSITION DE FONDS</t>
  </si>
  <si>
    <t>ACHAT DIVERS POUR SINERGIE</t>
  </si>
  <si>
    <t>ACHAT DIVERS POUR SIM BETON</t>
  </si>
  <si>
    <t>ACHAT DIVERS POUR SIM GROUP</t>
  </si>
  <si>
    <t>PRESTATAIRE BBR</t>
  </si>
  <si>
    <t>IMPLANTATION POTEAU METALLIQUE</t>
  </si>
  <si>
    <t>MONTANT PERIODIQUE</t>
  </si>
  <si>
    <t>DUREE</t>
  </si>
  <si>
    <t>PERIODICITE</t>
  </si>
  <si>
    <t>PROCHAINE ÉCHÉANCE</t>
  </si>
  <si>
    <t>NBRE PRELEVEMENTS REALISES</t>
  </si>
  <si>
    <t>NBRE PRELEVEMENTS IMPAYES</t>
  </si>
  <si>
    <t>MOIS</t>
  </si>
  <si>
    <t>UNITE_DUREE</t>
  </si>
  <si>
    <t>HEBDOMADAIRE</t>
  </si>
  <si>
    <t>QUINZAINE</t>
  </si>
  <si>
    <t>TRIMESTRIELLE</t>
  </si>
  <si>
    <t>SEMESTRIELLE</t>
  </si>
  <si>
    <t>ANNUELLE</t>
  </si>
  <si>
    <t>DATE DE DEBUT</t>
  </si>
  <si>
    <t>MOIS COUVERTS PAR VERSEMENT INITIAL</t>
  </si>
  <si>
    <t>PROCHAINE ECHEANCE</t>
  </si>
  <si>
    <t>NATURE DE CONTRAT</t>
  </si>
  <si>
    <t>PAIEMENT ECHELONNE</t>
  </si>
  <si>
    <t>ABONNEMENT</t>
  </si>
  <si>
    <t>BIMESTRIELLE</t>
  </si>
  <si>
    <t>NBRE PRELEVEMENTS DU A CE JOUR</t>
  </si>
  <si>
    <t>PREMIERE DATE ECHEANCE OU PREMIER PAIEMENT ABONNEMENT</t>
  </si>
  <si>
    <t>🧾 Procédure de gestion manuelle des statuts de factures papier</t>
  </si>
  <si>
    <t>1. 📌 Principe général</t>
  </si>
  <si>
    <r>
      <t xml:space="preserve">Chaque facture doit porter </t>
    </r>
    <r>
      <rPr>
        <b/>
        <sz val="11"/>
        <color theme="1"/>
        <rFont val="Calibri"/>
        <family val="2"/>
        <scheme val="minor"/>
      </rPr>
      <t>un seul statut à la fois</t>
    </r>
    <r>
      <rPr>
        <sz val="11"/>
        <color theme="1"/>
        <rFont val="Calibri"/>
        <family val="2"/>
        <scheme val="minor"/>
      </rPr>
      <t xml:space="preserve">, représentant </t>
    </r>
    <r>
      <rPr>
        <b/>
        <sz val="11"/>
        <color theme="1"/>
        <rFont val="Calibri"/>
        <family val="2"/>
        <scheme val="minor"/>
      </rPr>
      <t>son état actuel</t>
    </r>
    <r>
      <rPr>
        <sz val="11"/>
        <color theme="1"/>
        <rFont val="Calibri"/>
        <family val="2"/>
        <scheme val="minor"/>
      </rPr>
      <t xml:space="preserve"> dans le processus de traitement comptable.</t>
    </r>
  </si>
  <si>
    <t>2. 🔄 Évolution logique des statuts</t>
  </si>
  <si>
    <t>Une facture peut passer successivement par ces statuts :</t>
  </si>
  <si>
    <t>Étape</t>
  </si>
  <si>
    <t>Statut à indiquer sur la facture</t>
  </si>
  <si>
    <t>En attente de paiement</t>
  </si>
  <si>
    <r>
      <t>Retenue pour paiement suivant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(si applicable)</t>
    </r>
  </si>
  <si>
    <t>Payée le [date]</t>
  </si>
  <si>
    <t>3. ✍️ Mise à jour des statuts à la main</t>
  </si>
  <si>
    <t>✅ Recommandations :</t>
  </si>
  <si>
    <r>
      <t>Barrer proprement</t>
    </r>
    <r>
      <rPr>
        <sz val="11"/>
        <color theme="1"/>
        <rFont val="Calibri"/>
        <family val="2"/>
        <scheme val="minor"/>
      </rPr>
      <t xml:space="preserve"> l'ancien statut à l’encre (ne pas utiliser de correcteur blanc).</t>
    </r>
  </si>
  <si>
    <r>
      <t>Écrire clairement</t>
    </r>
    <r>
      <rPr>
        <sz val="11"/>
        <color theme="1"/>
        <rFont val="Calibri"/>
        <family val="2"/>
        <scheme val="minor"/>
      </rPr>
      <t xml:space="preserve"> le nouveau statut juste à côté ou en dessous.</t>
    </r>
  </si>
  <si>
    <r>
      <t xml:space="preserve">Utiliser un </t>
    </r>
    <r>
      <rPr>
        <b/>
        <sz val="11"/>
        <color theme="1"/>
        <rFont val="Calibri"/>
        <family val="2"/>
        <scheme val="minor"/>
      </rPr>
      <t>stylo bleu ou noir</t>
    </r>
    <r>
      <rPr>
        <sz val="11"/>
        <color theme="1"/>
        <rFont val="Calibri"/>
        <family val="2"/>
        <scheme val="minor"/>
      </rPr>
      <t xml:space="preserve"> pour la lisibilité.</t>
    </r>
  </si>
  <si>
    <r>
      <t xml:space="preserve">Ajouter vos </t>
    </r>
    <r>
      <rPr>
        <b/>
        <sz val="11"/>
        <color theme="1"/>
        <rFont val="Calibri"/>
        <family val="2"/>
        <scheme val="minor"/>
      </rPr>
      <t>initiales</t>
    </r>
    <r>
      <rPr>
        <sz val="11"/>
        <color theme="1"/>
        <rFont val="Calibri"/>
        <family val="2"/>
        <scheme val="minor"/>
      </rPr>
      <t xml:space="preserve"> et la </t>
    </r>
    <r>
      <rPr>
        <b/>
        <sz val="11"/>
        <color theme="1"/>
        <rFont val="Calibri"/>
        <family val="2"/>
        <scheme val="minor"/>
      </rPr>
      <t>date de mise à jour</t>
    </r>
    <r>
      <rPr>
        <sz val="11"/>
        <color theme="1"/>
        <rFont val="Calibri"/>
        <family val="2"/>
        <scheme val="minor"/>
      </rPr>
      <t>, surtout si plusieurs personnes manipulent la facture.</t>
    </r>
  </si>
  <si>
    <t>📌 Exemple sur une facture :</t>
  </si>
  <si>
    <t>swift</t>
  </si>
  <si>
    <t>CopierModifier</t>
  </si>
  <si>
    <t>~~En attente de paiement~~</t>
  </si>
  <si>
    <t>Retenue pour paiement fin juillet – MA – 12/07/2025</t>
  </si>
  <si>
    <t>puis :</t>
  </si>
  <si>
    <t>~~Retenue pour paiement fin juillet~~</t>
  </si>
  <si>
    <t>Payée le 14/07/2025 – MA</t>
  </si>
  <si>
    <t>4. 🗂 Archivage physique recommandé</t>
  </si>
  <si>
    <t>📁 Classement par statut avec intercalaires ou chemises de couleur :</t>
  </si>
  <si>
    <t>Couleur / Section</t>
  </si>
  <si>
    <t>Contenu</t>
  </si>
  <si>
    <r>
      <t xml:space="preserve">🔵 </t>
    </r>
    <r>
      <rPr>
        <b/>
        <sz val="11"/>
        <color theme="1"/>
        <rFont val="Calibri"/>
        <family val="2"/>
        <scheme val="minor"/>
      </rPr>
      <t>Bleu : À traiter</t>
    </r>
  </si>
  <si>
    <t>Factures "en attente de paiement"</t>
  </si>
  <si>
    <r>
      <t xml:space="preserve">🟡 </t>
    </r>
    <r>
      <rPr>
        <b/>
        <sz val="11"/>
        <color theme="1"/>
        <rFont val="Calibri"/>
        <family val="2"/>
        <scheme val="minor"/>
      </rPr>
      <t>Jaune : À programmer</t>
    </r>
  </si>
  <si>
    <t>Factures "retenues pour paiement suivant"</t>
  </si>
  <si>
    <r>
      <t xml:space="preserve">🟢 </t>
    </r>
    <r>
      <rPr>
        <b/>
        <sz val="11"/>
        <color theme="1"/>
        <rFont val="Calibri"/>
        <family val="2"/>
        <scheme val="minor"/>
      </rPr>
      <t>Vert : Payées</t>
    </r>
  </si>
  <si>
    <t>Factures "réglées", avec mention de la date</t>
  </si>
  <si>
    <t>✅ Astuces :</t>
  </si>
  <si>
    <r>
      <t>Classer par date d’échéance</t>
    </r>
    <r>
      <rPr>
        <sz val="11"/>
        <color theme="1"/>
        <rFont val="Calibri"/>
        <family val="2"/>
        <scheme val="minor"/>
      </rPr>
      <t xml:space="preserve"> à l’intérieur de chaque section.</t>
    </r>
  </si>
  <si>
    <r>
      <t xml:space="preserve">Joindre si besoin une </t>
    </r>
    <r>
      <rPr>
        <b/>
        <sz val="11"/>
        <color theme="1"/>
        <rFont val="Calibri"/>
        <family val="2"/>
        <scheme val="minor"/>
      </rPr>
      <t>fiche de suivi manuelle</t>
    </r>
    <r>
      <rPr>
        <sz val="11"/>
        <color theme="1"/>
        <rFont val="Calibri"/>
        <family val="2"/>
        <scheme val="minor"/>
      </rPr>
      <t xml:space="preserve"> à chaque facture.</t>
    </r>
  </si>
  <si>
    <t>CAISSE SG</t>
  </si>
  <si>
    <t>25751-SG</t>
  </si>
  <si>
    <t>25780-SR</t>
  </si>
  <si>
    <t>CAISSE SB</t>
  </si>
  <si>
    <t>25732-SBM</t>
  </si>
  <si>
    <t>25752-SG</t>
  </si>
  <si>
    <t>TOTAL</t>
  </si>
  <si>
    <t xml:space="preserve">DATE </t>
  </si>
  <si>
    <t>TYPE F/</t>
  </si>
  <si>
    <t>N° F/</t>
  </si>
  <si>
    <t>FOURNISSEURS</t>
  </si>
  <si>
    <t xml:space="preserve">NCC </t>
  </si>
  <si>
    <t>REGIME</t>
  </si>
  <si>
    <t>DESIGNATION</t>
  </si>
  <si>
    <t>CODE TVA</t>
  </si>
  <si>
    <t>PRORATA D</t>
  </si>
  <si>
    <t xml:space="preserve">TIMBRE </t>
  </si>
  <si>
    <t>AUTRES TAXES</t>
  </si>
  <si>
    <t>NET A PAYER</t>
  </si>
  <si>
    <t>NON-FN</t>
  </si>
  <si>
    <t>001400</t>
  </si>
  <si>
    <t xml:space="preserve">ORANGE </t>
  </si>
  <si>
    <t>RNI</t>
  </si>
  <si>
    <t>FRAIS COMMUNICATION</t>
  </si>
  <si>
    <t>FN</t>
  </si>
  <si>
    <t>004910</t>
  </si>
  <si>
    <t>BATILUXE PLUS</t>
  </si>
  <si>
    <t>2105867 T</t>
  </si>
  <si>
    <t>RSI</t>
  </si>
  <si>
    <t>VANNE D'ARRET 50</t>
  </si>
  <si>
    <t>PETIT MATERIEL</t>
  </si>
  <si>
    <t>023221</t>
  </si>
  <si>
    <t>PROSUMA</t>
  </si>
  <si>
    <t>5011806 N</t>
  </si>
  <si>
    <t>PAPIER HYG STYLE, JAVEL</t>
  </si>
  <si>
    <t>XT ENTRETIEN</t>
  </si>
  <si>
    <t>NON-FN_PF</t>
  </si>
  <si>
    <t>2506/25</t>
  </si>
  <si>
    <t>1525780 T</t>
  </si>
  <si>
    <t>LOCATION JOUR BOB CAT</t>
  </si>
  <si>
    <t>RECLAME FACTURE</t>
  </si>
  <si>
    <t>023149</t>
  </si>
  <si>
    <t>PAPIER HYG STYLE, SAVON</t>
  </si>
  <si>
    <t>29060001-25</t>
  </si>
  <si>
    <t>AKWABA TRANSPORT</t>
  </si>
  <si>
    <t>2242739 J</t>
  </si>
  <si>
    <t>LOCATION D'ENGIN</t>
  </si>
  <si>
    <t>1250776</t>
  </si>
  <si>
    <t>LES EDITIONS NOUR</t>
  </si>
  <si>
    <t>1509349 X</t>
  </si>
  <si>
    <t>EN TETE DE FACTURE NORMALISEE</t>
  </si>
  <si>
    <t>0673513</t>
  </si>
  <si>
    <t>4LIFE IMPRIM</t>
  </si>
  <si>
    <t>CARNET DE LOCATION D ENGIN ET CARNET DE CAISSE</t>
  </si>
  <si>
    <t>023168</t>
  </si>
  <si>
    <t>EAU MINERALE</t>
  </si>
  <si>
    <t>047729</t>
  </si>
  <si>
    <t>CM</t>
  </si>
  <si>
    <t>1992390 Z</t>
  </si>
  <si>
    <t>BUREAUX, SANITAIRE, CHAISE ET AUTRES ARTICLES</t>
  </si>
  <si>
    <t>0038534</t>
  </si>
  <si>
    <t>PORTES SCULPTEES</t>
  </si>
  <si>
    <t>0010026</t>
  </si>
  <si>
    <t>AL FAYSAL SARL</t>
  </si>
  <si>
    <t>1648055 N</t>
  </si>
  <si>
    <t>TILAPIA</t>
  </si>
  <si>
    <t>007391</t>
  </si>
  <si>
    <t>RIZ, HUILE</t>
  </si>
  <si>
    <t>023201</t>
  </si>
  <si>
    <t>PAPIER RAME/CARTON</t>
  </si>
  <si>
    <t>RECU</t>
  </si>
  <si>
    <t>2506/13/36</t>
  </si>
  <si>
    <t>ISIS</t>
  </si>
  <si>
    <t>1434717 L</t>
  </si>
  <si>
    <t>LOCATION BUREAU 06/25</t>
  </si>
  <si>
    <t>Q12542025072023</t>
  </si>
  <si>
    <t>LOCATION BUREAU 07/25</t>
  </si>
  <si>
    <t>09</t>
  </si>
  <si>
    <t xml:space="preserve">G.M.S </t>
  </si>
  <si>
    <t xml:space="preserve">FRAIS DE GARDIENNAGE </t>
  </si>
  <si>
    <t>JPCC/PROF-03/2025</t>
  </si>
  <si>
    <t>JEAN-PIERRE CONSULTING CONTINENTAL</t>
  </si>
  <si>
    <t>2054674 G</t>
  </si>
  <si>
    <t xml:space="preserve"> </t>
  </si>
  <si>
    <t>HONORAIRE DE VISA DES ETATS FINANCIERS</t>
  </si>
  <si>
    <t>GEOLOSYST</t>
  </si>
  <si>
    <t>SERVICE GEOLOCALISATION</t>
  </si>
  <si>
    <t>0737540</t>
  </si>
  <si>
    <t>GOD IS ONE</t>
  </si>
  <si>
    <t xml:space="preserve">FILTRE </t>
  </si>
  <si>
    <t>0673512</t>
  </si>
  <si>
    <t>KAKEMONO, FLYERS A5</t>
  </si>
  <si>
    <t>01511548</t>
  </si>
  <si>
    <t>AUTO ROY</t>
  </si>
  <si>
    <t>0814617 Y</t>
  </si>
  <si>
    <t>RME</t>
  </si>
  <si>
    <t>PNEUS  315/80</t>
  </si>
  <si>
    <t>0000894</t>
  </si>
  <si>
    <t>SBEM-CI</t>
  </si>
  <si>
    <t>2237119 Y</t>
  </si>
  <si>
    <t>06 BOMBONNES D'EAU</t>
  </si>
  <si>
    <t>2504/03/39</t>
  </si>
  <si>
    <t>LOCATION BUREAU 04/25</t>
  </si>
  <si>
    <t>006566</t>
  </si>
  <si>
    <t>ICOGE</t>
  </si>
  <si>
    <t>0041924 Y</t>
  </si>
  <si>
    <t>DIVERS ARTICLES</t>
  </si>
  <si>
    <t>000931</t>
  </si>
  <si>
    <t>BOUTIQUE NESPRESSO DJIBI</t>
  </si>
  <si>
    <t>CAFE NESPRESSO</t>
  </si>
  <si>
    <t>023061</t>
  </si>
  <si>
    <t>PAPIER HYGIENE, JAVEL ET SUCRE</t>
  </si>
  <si>
    <t>007352</t>
  </si>
  <si>
    <t>0009950</t>
  </si>
  <si>
    <t>00173936</t>
  </si>
  <si>
    <t>BUSINESS SERVICES ET TECHNOLOGIES</t>
  </si>
  <si>
    <t>2141642 C</t>
  </si>
  <si>
    <t>ENCRES DE COULEURS</t>
  </si>
  <si>
    <t>000901</t>
  </si>
  <si>
    <t xml:space="preserve">GUEPARD CIMENT </t>
  </si>
  <si>
    <t>1700515 H</t>
  </si>
  <si>
    <t>CIMENT GUEPARD CPJ 42,5 N</t>
  </si>
  <si>
    <t>Q12542025062023</t>
  </si>
  <si>
    <t>2025/16/04</t>
  </si>
  <si>
    <t>LOCATION BUREAU 05/25</t>
  </si>
  <si>
    <t>00406803</t>
  </si>
  <si>
    <t>ESPERANCE TRANSPORT SUPER</t>
  </si>
  <si>
    <t>2043577 U</t>
  </si>
  <si>
    <t>CLE CONTACTE POUR NIVELLEUSE</t>
  </si>
  <si>
    <t>00406801</t>
  </si>
  <si>
    <t>LOYER ET CAUTION MAISON CHAUFFEUR A KOUTO</t>
  </si>
  <si>
    <t>0090979</t>
  </si>
  <si>
    <t>PNEU 900*20</t>
  </si>
  <si>
    <t>023050</t>
  </si>
  <si>
    <t>0673511</t>
  </si>
  <si>
    <t>PICK UP, AGENDAS, CARTE DE VISITE</t>
  </si>
  <si>
    <t>0207401</t>
  </si>
  <si>
    <t>PETRO IVOIRE SA</t>
  </si>
  <si>
    <t>9402809 K</t>
  </si>
  <si>
    <t>HUILE MOTEUR SAE 50 FUT</t>
  </si>
  <si>
    <t>0000051</t>
  </si>
  <si>
    <t>KS QUICALLERIE</t>
  </si>
  <si>
    <t>2164691 V</t>
  </si>
  <si>
    <t>MARTEAU MASSE, CLE CRENAUX, CUTTER</t>
  </si>
  <si>
    <t>0091</t>
  </si>
  <si>
    <t>CHINA MART</t>
  </si>
  <si>
    <t>2215123 N</t>
  </si>
  <si>
    <t>BOL, CARNET, CAHIER</t>
  </si>
  <si>
    <t>0444872</t>
  </si>
  <si>
    <t>ETABLISSEMENT OSMEN ET FRERES</t>
  </si>
  <si>
    <t>1822609 A</t>
  </si>
  <si>
    <t>TEE</t>
  </si>
  <si>
    <t>LAME RESSORT</t>
  </si>
  <si>
    <t>0419576</t>
  </si>
  <si>
    <t xml:space="preserve">0814617 Y </t>
  </si>
  <si>
    <t>PNEU 315-80-225</t>
  </si>
  <si>
    <t>0356788</t>
  </si>
  <si>
    <t>PNEU 385/65 R22,5</t>
  </si>
  <si>
    <t>0673510</t>
  </si>
  <si>
    <t xml:space="preserve">CARNET A5 + IMPRESSION COULEUR </t>
  </si>
  <si>
    <t>127</t>
  </si>
  <si>
    <t>COMPAGNIE IVOIRIENNE D'ELECTRICITE</t>
  </si>
  <si>
    <t>9004996 S</t>
  </si>
  <si>
    <t>CONSOMMATION D'ELECTRICITE DU 04/01/25 AU 04/03/25</t>
  </si>
  <si>
    <t>007294</t>
  </si>
  <si>
    <t>006015</t>
  </si>
  <si>
    <t>RAME DOUBLE A</t>
  </si>
  <si>
    <t>023000</t>
  </si>
  <si>
    <t xml:space="preserve">JAVEL, LAVE-VITRE, SAVON LIQUIDE, EAU </t>
  </si>
  <si>
    <t>SAC POUBELLE, SUCRE MORCEAUX</t>
  </si>
  <si>
    <t>000549</t>
  </si>
  <si>
    <t>TATA</t>
  </si>
  <si>
    <t>1218049 R</t>
  </si>
  <si>
    <t>TRAVELLER T2 BUS-425</t>
  </si>
  <si>
    <t>000558</t>
  </si>
  <si>
    <t>TRAVELLER T2 BUS-411</t>
  </si>
  <si>
    <t>000548</t>
  </si>
  <si>
    <t>XENON 2,2L 4*4-179</t>
  </si>
  <si>
    <t>001024</t>
  </si>
  <si>
    <t>HONDA</t>
  </si>
  <si>
    <t>0100719 X</t>
  </si>
  <si>
    <t>VEHICULE FOTON-345</t>
  </si>
  <si>
    <t>005487</t>
  </si>
  <si>
    <t>ARTICLES DIVERS</t>
  </si>
  <si>
    <t>022872</t>
  </si>
  <si>
    <t xml:space="preserve">PAPIER RAME </t>
  </si>
  <si>
    <t>173930</t>
  </si>
  <si>
    <t>BSITECH</t>
  </si>
  <si>
    <t>ENCRE LIQUIDE NOIR</t>
  </si>
  <si>
    <t>003278</t>
  </si>
  <si>
    <t>TIMA</t>
  </si>
  <si>
    <t>1304631 C</t>
  </si>
  <si>
    <t>RIZ</t>
  </si>
  <si>
    <t>007234</t>
  </si>
  <si>
    <t>SUCRE MORCEAUX</t>
  </si>
  <si>
    <t>0120402</t>
  </si>
  <si>
    <t>0673507</t>
  </si>
  <si>
    <t>AUTOCLLANT, CALENDRIER BLOCS NOTES AGENDA</t>
  </si>
  <si>
    <t>0673505</t>
  </si>
  <si>
    <t>AUTOCLLANTS</t>
  </si>
  <si>
    <t>004112</t>
  </si>
  <si>
    <t>BUREAU VERITAS</t>
  </si>
  <si>
    <t>0024089 W</t>
  </si>
  <si>
    <t>FRAIS DE VERIFICATION REGLEMENTAIRE DES ENGINS  DE LEVAGE</t>
  </si>
  <si>
    <t>000296</t>
  </si>
  <si>
    <t xml:space="preserve">GLOBAL BULDING &amp; SERVICES </t>
  </si>
  <si>
    <t>2404349 A</t>
  </si>
  <si>
    <t>METRE DE FIL, PAQUETS DE VIS, BARRES DE GOULOTTE</t>
  </si>
  <si>
    <t>0673504</t>
  </si>
  <si>
    <t>T SHIRTS DE QUALITE MOYENNE</t>
  </si>
  <si>
    <t>022884</t>
  </si>
  <si>
    <t>SPRIINT TECH</t>
  </si>
  <si>
    <t>1106600 L</t>
  </si>
  <si>
    <t>E/G AV AERO ECO 450MM</t>
  </si>
  <si>
    <t>013657</t>
  </si>
  <si>
    <t>INDUSTRAP</t>
  </si>
  <si>
    <t>9000831 C</t>
  </si>
  <si>
    <t>016310</t>
  </si>
  <si>
    <t>CIMENT CAROCOL BLANC 25 KG</t>
  </si>
  <si>
    <t>016311</t>
  </si>
  <si>
    <t>TRAPEAU INT 30 KG</t>
  </si>
  <si>
    <t>8584501</t>
  </si>
  <si>
    <t>ETS KIRAKOYA TIDIANE</t>
  </si>
  <si>
    <t>1217411 Q</t>
  </si>
  <si>
    <t>Q12542025032023</t>
  </si>
  <si>
    <t>LOCATION BUREAU 03/25</t>
  </si>
  <si>
    <t>016708</t>
  </si>
  <si>
    <t>SOCOPRIX</t>
  </si>
  <si>
    <t>0648485 P</t>
  </si>
  <si>
    <t>SENTEUR, SAC RIZ, EAU</t>
  </si>
  <si>
    <t>00051</t>
  </si>
  <si>
    <t>ANOH TECHNOLOGIES</t>
  </si>
  <si>
    <t>2243084 G</t>
  </si>
  <si>
    <t>04 TELEPHONE SANS FILS VTECH</t>
  </si>
  <si>
    <t>0312</t>
  </si>
  <si>
    <t>RECHARGE BONBONNE</t>
  </si>
  <si>
    <t>022836</t>
  </si>
  <si>
    <t xml:space="preserve">DESINFECTANT, DESODORISANT, PELLE </t>
  </si>
  <si>
    <t>022727</t>
  </si>
  <si>
    <t>PAPIER RAME, SUCRE MORCEAUX, LIPTON</t>
  </si>
  <si>
    <t>015795</t>
  </si>
  <si>
    <t>NESPRESSO</t>
  </si>
  <si>
    <t>022832</t>
  </si>
  <si>
    <t>036300</t>
  </si>
  <si>
    <t>BATTERIE 12 VT</t>
  </si>
  <si>
    <t>023255</t>
  </si>
  <si>
    <t>036518</t>
  </si>
  <si>
    <t>018764</t>
  </si>
  <si>
    <t>009718</t>
  </si>
  <si>
    <t xml:space="preserve">CARPE </t>
  </si>
  <si>
    <t>022769</t>
  </si>
  <si>
    <t>0017863</t>
  </si>
  <si>
    <t>022916</t>
  </si>
  <si>
    <t>125</t>
  </si>
  <si>
    <t>CONSOMMATION D'ELECTRICITE DU 04/11/24 AU 04/01/25</t>
  </si>
  <si>
    <t>25YPVFC50005</t>
  </si>
  <si>
    <t>RIMCO-SETACI</t>
  </si>
  <si>
    <t>9809714 J</t>
  </si>
  <si>
    <t xml:space="preserve">02 KIA K2700DC 4*4 </t>
  </si>
  <si>
    <t>DUPLICATA F/ EGAREE</t>
  </si>
  <si>
    <t>007704</t>
  </si>
  <si>
    <t>SINOTRUK BENNE 8*4  HOWO_784</t>
  </si>
  <si>
    <t>007009</t>
  </si>
  <si>
    <t>SINOTRUK BENNE 8*4  HOWO_782 &amp; 783</t>
  </si>
  <si>
    <t>039129</t>
  </si>
  <si>
    <t>BECROU SERVICES ET COMMUNICATION SARL</t>
  </si>
  <si>
    <t>1801689 A</t>
  </si>
  <si>
    <t>CACHET 11</t>
  </si>
  <si>
    <t>173920</t>
  </si>
  <si>
    <t>BUSINESS SERVICES INFORMATIQUES</t>
  </si>
  <si>
    <t>REPARATION D'IMPRIMANTE CANON</t>
  </si>
  <si>
    <t>0078861</t>
  </si>
  <si>
    <t>SOUADIK SBM</t>
  </si>
  <si>
    <t>2300142 N</t>
  </si>
  <si>
    <t>0003828</t>
  </si>
  <si>
    <t>CYLINDRE, SAC CADEAU, ENVELOPPE</t>
  </si>
  <si>
    <t>000359</t>
  </si>
  <si>
    <t>MIRAN SARL</t>
  </si>
  <si>
    <t>2300760 Z</t>
  </si>
  <si>
    <t>BRIQUE CREUX 15*20*40</t>
  </si>
  <si>
    <t>0009609</t>
  </si>
  <si>
    <t>029953</t>
  </si>
  <si>
    <t>035474</t>
  </si>
  <si>
    <t>035379</t>
  </si>
  <si>
    <t>029790</t>
  </si>
  <si>
    <t>035381</t>
  </si>
  <si>
    <t>022691</t>
  </si>
  <si>
    <t>PAPIER RAME, NETTOYANT SPRAY</t>
  </si>
  <si>
    <t>022678</t>
  </si>
  <si>
    <t>007123</t>
  </si>
  <si>
    <t>872824</t>
  </si>
  <si>
    <t>AUTOCOLLANT, CALENDRIER, BLOC NOTE</t>
  </si>
  <si>
    <t>184337</t>
  </si>
  <si>
    <t>BARRY OUSMANE</t>
  </si>
  <si>
    <t>COMPTEUR D'HEURE POUR CAMION</t>
  </si>
  <si>
    <t>2501/22/29</t>
  </si>
  <si>
    <t>LOCATIONS BUREAU 02/25, 03/25</t>
  </si>
  <si>
    <t>035382</t>
  </si>
  <si>
    <t>16653</t>
  </si>
  <si>
    <t>SAWADOGO</t>
  </si>
  <si>
    <t>CABLE MOTOR</t>
  </si>
  <si>
    <t>TT25085</t>
  </si>
  <si>
    <t>SUCRE BLANC</t>
  </si>
  <si>
    <t>Montant Initial de Contrat</t>
  </si>
  <si>
    <t>Compte de Résultat</t>
  </si>
  <si>
    <t>Tableau des Flux de Trésorerie</t>
  </si>
  <si>
    <t>Bilan - Passif</t>
  </si>
  <si>
    <t>Engagement Restant (Non Facturé)</t>
  </si>
  <si>
    <t>N° Contrat</t>
  </si>
  <si>
    <t>Nom Sous-Traitant</t>
  </si>
  <si>
    <t>Montant Total Contrat</t>
  </si>
  <si>
    <t>Date Début</t>
  </si>
  <si>
    <t>Date Fin</t>
  </si>
  <si>
    <t>Montant Consommé (période)</t>
  </si>
  <si>
    <t>Paiements Effectués</t>
  </si>
  <si>
    <t>Solde Facturé Non Payé</t>
  </si>
  <si>
    <t>Solde Restant</t>
  </si>
  <si>
    <t>Observations</t>
  </si>
  <si>
    <t>ST-001</t>
  </si>
  <si>
    <t>Entreprise A</t>
  </si>
  <si>
    <t>01/01/2025</t>
  </si>
  <si>
    <t>31/12/2025</t>
  </si>
  <si>
    <t>Facture attendue</t>
  </si>
  <si>
    <t>ST-002</t>
  </si>
  <si>
    <t>Entreprise B</t>
  </si>
  <si>
    <t>15/02/2025</t>
  </si>
  <si>
    <t>30/06/2025</t>
  </si>
  <si>
    <t>Avancement 50%</t>
  </si>
  <si>
    <t>ST-003</t>
  </si>
  <si>
    <t>Entreprise C</t>
  </si>
  <si>
    <t>01/03/2025</t>
  </si>
  <si>
    <t>Contrat en cours</t>
  </si>
  <si>
    <t>MODE</t>
  </si>
  <si>
    <t>03435364</t>
  </si>
  <si>
    <t>E-BILTECH</t>
  </si>
  <si>
    <t>03435367</t>
  </si>
  <si>
    <t>000436</t>
  </si>
  <si>
    <t>KTA AQUARIUM</t>
  </si>
  <si>
    <t>2577428</t>
  </si>
  <si>
    <t>LAPTOP INFORMATIQUE</t>
  </si>
  <si>
    <t>0538132 V</t>
  </si>
  <si>
    <t>32</t>
  </si>
  <si>
    <t>ERECTPCI</t>
  </si>
  <si>
    <t xml:space="preserve">FRAIS DE MUTATION D ATTESTATION </t>
  </si>
  <si>
    <t>1075581</t>
  </si>
  <si>
    <t>SAND' PROSERV</t>
  </si>
  <si>
    <t>1341635 C</t>
  </si>
  <si>
    <t>023626</t>
  </si>
  <si>
    <t>000831</t>
  </si>
  <si>
    <t>016893</t>
  </si>
  <si>
    <t>ORYX ENERGIES</t>
  </si>
  <si>
    <t>ACHAT CARBURANT GASOIL 50 L</t>
  </si>
  <si>
    <t>016892</t>
  </si>
  <si>
    <t>0010344</t>
  </si>
  <si>
    <t>251006-1</t>
  </si>
  <si>
    <t>ETS WONI ABDOUL WAHAB</t>
  </si>
  <si>
    <t>2303015 F</t>
  </si>
  <si>
    <t>RECLAME FACTURE NORMALISEE</t>
  </si>
  <si>
    <t>ACHAT DE 08 PNEUS 205, 215, 385, 13</t>
  </si>
  <si>
    <t>007682</t>
  </si>
  <si>
    <t>ACHATS DIVERS</t>
  </si>
  <si>
    <t>1250819</t>
  </si>
  <si>
    <t>2341303</t>
  </si>
  <si>
    <t>MR GADGET SARL</t>
  </si>
  <si>
    <t>2023327 M</t>
  </si>
  <si>
    <t>DARMOSHARK</t>
  </si>
  <si>
    <t>02756947</t>
  </si>
  <si>
    <t>ABOUBACAR MAHAMADOU</t>
  </si>
  <si>
    <t>0814090 Y</t>
  </si>
  <si>
    <t>0002023</t>
  </si>
  <si>
    <t>2025/10</t>
  </si>
  <si>
    <t>AMADOU TELEPHONE</t>
  </si>
  <si>
    <t xml:space="preserve">NATURE COMPTABLE </t>
  </si>
  <si>
    <t>DATE ECHEANCE</t>
  </si>
  <si>
    <t>DELAI_PAIEMENT</t>
  </si>
  <si>
    <t>031017311070-25</t>
  </si>
  <si>
    <t>MTN</t>
  </si>
  <si>
    <t>9606689 W</t>
  </si>
  <si>
    <t>FRAIS COMMUNICATION DU 01/09/25 AU 30/09/25</t>
  </si>
  <si>
    <t>023685</t>
  </si>
  <si>
    <t>44</t>
  </si>
  <si>
    <t xml:space="preserve">SIDIBE ET FRERES </t>
  </si>
  <si>
    <t>251025</t>
  </si>
  <si>
    <t>AICHA SYBEL</t>
  </si>
  <si>
    <t>379</t>
  </si>
  <si>
    <t>IPA-CI</t>
  </si>
  <si>
    <t>2023508 M</t>
  </si>
  <si>
    <t xml:space="preserve">NON-FN </t>
  </si>
  <si>
    <t>701</t>
  </si>
  <si>
    <t>SPECIALE LOCATION</t>
  </si>
  <si>
    <t>LOCATION MARTEAU PIQUEUR</t>
  </si>
  <si>
    <t>8382</t>
  </si>
  <si>
    <t xml:space="preserve">ICOGE </t>
  </si>
  <si>
    <t>ACHAT DE FOURNITURE D'ENTRETIEN ET DIVERS</t>
  </si>
  <si>
    <t>ACHAT HUILE, FILTRE, MO ELECTRICITE ET MO MECANIQUE</t>
  </si>
  <si>
    <t>ACHAT CONFECTION D' EN TETE DE FACTURE</t>
  </si>
  <si>
    <t>ACHAT TONER K 067, TONER M 067 ET TONER C 067</t>
  </si>
  <si>
    <t>ACHAT LICENCE OFFICE, INSTALLATION WINDOWS ET CLE WIFI</t>
  </si>
  <si>
    <t>ACHAT ENTRETIEN NOURRITURE+LIVRAISON</t>
  </si>
  <si>
    <t>ACHAT CANON 067</t>
  </si>
  <si>
    <t>ACHAT CAMERAS SMP, ENREGISTREUR, CABLE CAMERA, CONNECTEUR</t>
  </si>
  <si>
    <t>ACHAT 10 BB</t>
  </si>
  <si>
    <t xml:space="preserve">ACHAT 2 SAMSUNG A6, 4 TABLETTES </t>
  </si>
  <si>
    <t>ACHAT CAFE NESPRESSO</t>
  </si>
  <si>
    <t xml:space="preserve">ACHAT FEU DE GABARY, AMPOULE </t>
  </si>
  <si>
    <t>ACHAT BOULON 10</t>
  </si>
  <si>
    <t>ACHAT FEUX ARRIERE, VERRE DE FEUX, POIGNET ET AMPOULE</t>
  </si>
  <si>
    <t>DIARRA KARIM</t>
  </si>
  <si>
    <t>251020</t>
  </si>
  <si>
    <t xml:space="preserve">ISOLATION APPAREIL A EAU, REPARATION APPAREIL </t>
  </si>
  <si>
    <t>ETS SIDIBE VIE</t>
  </si>
  <si>
    <t>07</t>
  </si>
  <si>
    <t>ACHAT DE BIDON D'HUILE (02)</t>
  </si>
  <si>
    <t>AXA/SP/AC/05/2025</t>
  </si>
  <si>
    <t xml:space="preserve">AXA COTE D'IVOIRE </t>
  </si>
  <si>
    <t>FRAIS ASSURANCE SANTE YAFOLO</t>
  </si>
  <si>
    <t>EFN250321</t>
  </si>
  <si>
    <t>ETUDE ME COULIBALY EDITH-SYLVIANE-NOTAIRE</t>
  </si>
  <si>
    <t>1003850 A</t>
  </si>
  <si>
    <t>DROITS D'ETAT, DEBOURS ET EMOLUMENTS</t>
  </si>
  <si>
    <t>LOYER MAGASIN BINGERVILLE-10/2025</t>
  </si>
  <si>
    <t>A DETERMINER</t>
  </si>
  <si>
    <t>LOYER MAGASIN BINGERVILLE-09/2025</t>
  </si>
  <si>
    <t>20</t>
  </si>
  <si>
    <t>ACHAT DE COLORANT 200 ML</t>
  </si>
  <si>
    <t>ACHAT PNEU 13R225, 315/80R225</t>
  </si>
  <si>
    <t xml:space="preserve">ACHAT CARBURANT </t>
  </si>
  <si>
    <t xml:space="preserve">ACHAT SUCRE, EAU, DESO, ASSIETTES </t>
  </si>
  <si>
    <t>084743</t>
  </si>
  <si>
    <t>ACHAT DE BOUGIE YR7DC</t>
  </si>
  <si>
    <t>03757072</t>
  </si>
  <si>
    <t>NASSA ISMAEL</t>
  </si>
  <si>
    <t>2403165 D</t>
  </si>
  <si>
    <t>ACHAT DE SCEAU DE GRAISSE DE 15 KILO</t>
  </si>
  <si>
    <t>2123515</t>
  </si>
  <si>
    <t xml:space="preserve">ETS ST MICHEL </t>
  </si>
  <si>
    <t>1913473 Q</t>
  </si>
  <si>
    <t>DENT+COLE, TETE DE GR</t>
  </si>
  <si>
    <t>894</t>
  </si>
  <si>
    <t>ETABLISSEMENT JIMOH</t>
  </si>
  <si>
    <t>JEUX SILEN BLOC DE BRAS, JEUX DE PLAQUETTE DE FREIN, JEUX BILETTES</t>
  </si>
  <si>
    <t>2577942</t>
  </si>
  <si>
    <t>GLOBAL INFORMATIQUE</t>
  </si>
  <si>
    <t>1410738 D</t>
  </si>
  <si>
    <t>2109599 B</t>
  </si>
  <si>
    <t xml:space="preserve">CARTOUCHE CANON 067, CONNECTEUR RJ 11 </t>
  </si>
  <si>
    <t>577988</t>
  </si>
  <si>
    <t xml:space="preserve">PIECE AUTO COSMIQUE </t>
  </si>
  <si>
    <t>2126341 X</t>
  </si>
  <si>
    <t>ACHAT COMPRESSEUR, CONDENSEUR, HUILE DE COMPRESSEUR</t>
  </si>
  <si>
    <t>023719</t>
  </si>
  <si>
    <t>ACHAT DE MOUCHOIR, BONBON, EAU MINERAL AWA</t>
  </si>
  <si>
    <t>60</t>
  </si>
  <si>
    <t>ACHAT OREILLER, TAPIS, SENTEUR, VERRE A COUPE…</t>
  </si>
  <si>
    <t>1075575</t>
  </si>
  <si>
    <t>8543</t>
  </si>
  <si>
    <t xml:space="preserve">CFAO </t>
  </si>
  <si>
    <t>1432656 V</t>
  </si>
  <si>
    <t>040916026544-25</t>
  </si>
  <si>
    <t>FRAIS COMMUNICATION DU 01/08/25 AU 31/08/25</t>
  </si>
  <si>
    <t>7944218</t>
  </si>
  <si>
    <t xml:space="preserve">TRAMA GROUPE SARL </t>
  </si>
  <si>
    <t>2242202 H</t>
  </si>
  <si>
    <t>ACHAT DE KIT DE FILTRE KIA, FILTRE A AIR DAF, FILTRE A GASOIL DAF</t>
  </si>
  <si>
    <t>8106</t>
  </si>
  <si>
    <t>GAP</t>
  </si>
  <si>
    <t>1317518 X</t>
  </si>
  <si>
    <t xml:space="preserve">RNI </t>
  </si>
  <si>
    <t>ACHAT DE DISQUE D EMBREYAGE</t>
  </si>
  <si>
    <t>PHOTO DE F/-RECLAME FACTURE NORMALISEE ORIGINALE</t>
  </si>
  <si>
    <t>14493</t>
  </si>
  <si>
    <t>NEYA DISTRIBUTION</t>
  </si>
  <si>
    <t>1351303 J</t>
  </si>
  <si>
    <t>ACHAT HUILE SHELL R1</t>
  </si>
  <si>
    <t>023586</t>
  </si>
  <si>
    <t>ACHAT BISCUIT, SEL FIN, MAYONNAISE, BONBON, HUILE</t>
  </si>
  <si>
    <t>023585</t>
  </si>
  <si>
    <t>1450</t>
  </si>
  <si>
    <t>HUILE DE VIDANGE, MAIN D'ŒUVRE, FILTRE A HUILE</t>
  </si>
  <si>
    <t>1451</t>
  </si>
  <si>
    <t>HUILE DE VIDANGE, MAIN D'ŒUVRE, PETIT FOURNITURE</t>
  </si>
  <si>
    <t>8039</t>
  </si>
  <si>
    <t>ACHAT DE FOURNITURE DE BUREAU</t>
  </si>
  <si>
    <t>03435358</t>
  </si>
  <si>
    <t>TONER 067 K, TONER 067C, TONER 067M</t>
  </si>
  <si>
    <t>8105</t>
  </si>
  <si>
    <t>8104</t>
  </si>
  <si>
    <t>32174</t>
  </si>
  <si>
    <t>CHINA MALL</t>
  </si>
  <si>
    <t>ACHAT TASSES DONGXING EN CERAMIQUE, ASSIETTE, FOUR</t>
  </si>
  <si>
    <t>023859</t>
  </si>
  <si>
    <t>HUILE DE MOTEUR</t>
  </si>
  <si>
    <t>993</t>
  </si>
  <si>
    <t>COUL IMPRIM</t>
  </si>
  <si>
    <t>0313463 F</t>
  </si>
  <si>
    <t>CARTES DE VISITE RECTO VERSO PERSONNEL</t>
  </si>
  <si>
    <t>000720</t>
  </si>
  <si>
    <t>MAIN D'ŒUVRE, TAMPON DE LAME RESSORT ARRIERE</t>
  </si>
  <si>
    <t>679</t>
  </si>
  <si>
    <t>E.BAAG</t>
  </si>
  <si>
    <t>678</t>
  </si>
  <si>
    <t>LOCATION MINI CHARGEUSE 753 TOUR F-27/06/25 AU 23/07/25</t>
  </si>
  <si>
    <t>LOCATION MINI CHARGEUSE 753 TOUR F-24/07/25 AU 31/07/25</t>
  </si>
  <si>
    <t>508</t>
  </si>
  <si>
    <t>KENAM SERVICES</t>
  </si>
  <si>
    <t>CARTONS DE CARREAUX 60/60, FIL TH, CARTON BOITE BLEU</t>
  </si>
  <si>
    <t>RECLAME ATTESTATION D'EXONERATION</t>
  </si>
  <si>
    <t>255</t>
  </si>
  <si>
    <t>IVOIRE CENTER</t>
  </si>
  <si>
    <t>1540494 U</t>
  </si>
  <si>
    <t>ACHAT DIVERS</t>
  </si>
  <si>
    <t>024761</t>
  </si>
  <si>
    <t>ACHAT FRUITS, LEGUMES, VOLAILLES</t>
  </si>
  <si>
    <t>ACHAT DE PATES, BISCUITS, AMANDE MIXTE</t>
  </si>
  <si>
    <t>36080</t>
  </si>
  <si>
    <t xml:space="preserve">POUBELLE A ANNEAUX </t>
  </si>
  <si>
    <t>024769</t>
  </si>
  <si>
    <t>10282</t>
  </si>
  <si>
    <t>36077</t>
  </si>
  <si>
    <t xml:space="preserve">AQUARIUM </t>
  </si>
  <si>
    <t>7985</t>
  </si>
  <si>
    <t>ACHAT DE FOURNITURES DE BUREAU</t>
  </si>
  <si>
    <t>03488072</t>
  </si>
  <si>
    <t>AB INFORMATIQUEMOTEE</t>
  </si>
  <si>
    <t>0410916 T</t>
  </si>
  <si>
    <t>ORDINATEUR PORTABLE DELL</t>
  </si>
  <si>
    <t>067403</t>
  </si>
  <si>
    <t>765</t>
  </si>
  <si>
    <t xml:space="preserve">MAIN D'ŒUVRE, HUILE EUROL, FILTRE A HUILE </t>
  </si>
  <si>
    <t>9549056</t>
  </si>
  <si>
    <t>FOURNISSEUR OCCASIONNEL</t>
  </si>
  <si>
    <t>ACHAT DE PORTABLE ET TABLETTE</t>
  </si>
  <si>
    <t>NON-FNL</t>
  </si>
  <si>
    <t>16026544-25</t>
  </si>
  <si>
    <t>FRAIS DE COMMUNICATION DE 01/8/25 AU 31/8/25</t>
  </si>
  <si>
    <t>03/2025</t>
  </si>
  <si>
    <t>NOTE HONORAIRE-VISA ETATS FINANCIERS</t>
  </si>
  <si>
    <t>OUI_T</t>
  </si>
  <si>
    <t>OUI_P</t>
  </si>
  <si>
    <t>SOLDE</t>
  </si>
  <si>
    <t>MONTANT PAYE</t>
  </si>
  <si>
    <t>REFERENCE REGLEMENT</t>
  </si>
  <si>
    <t>BDU_0001490</t>
  </si>
  <si>
    <t>2232958</t>
  </si>
  <si>
    <t>GARAGE UTD</t>
  </si>
  <si>
    <t>2021569 W</t>
  </si>
  <si>
    <t xml:space="preserve">ACHAT DE GRUE </t>
  </si>
  <si>
    <t>000975</t>
  </si>
  <si>
    <t>1317218 X</t>
  </si>
  <si>
    <t>ACHAT APPAREIL AD BLUE</t>
  </si>
  <si>
    <t>009351</t>
  </si>
  <si>
    <t>PHATO AUTOMOBILE</t>
  </si>
  <si>
    <t>1806569 E</t>
  </si>
  <si>
    <t>ACHAT ESSUI GLACE</t>
  </si>
  <si>
    <t>023401</t>
  </si>
  <si>
    <t>023399</t>
  </si>
  <si>
    <t>ACHAT CAFE NESPRESSO, SAC POUBELLE</t>
  </si>
  <si>
    <t>023392</t>
  </si>
  <si>
    <t xml:space="preserve">ACHAT EAU MIN "CELESTE" 33 CL </t>
  </si>
  <si>
    <t>013862</t>
  </si>
  <si>
    <t>ACHAT DE GASOIL</t>
  </si>
  <si>
    <t>023419</t>
  </si>
  <si>
    <t>023407</t>
  </si>
  <si>
    <t>25000000146</t>
  </si>
  <si>
    <t>BATISTORE SARL</t>
  </si>
  <si>
    <t>2027288 T</t>
  </si>
  <si>
    <t>ACHAT SALON FIESTA 3+1+1, FAUTEUIL SNOW ZEG</t>
  </si>
  <si>
    <t>2508-06</t>
  </si>
  <si>
    <t>LOCATION BUREAU 08/25</t>
  </si>
  <si>
    <t>NSIA_2144729</t>
  </si>
  <si>
    <t>007481</t>
  </si>
  <si>
    <t>ACHAT DE BOITE D'ARCHIVES</t>
  </si>
  <si>
    <t>0008512</t>
  </si>
  <si>
    <t>ACHAT D ARTICLES DIVERS</t>
  </si>
  <si>
    <t>023853</t>
  </si>
  <si>
    <t>POINT S PETRO IVOIRE</t>
  </si>
  <si>
    <t>ACHAT HUILE DE MOTEUR</t>
  </si>
  <si>
    <t>0012437</t>
  </si>
  <si>
    <t>ACHAT FILTRE A HUILE, FILTRE A AIR, FILTRE A POLLEN</t>
  </si>
  <si>
    <t>000673</t>
  </si>
  <si>
    <t>LOCATION D'UNE MINI CHARGEUSE AU PLATEAU TOUR F</t>
  </si>
  <si>
    <t>ANNULEE</t>
  </si>
  <si>
    <t>000127</t>
  </si>
  <si>
    <t>USINE SINO-IVOIR</t>
  </si>
  <si>
    <t>2242741 K</t>
  </si>
  <si>
    <t>ACHAT C/P BAKALISES 2,44*1,22(18 MM)</t>
  </si>
  <si>
    <t>FRAIS DE GARDIENNAGE 08/25</t>
  </si>
  <si>
    <t>000615</t>
  </si>
  <si>
    <t xml:space="preserve">ACHAT DE FILTRE A HUILE, PHARE, DEGRIPPANT, AMPOULE NAVETTE </t>
  </si>
  <si>
    <t>000616</t>
  </si>
  <si>
    <t>ACHAT D'HUILE EUROL, FILTRE A HUILE, FILTRE A AIR, FILTRE DECANT</t>
  </si>
  <si>
    <t>000630</t>
  </si>
  <si>
    <t>ACHAT DE JEU DE PLAQUETTE, HUILE DE MOTEUR, SPEED TEC, MO</t>
  </si>
  <si>
    <t>000628</t>
  </si>
  <si>
    <t>ACHAT DE SPEED, FILTRE A AIR, FILTRE A HUILE ET MO</t>
  </si>
  <si>
    <t>0030271</t>
  </si>
  <si>
    <t>ACHAT DIVERS (BANDE LUMINEUSE, BANDE DE LAMPE AB…)</t>
  </si>
  <si>
    <t>0006110</t>
  </si>
  <si>
    <t>PACSI</t>
  </si>
  <si>
    <t>1303973 A</t>
  </si>
  <si>
    <t>ACHAT CORDEAU, BATTERIE, MOTEUR, DISQUE, CARREAUX-EX_2024</t>
  </si>
  <si>
    <t>0567589</t>
  </si>
  <si>
    <t>SAKO B. MAMADOU</t>
  </si>
  <si>
    <t>1731853 W</t>
  </si>
  <si>
    <t>ACHAT PNEU 13R225</t>
  </si>
  <si>
    <t>040813840843-25</t>
  </si>
  <si>
    <t>FRAIS COMMUNICATION DU 01/07/25 AU 31/07/25</t>
  </si>
  <si>
    <t>000510</t>
  </si>
  <si>
    <t>ACHAT DE HUILE, FILTRE, AMPOULE ET PETITE FOURNITURES</t>
  </si>
  <si>
    <t>000489</t>
  </si>
  <si>
    <t>ACHAT DE FILTRE A HUILE, HUILE DE MOTEUR ET MO</t>
  </si>
  <si>
    <t>000488</t>
  </si>
  <si>
    <t xml:space="preserve">ACHAT DE FILTRE, HUILE, MO ET FRAIS DE MISSION </t>
  </si>
  <si>
    <t>000509</t>
  </si>
  <si>
    <t>ACHAT DE ROULEMENT RLX, TX EXTRACTION, CLE CONTACT</t>
  </si>
  <si>
    <t>0010110</t>
  </si>
  <si>
    <t xml:space="preserve">ACHAT TILAPIA </t>
  </si>
  <si>
    <t>0002796</t>
  </si>
  <si>
    <t>ACHAT ROULEAUX DE TUBE LED BLANC</t>
  </si>
  <si>
    <t>2507/04/09</t>
  </si>
  <si>
    <t>LOCATIONS BUREAU 07/25</t>
  </si>
  <si>
    <t>NSIA_2144799</t>
  </si>
  <si>
    <t>PERIODE</t>
  </si>
  <si>
    <t>007407</t>
  </si>
  <si>
    <t>RIZ, HUILE, GLACE</t>
  </si>
  <si>
    <t>023357</t>
  </si>
  <si>
    <t>SUCRE MORCEAUX 1KG, EAU MIN</t>
  </si>
  <si>
    <t>017398</t>
  </si>
  <si>
    <t>TRACTAFRIC MOTORS</t>
  </si>
  <si>
    <t>0100474 J</t>
  </si>
  <si>
    <t>FILTRE, FILTRE A HUILE ET MO</t>
  </si>
  <si>
    <t>002192</t>
  </si>
  <si>
    <t xml:space="preserve">ACHAT DE CIMENT CPJ 42,5 </t>
  </si>
  <si>
    <t>010580</t>
  </si>
  <si>
    <t>023297</t>
  </si>
  <si>
    <t xml:space="preserve">5011806 N </t>
  </si>
  <si>
    <t>023328</t>
  </si>
  <si>
    <t>JAVEL, MOUCH-B-SANITEX, PAP HYGIEN, LIQUIDE VAISSELLE</t>
  </si>
  <si>
    <t>023259</t>
  </si>
  <si>
    <t>FRAIS GARDIENNAGE QUINCAILLERIE KS</t>
  </si>
  <si>
    <t>DV7347586</t>
  </si>
  <si>
    <t>AFRICAUTO</t>
  </si>
  <si>
    <t xml:space="preserve">FILTRE A HUILE, ELEMENT A AIR </t>
  </si>
  <si>
    <t>MONTANT HT BIENS</t>
  </si>
  <si>
    <t xml:space="preserve">MONTANT HT SERVICES </t>
  </si>
  <si>
    <t>03519055</t>
  </si>
  <si>
    <t>YDOIA SARL</t>
  </si>
  <si>
    <t>2404364 Y</t>
  </si>
  <si>
    <t>ACHAT DE PNEU 13R 22,5; PNEU 215 75 R 15; PNEU 385 65 R22,5</t>
  </si>
  <si>
    <t>000407</t>
  </si>
  <si>
    <t>ACHAT DE 4 POTS DE PEINTURE 1KG, 1 POT PEINTURE A HUILE GRIS</t>
  </si>
  <si>
    <t>CAI-KS2511</t>
  </si>
  <si>
    <t>000402</t>
  </si>
  <si>
    <t>ACHAT DE 4 POTS DE PEINTURE 1KG, 02 SCOTCH A PAPIER</t>
  </si>
  <si>
    <t>025214</t>
  </si>
  <si>
    <t>ACHAT D'EAU MINERAL</t>
  </si>
  <si>
    <t>08767</t>
  </si>
  <si>
    <t>ACHAT 03 PLAQUETTES DE FREIN</t>
  </si>
  <si>
    <t>2272</t>
  </si>
  <si>
    <t>ACHAT DE FILTRE A HUILE ET FILTRE A AIR</t>
  </si>
  <si>
    <t>0763</t>
  </si>
  <si>
    <t>ACHAT DE FILTRE A HUILE, FILTRE A AIR ET PRE-FILTRE A GASOIL</t>
  </si>
  <si>
    <t>0419</t>
  </si>
  <si>
    <t>ACHAT DE CAFE, LIPTON ET SUCRE</t>
  </si>
  <si>
    <t>0393</t>
  </si>
  <si>
    <t>1992390 V</t>
  </si>
  <si>
    <t>ACHAT DE PERCEUSE ELECTRIQUE, FORET</t>
  </si>
  <si>
    <t>8768</t>
  </si>
  <si>
    <t>ACHAT DE PLAQUE DE FREIN</t>
  </si>
  <si>
    <t>4392</t>
  </si>
  <si>
    <t>ANDA GONG CHENG JI XIE SARL</t>
  </si>
  <si>
    <t>1945012 M</t>
  </si>
  <si>
    <t>ACHAT DE PLAQUETTE</t>
  </si>
  <si>
    <t>03663210</t>
  </si>
  <si>
    <t>CSK PIECES AUTO</t>
  </si>
  <si>
    <t>0631858 J</t>
  </si>
  <si>
    <t>ACHAT D' AMPOULE, BOUGIE ARRIERE</t>
  </si>
  <si>
    <t>GD_251106</t>
  </si>
  <si>
    <t>GARAGE DIOMANDE</t>
  </si>
  <si>
    <t>ACHAT TABLEAU DE BORD, MACHINE_CARREAU, BOUTON CARREAU</t>
  </si>
  <si>
    <t>001150</t>
  </si>
  <si>
    <t>SOCIAM</t>
  </si>
  <si>
    <t>0175265 N</t>
  </si>
  <si>
    <t>ACHAT SPLIT NASCO, TV LED 32"</t>
  </si>
  <si>
    <t>8788</t>
  </si>
  <si>
    <t>ACHAT POMPE ALIMENTATION</t>
  </si>
  <si>
    <t>025123</t>
  </si>
  <si>
    <t xml:space="preserve">ACHAT DIVERS </t>
  </si>
  <si>
    <t>1282</t>
  </si>
  <si>
    <t>ACHAT DE BATTERIE 150 A</t>
  </si>
  <si>
    <t>8179</t>
  </si>
  <si>
    <t>ACHAT DE PHARE, FIH, FIG, FIA</t>
  </si>
  <si>
    <t>251021_KIPA</t>
  </si>
  <si>
    <t>KABORE IVAN PIECES AUTO</t>
  </si>
  <si>
    <t>TRAVAUX D'ELECTRICITE HA 624 ET HA 294 ET FO RELAIS STOP</t>
  </si>
  <si>
    <t>10424</t>
  </si>
  <si>
    <t>4171</t>
  </si>
  <si>
    <t>ACHAT PORT DENTS 320</t>
  </si>
  <si>
    <t>8188</t>
  </si>
  <si>
    <t>ACHAT DE POMPE</t>
  </si>
  <si>
    <t>03757076</t>
  </si>
  <si>
    <t xml:space="preserve">ACHAT DE SEAU DE GRAISSE </t>
  </si>
  <si>
    <t>8186</t>
  </si>
  <si>
    <t xml:space="preserve">ACHAT D UN DEMARREUR </t>
  </si>
  <si>
    <t>8187</t>
  </si>
  <si>
    <t>ACHAT D' UN KIT D'EMBREYAGE</t>
  </si>
  <si>
    <t>0278159</t>
  </si>
  <si>
    <t>ACHAT D' UNE HUILE MOTEUR</t>
  </si>
  <si>
    <t>20251103-001</t>
  </si>
  <si>
    <t>2242154 E</t>
  </si>
  <si>
    <t>XUGONG COTE D' IVOIRE SARL</t>
  </si>
  <si>
    <t>ACHAT FILTRE A AIR, FILTRE A MOTEUR, FILTRE FIN DIESEL</t>
  </si>
  <si>
    <t>067279</t>
  </si>
  <si>
    <t>ACHAT DE RIZ, HUILE, CHEMISE CARTONNE COULEUR</t>
  </si>
  <si>
    <t>0000944</t>
  </si>
  <si>
    <t>ACQUISITION D'UN CAMION PLATEAU 2 PONTS</t>
  </si>
  <si>
    <t>BDU-FF_0000944</t>
  </si>
  <si>
    <t>SANOGO BASIRI MORY</t>
  </si>
  <si>
    <t>BP</t>
  </si>
  <si>
    <t>KONE DRAMANE</t>
  </si>
  <si>
    <t>PP-KONE-251125-1</t>
  </si>
  <si>
    <t>COULIBALY MAMADOU</t>
  </si>
  <si>
    <t>MISE A DISPOSITION CAR DE RAMASSAGE_BINGERVILLE-AA 991 CE 01-DU 21/09/25 AU 20/10/25</t>
  </si>
  <si>
    <t>MISE A DISPOSITION CAR DE RAMASSAGE_BINGERVILLE-381 KU 01-DU 21/09/25 AU 20/10/25</t>
  </si>
  <si>
    <t>PP-CM-251125-2</t>
  </si>
  <si>
    <t>PP-MD-251125-3</t>
  </si>
  <si>
    <t>MOADOU DOUMBIA</t>
  </si>
  <si>
    <t>MISE A DISPOSITION CAR DE RAMASSAGE_BINGERVILLE-743 LA 01-DU 21/09/25 AU 20/10/25</t>
  </si>
  <si>
    <t>PP-MD-251125-4</t>
  </si>
  <si>
    <t>MISE A DISPOSITION CAR DE RAMASSAGE_BINGERVILLE-743 LA 01-DU 21/08/25 AU 20/09/25</t>
  </si>
  <si>
    <t>PE-ISOSIGN-251125-5</t>
  </si>
  <si>
    <t>ISOSIGN AFRICA</t>
  </si>
  <si>
    <t>MISE A DISPOSITION CAMION TOUPIE_ODIENNE-1116LJ01-DU 21/09/25 AU 20/10/25</t>
  </si>
  <si>
    <t>TOURE</t>
  </si>
  <si>
    <t>PP-TOURE-251125-6</t>
  </si>
  <si>
    <t>PP-OS-251125-7</t>
  </si>
  <si>
    <t>OUATTARA SIE</t>
  </si>
  <si>
    <t>PP-SS-251125-8</t>
  </si>
  <si>
    <t>SANGARE SIRIKI</t>
  </si>
  <si>
    <t>MISE A DISPOSITION DOUBLE CABINE_NASSIAN-3747FX01-DU 21/09/25 AU 20/10/25</t>
  </si>
  <si>
    <t>MISE A DISPOSITION CAR DE RAMASSAGE_ODIENNE-6024JE01-DU 21/09/25 AU 20/10/25</t>
  </si>
  <si>
    <t>MISE A DISPOSITION DOUBLE CABINE_NASSIAN-0134GC01-DU 21/09/25 AU 20/10/25</t>
  </si>
  <si>
    <t>PP-OUSMANE-251125-9</t>
  </si>
  <si>
    <t>MISE A DISPOSITION CAMION CITERNE 25L_NASSIAN-1511KP01-DU 21/09/25 AU 20/10/25</t>
  </si>
  <si>
    <t>PP-KONATE-251125-10</t>
  </si>
  <si>
    <t>KONATE</t>
  </si>
  <si>
    <t>MISE A DISPOSITION CAMION PLATEAU GRUE_KORHOGO-AA427RB01-DU 21/09/25 AU 20/10/25</t>
  </si>
  <si>
    <t>PP-BAMBA-251125-11</t>
  </si>
  <si>
    <t>BAMBA</t>
  </si>
  <si>
    <t>MISE A DISPOSITION CAR DE RAMASSAGE_KORHOGO-2044HN01-DU 21/09/25 AU 20/10/25</t>
  </si>
  <si>
    <t>PP-OM-251125-12</t>
  </si>
  <si>
    <t>OUATTARA MOHAMED</t>
  </si>
  <si>
    <t>MISE A DISPOSITION CAR DE RAMASSAGE_BOUNDIALI-6570HN01-DU 21/09/25 AU 20/10/25</t>
  </si>
  <si>
    <t>PP-CISSE-251125-13</t>
  </si>
  <si>
    <t>CISSE</t>
  </si>
  <si>
    <t>MISE A DISPOSITION CAMION HIAB_BOUNDIALI-7863GH01-DU 21/09/25 AU 20/10/25</t>
  </si>
  <si>
    <t>BARRY MOUMOUNI</t>
  </si>
  <si>
    <t>MISE A DISPOSITION PELLE A PNEU _DABAKALA-322D-DU 21/09/25 AU 20/10/25</t>
  </si>
  <si>
    <t>PP-CISSE-251125-15</t>
  </si>
  <si>
    <t>MISE A DISPOSITION CAMION HIAB_BOUAKE-3423GL01-DU 21/09/25 AU 20/10/25</t>
  </si>
  <si>
    <t>PP-BM-251125-14</t>
  </si>
  <si>
    <t>PP-KOUYATE-251125-16</t>
  </si>
  <si>
    <t>MISE A DISPOSITION MINI COMPACTEUR_KONG BAT-DU 21/09/25 AU 20/10/25</t>
  </si>
  <si>
    <t>PP-GO-251125-17</t>
  </si>
  <si>
    <t>GANA OUSMANE</t>
  </si>
  <si>
    <t>MISE A DISPOSITION CITERNE  A EAU_KOIRA BTP-DU 21/08/25 AU 20/09/25</t>
  </si>
  <si>
    <t>LIBRAIRIE DE FRANCE</t>
  </si>
  <si>
    <t>002587</t>
  </si>
  <si>
    <t>9511970 B</t>
  </si>
  <si>
    <t>ACHAT DE CONTRAT DE BAIL A USAGE PROFESSIONNEL</t>
  </si>
  <si>
    <t>002303</t>
  </si>
  <si>
    <t>ACHAT DE PLANTES  ET POTS DE FLEURS</t>
  </si>
  <si>
    <t>BL0004893</t>
  </si>
  <si>
    <t>ACHAT KU 742, JX 316, JX 339, JX 317, CX228, Y-8123, Y-850</t>
  </si>
  <si>
    <t>BL0004892</t>
  </si>
  <si>
    <t>053327</t>
  </si>
  <si>
    <t>ACHAT EAU MIN, SAVON, SAVON LIQUIDE</t>
  </si>
  <si>
    <t>03519062</t>
  </si>
  <si>
    <t>ACHAT PNEU 13R, 22,5; PNEU 12R 22,5; PNEU 215 75 R15</t>
  </si>
  <si>
    <t>CHEQUE #</t>
  </si>
  <si>
    <t>BDU-FF_0001265/BDU-FF_0000105</t>
  </si>
  <si>
    <t>0010493</t>
  </si>
  <si>
    <t>CAI-KS2512</t>
  </si>
  <si>
    <t>0008825</t>
  </si>
  <si>
    <t>ACHAT DE POUMON</t>
  </si>
  <si>
    <t>1998642</t>
  </si>
  <si>
    <t>FOURNISSEUR OCCASIONNEL-A DET</t>
  </si>
  <si>
    <t>ACHAT ???</t>
  </si>
  <si>
    <t>VERIFIER LA DATE D' EMISSION DE LA FACTURE</t>
  </si>
  <si>
    <t>DET LES ARTICLES ET LE FRS DE LA FACTURE</t>
  </si>
  <si>
    <t>0008826</t>
  </si>
  <si>
    <t>ACHAT D'ATTACHE</t>
  </si>
  <si>
    <t>0008824</t>
  </si>
  <si>
    <t>ACHAT D'AMORTISSEUR</t>
  </si>
  <si>
    <t>4871429</t>
  </si>
  <si>
    <t>KARAMBIRI MAMADOU</t>
  </si>
  <si>
    <t>0719465 ?</t>
  </si>
  <si>
    <t>ACHAT DE SANGLE DE 15 M ETR10 M</t>
  </si>
  <si>
    <t>067234</t>
  </si>
  <si>
    <t>ACHAT DE RIZ, HUILE</t>
  </si>
  <si>
    <t>BL000372</t>
  </si>
  <si>
    <t>KONE ET FRERES</t>
  </si>
  <si>
    <t>ACHAT BIDON DE 20L</t>
  </si>
  <si>
    <t>2123404</t>
  </si>
  <si>
    <t>ACHAT D' UN COUROISION</t>
  </si>
  <si>
    <t>03083</t>
  </si>
  <si>
    <t>ETS WASSPA</t>
  </si>
  <si>
    <t>ACHAT ANTI BROUILLARD AU MODELE</t>
  </si>
  <si>
    <t>251128</t>
  </si>
  <si>
    <t>QUINCAILLERIE MODERNE</t>
  </si>
  <si>
    <t>ACHAT DE DOMINO 40 A</t>
  </si>
  <si>
    <t>01751482</t>
  </si>
  <si>
    <t>ISMAEL</t>
  </si>
  <si>
    <t>2159686 B</t>
  </si>
  <si>
    <t>ACHAT DE FIL SOUPLE; MAIN D'ŒUVRE</t>
  </si>
  <si>
    <t>4612249</t>
  </si>
  <si>
    <t>KEFOM</t>
  </si>
  <si>
    <t>ACHAT BOULON ET ECROU GALVA COMPLET 46</t>
  </si>
  <si>
    <t>001514</t>
  </si>
  <si>
    <t>2013816 ?</t>
  </si>
  <si>
    <t>ACHAT D'HUILE DE MOTEUR BAND MAEX56</t>
  </si>
  <si>
    <t>308387</t>
  </si>
  <si>
    <t>SUPER U</t>
  </si>
  <si>
    <t>ACHAT EAU MIN 25 CL AWA</t>
  </si>
  <si>
    <t>0266653</t>
  </si>
  <si>
    <t>ACHAT HUILE MOTEUR SAE 50</t>
  </si>
  <si>
    <t>V250112/2025</t>
  </si>
  <si>
    <t>MOCOCI</t>
  </si>
  <si>
    <t>2502034 R</t>
  </si>
  <si>
    <t>ACHAT TUBE ORANGE PLASTICABLE N° 13</t>
  </si>
  <si>
    <t>001451</t>
  </si>
  <si>
    <t>ACHAT JEUX DE PLAQUETTE</t>
  </si>
  <si>
    <t>0008820</t>
  </si>
  <si>
    <t xml:space="preserve">ACHAT FILTRE </t>
  </si>
  <si>
    <t>0008788</t>
  </si>
  <si>
    <t>ACHAT DE POMPE ALIMENTATION</t>
  </si>
  <si>
    <t>051119098228-25</t>
  </si>
  <si>
    <t>FRAIS COMMUNICATION DU 01/10/25 AU 31/10/25</t>
  </si>
  <si>
    <t>BDU-BTTP_0000211</t>
  </si>
  <si>
    <t>BDU-BTTP_0000204</t>
  </si>
  <si>
    <t>BDU-BTTP_0000206</t>
  </si>
  <si>
    <t>BDU-BTTP_0000208</t>
  </si>
  <si>
    <t>KONE DAOUDA</t>
  </si>
  <si>
    <t>0266666</t>
  </si>
  <si>
    <t xml:space="preserve">ACHAT D'HUILE DE MOTEUR BANDAMA </t>
  </si>
  <si>
    <t>0266667</t>
  </si>
  <si>
    <t>0266668</t>
  </si>
  <si>
    <t>0008843</t>
  </si>
  <si>
    <t xml:space="preserve">ACHAT DE 02 FILTRES A HUILE </t>
  </si>
  <si>
    <t>0008842</t>
  </si>
  <si>
    <t>ACHAT DE 02 FILTRES A HUILE ET 01 JEU DE PLAQUE</t>
  </si>
  <si>
    <t>0567621</t>
  </si>
  <si>
    <t>0004914</t>
  </si>
  <si>
    <t>ACHAT DE 04 ATTACHES</t>
  </si>
  <si>
    <t>0567623</t>
  </si>
  <si>
    <t>ACHAT D'HUILE HYDROLIQUE</t>
  </si>
  <si>
    <t>0226688</t>
  </si>
  <si>
    <t>ACHAT D'HUILE DE MOTEUR</t>
  </si>
  <si>
    <t>0000216</t>
  </si>
  <si>
    <t>ACHAT D UNE TABLE DE REUNION</t>
  </si>
  <si>
    <t>053390</t>
  </si>
  <si>
    <t>ACHAT DE PAPIER HYGIENIQUE</t>
  </si>
  <si>
    <t>053395</t>
  </si>
  <si>
    <t>ACHAT SUCRERIE, CAFE ET HUILE</t>
  </si>
  <si>
    <t>ECOBK-6822654</t>
  </si>
  <si>
    <t>PPKD-251212-1</t>
  </si>
  <si>
    <t>MAD_PELLE A PNEU HENGWANG_AGBOVILLE- DU 25/11/2025 AU 29/11/2025</t>
  </si>
  <si>
    <t>03762400</t>
  </si>
  <si>
    <t>ACHAT CARTOUCHE CANON TONER 067 ET CANON PIXMA G2410</t>
  </si>
  <si>
    <t>2577526</t>
  </si>
  <si>
    <t>ACHAT DE PC LENOVO V15, CANON TONER 067</t>
  </si>
  <si>
    <t>045670</t>
  </si>
  <si>
    <t>ACHAT DE BUREAU</t>
  </si>
  <si>
    <t>345</t>
  </si>
  <si>
    <t>8942</t>
  </si>
  <si>
    <t>ACHAT D' AMORTISSEUR, VERIN, FILTRE, PLAQUETTE…</t>
  </si>
  <si>
    <t>03663222</t>
  </si>
  <si>
    <t>ACHAT AMPOULE</t>
  </si>
  <si>
    <t>10186</t>
  </si>
  <si>
    <t>NEYD DISTRIBUTION</t>
  </si>
  <si>
    <t>ACHAT HUILE MOTEUR, FILTRE A HUILE, FILTRE A AIR, FILTRE A POLLEN</t>
  </si>
  <si>
    <t>0204336K25000001179</t>
  </si>
  <si>
    <t>TECHNO-MART</t>
  </si>
  <si>
    <t>0204336 K</t>
  </si>
  <si>
    <t>BDU-FF_0000105/NSIA_2144821</t>
  </si>
  <si>
    <t>REG 2 PARTIE 05/02/26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</si>
</sst>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#,##0_ ;[Red]\-#,##0\ "/>
    <numFmt numFmtId="167" formatCode="_-* #,##0.0_-;\-* #,##0.0_-;_-* &quot;-&quot;_-;_-@_-"/>
    <numFmt numFmtId="168" formatCode="_-* #,##0.00_-;\-* #,##0.00_-;_-* &quot;-&quot;_-;_-@_-"/>
    <numFmt numFmtId="169" formatCode="_-* #,##0.000_-;\-* #,##0.000_-;_-* &quot;-&quot;_-;_-@_-"/>
    <numFmt numFmtId="170" formatCode="_-* #,##0.00000_-;\-* #,##0.00000_-;_-* &quot;-&quot;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u/>
      <sz val="11"/>
      <color theme="9" tint="-0.499984740745262"/>
      <name val="Century Gothic"/>
      <family val="2"/>
    </font>
    <font>
      <i/>
      <u/>
      <sz val="11"/>
      <color theme="1"/>
      <name val="Century Gothic"/>
      <family val="2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F4D8"/>
        <bgColor indexed="64"/>
      </patternFill>
    </fill>
    <fill>
      <patternFill patternType="solid">
        <fgColor rgb="FFFFC5D8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rgb="FFFF5050"/>
      </left>
      <right/>
      <top style="thin">
        <color rgb="FFFF5050"/>
      </top>
      <bottom/>
      <diagonal/>
    </border>
    <border>
      <left style="thin">
        <color rgb="FFFF5050"/>
      </left>
      <right style="thin">
        <color rgb="FFFF5050"/>
      </right>
      <top style="thin">
        <color rgb="FFFF5050"/>
      </top>
      <bottom/>
      <diagonal/>
    </border>
    <border>
      <left style="thin">
        <color rgb="FFFF5050"/>
      </left>
      <right/>
      <top style="thin">
        <color rgb="FFFF5050"/>
      </top>
      <bottom style="thin">
        <color rgb="FFFF505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14" fontId="0" fillId="0" borderId="0" xfId="0" applyNumberFormat="1"/>
    <xf numFmtId="165" fontId="0" fillId="0" borderId="0" xfId="1" applyNumberFormat="1" applyFont="1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5" fontId="5" fillId="0" borderId="0" xfId="0" applyNumberFormat="1" applyFont="1"/>
    <xf numFmtId="14" fontId="5" fillId="0" borderId="0" xfId="0" applyNumberFormat="1" applyFont="1"/>
    <xf numFmtId="0" fontId="6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165" fontId="5" fillId="3" borderId="0" xfId="1" applyNumberFormat="1" applyFont="1" applyFill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8" fillId="0" borderId="0" xfId="0" applyFont="1"/>
    <xf numFmtId="165" fontId="0" fillId="0" borderId="0" xfId="0" applyNumberFormat="1"/>
    <xf numFmtId="0" fontId="10" fillId="0" borderId="0" xfId="0" applyFont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9" fillId="0" borderId="2" xfId="0" applyFont="1" applyBorder="1" applyAlignment="1">
      <alignment horizontal="center" vertical="top"/>
    </xf>
    <xf numFmtId="165" fontId="0" fillId="6" borderId="3" xfId="1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165" fontId="0" fillId="6" borderId="4" xfId="1" applyNumberFormat="1" applyFont="1" applyFill="1" applyBorder="1"/>
    <xf numFmtId="14" fontId="0" fillId="6" borderId="4" xfId="0" applyNumberFormat="1" applyFill="1" applyBorder="1"/>
    <xf numFmtId="165" fontId="3" fillId="6" borderId="4" xfId="1" applyNumberFormat="1" applyFont="1" applyFill="1" applyBorder="1"/>
    <xf numFmtId="165" fontId="0" fillId="6" borderId="5" xfId="1" applyNumberFormat="1" applyFont="1" applyFill="1" applyBorder="1"/>
    <xf numFmtId="165" fontId="0" fillId="0" borderId="4" xfId="1" applyNumberFormat="1" applyFont="1" applyBorder="1"/>
    <xf numFmtId="14" fontId="0" fillId="0" borderId="4" xfId="0" applyNumberFormat="1" applyBorder="1"/>
    <xf numFmtId="165" fontId="0" fillId="0" borderId="5" xfId="1" applyNumberFormat="1" applyFont="1" applyBorder="1"/>
    <xf numFmtId="165" fontId="0" fillId="6" borderId="6" xfId="1" applyNumberFormat="1" applyFont="1" applyFill="1" applyBorder="1"/>
    <xf numFmtId="14" fontId="0" fillId="6" borderId="6" xfId="0" applyNumberFormat="1" applyFill="1" applyBorder="1"/>
    <xf numFmtId="14" fontId="0" fillId="6" borderId="0" xfId="0" applyNumberFormat="1" applyFill="1"/>
    <xf numFmtId="0" fontId="0" fillId="6" borderId="0" xfId="0" applyFill="1"/>
    <xf numFmtId="165" fontId="0" fillId="6" borderId="0" xfId="1" applyNumberFormat="1" applyFont="1" applyFill="1"/>
    <xf numFmtId="165" fontId="0" fillId="0" borderId="0" xfId="1" applyNumberFormat="1" applyFont="1" applyFill="1"/>
    <xf numFmtId="14" fontId="4" fillId="0" borderId="0" xfId="0" applyNumberFormat="1" applyFont="1"/>
    <xf numFmtId="165" fontId="4" fillId="0" borderId="0" xfId="1" applyNumberFormat="1" applyFont="1"/>
    <xf numFmtId="0" fontId="11" fillId="0" borderId="0" xfId="0" applyFont="1"/>
    <xf numFmtId="165" fontId="11" fillId="0" borderId="0" xfId="1" applyNumberFormat="1" applyFont="1"/>
    <xf numFmtId="14" fontId="4" fillId="0" borderId="7" xfId="0" applyNumberFormat="1" applyFont="1" applyBorder="1"/>
    <xf numFmtId="14" fontId="11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4" fillId="0" borderId="0" xfId="1" applyNumberFormat="1" applyFont="1" applyBorder="1"/>
    <xf numFmtId="14" fontId="0" fillId="0" borderId="0" xfId="1" applyNumberFormat="1" applyFont="1"/>
    <xf numFmtId="14" fontId="12" fillId="0" borderId="0" xfId="1" applyNumberFormat="1" applyFont="1"/>
    <xf numFmtId="14" fontId="11" fillId="0" borderId="8" xfId="0" applyNumberFormat="1" applyFont="1" applyBorder="1"/>
    <xf numFmtId="165" fontId="11" fillId="0" borderId="0" xfId="1" applyNumberFormat="1" applyFont="1" applyBorder="1"/>
    <xf numFmtId="14" fontId="11" fillId="0" borderId="7" xfId="0" applyNumberFormat="1" applyFont="1" applyBorder="1"/>
    <xf numFmtId="49" fontId="11" fillId="0" borderId="0" xfId="0" applyNumberFormat="1" applyFont="1"/>
    <xf numFmtId="9" fontId="0" fillId="0" borderId="0" xfId="2" applyFont="1"/>
    <xf numFmtId="9" fontId="4" fillId="0" borderId="0" xfId="2" applyFont="1"/>
    <xf numFmtId="9" fontId="11" fillId="0" borderId="0" xfId="2" applyFont="1" applyBorder="1"/>
    <xf numFmtId="9" fontId="11" fillId="0" borderId="0" xfId="2" applyFont="1"/>
    <xf numFmtId="14" fontId="4" fillId="0" borderId="8" xfId="0" applyNumberFormat="1" applyFont="1" applyBorder="1"/>
    <xf numFmtId="165" fontId="9" fillId="0" borderId="0" xfId="1" applyNumberFormat="1" applyFont="1" applyBorder="1"/>
    <xf numFmtId="165" fontId="9" fillId="0" borderId="0" xfId="1" applyNumberFormat="1" applyFont="1"/>
    <xf numFmtId="0" fontId="13" fillId="0" borderId="0" xfId="0" applyFont="1"/>
    <xf numFmtId="14" fontId="13" fillId="0" borderId="7" xfId="0" applyNumberFormat="1" applyFont="1" applyBorder="1"/>
    <xf numFmtId="49" fontId="13" fillId="0" borderId="0" xfId="0" applyNumberFormat="1" applyFont="1"/>
    <xf numFmtId="165" fontId="13" fillId="0" borderId="0" xfId="1" applyNumberFormat="1" applyFont="1"/>
    <xf numFmtId="14" fontId="13" fillId="0" borderId="0" xfId="0" applyNumberFormat="1" applyFont="1"/>
    <xf numFmtId="14" fontId="13" fillId="0" borderId="8" xfId="0" applyNumberFormat="1" applyFont="1" applyBorder="1"/>
    <xf numFmtId="165" fontId="13" fillId="0" borderId="0" xfId="1" applyNumberFormat="1" applyFont="1" applyBorder="1"/>
    <xf numFmtId="9" fontId="13" fillId="0" borderId="0" xfId="2" applyFont="1"/>
    <xf numFmtId="9" fontId="13" fillId="0" borderId="0" xfId="2" applyFont="1" applyBorder="1"/>
    <xf numFmtId="0" fontId="9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top"/>
    </xf>
    <xf numFmtId="9" fontId="4" fillId="0" borderId="0" xfId="2" applyFont="1" applyBorder="1"/>
    <xf numFmtId="165" fontId="4" fillId="0" borderId="0" xfId="0" applyNumberFormat="1" applyFont="1"/>
    <xf numFmtId="49" fontId="4" fillId="0" borderId="0" xfId="1" applyNumberFormat="1" applyFont="1"/>
    <xf numFmtId="49" fontId="13" fillId="0" borderId="0" xfId="1" applyNumberFormat="1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14" fontId="0" fillId="3" borderId="0" xfId="0" applyNumberFormat="1" applyFill="1" applyAlignment="1">
      <alignment vertical="center"/>
    </xf>
    <xf numFmtId="14" fontId="0" fillId="0" borderId="0" xfId="0" applyNumberFormat="1" applyAlignment="1">
      <alignment horizontal="center" vertical="center" wrapText="1"/>
    </xf>
    <xf numFmtId="0" fontId="15" fillId="0" borderId="0" xfId="0" applyFont="1"/>
    <xf numFmtId="14" fontId="15" fillId="0" borderId="0" xfId="0" applyNumberFormat="1" applyFont="1"/>
    <xf numFmtId="14" fontId="15" fillId="0" borderId="7" xfId="0" applyNumberFormat="1" applyFont="1" applyBorder="1"/>
    <xf numFmtId="49" fontId="15" fillId="0" borderId="0" xfId="0" applyNumberFormat="1" applyFont="1"/>
    <xf numFmtId="165" fontId="15" fillId="0" borderId="0" xfId="1" applyNumberFormat="1" applyFont="1"/>
    <xf numFmtId="9" fontId="15" fillId="0" borderId="0" xfId="2" applyFont="1" applyBorder="1"/>
    <xf numFmtId="165" fontId="15" fillId="0" borderId="0" xfId="1" applyNumberFormat="1" applyFont="1" applyBorder="1"/>
    <xf numFmtId="165" fontId="15" fillId="0" borderId="0" xfId="0" applyNumberFormat="1" applyFont="1"/>
    <xf numFmtId="14" fontId="15" fillId="0" borderId="8" xfId="0" applyNumberFormat="1" applyFont="1" applyBorder="1"/>
    <xf numFmtId="0" fontId="16" fillId="0" borderId="0" xfId="0" applyFont="1"/>
    <xf numFmtId="14" fontId="16" fillId="0" borderId="0" xfId="0" applyNumberFormat="1" applyFont="1"/>
    <xf numFmtId="49" fontId="16" fillId="0" borderId="0" xfId="0" applyNumberFormat="1" applyFont="1"/>
    <xf numFmtId="165" fontId="16" fillId="0" borderId="0" xfId="1" applyNumberFormat="1" applyFont="1"/>
    <xf numFmtId="9" fontId="16" fillId="0" borderId="0" xfId="2" applyFont="1" applyBorder="1"/>
    <xf numFmtId="165" fontId="16" fillId="0" borderId="0" xfId="1" applyNumberFormat="1" applyFont="1" applyBorder="1"/>
    <xf numFmtId="0" fontId="4" fillId="0" borderId="10" xfId="0" applyFont="1" applyBorder="1"/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41" fontId="0" fillId="0" borderId="0" xfId="3" applyFont="1"/>
    <xf numFmtId="0" fontId="22" fillId="0" borderId="2" xfId="0" applyFont="1" applyBorder="1" applyAlignment="1">
      <alignment horizontal="center" vertical="top"/>
    </xf>
    <xf numFmtId="41" fontId="22" fillId="2" borderId="2" xfId="3" applyFont="1" applyFill="1" applyBorder="1" applyAlignment="1">
      <alignment horizontal="center" vertical="top"/>
    </xf>
    <xf numFmtId="41" fontId="22" fillId="7" borderId="2" xfId="3" applyFont="1" applyFill="1" applyBorder="1" applyAlignment="1">
      <alignment horizontal="center" vertical="top"/>
    </xf>
    <xf numFmtId="41" fontId="0" fillId="2" borderId="0" xfId="3" applyFont="1" applyFill="1"/>
    <xf numFmtId="41" fontId="0" fillId="7" borderId="0" xfId="3" applyFont="1" applyFill="1"/>
    <xf numFmtId="41" fontId="2" fillId="2" borderId="0" xfId="3" applyFont="1" applyFill="1"/>
    <xf numFmtId="41" fontId="2" fillId="7" borderId="0" xfId="3" applyFont="1" applyFill="1"/>
    <xf numFmtId="49" fontId="0" fillId="0" borderId="0" xfId="0" applyNumberFormat="1" applyAlignment="1">
      <alignment vertical="center"/>
    </xf>
    <xf numFmtId="41" fontId="0" fillId="0" borderId="0" xfId="3" applyFont="1" applyAlignment="1">
      <alignment vertical="center"/>
    </xf>
    <xf numFmtId="166" fontId="0" fillId="0" borderId="0" xfId="3" applyNumberFormat="1" applyFont="1" applyAlignment="1">
      <alignment vertical="center"/>
    </xf>
    <xf numFmtId="14" fontId="0" fillId="0" borderId="0" xfId="3" applyNumberFormat="1" applyFont="1" applyAlignment="1">
      <alignment vertical="center"/>
    </xf>
    <xf numFmtId="169" fontId="0" fillId="0" borderId="0" xfId="3" applyNumberFormat="1" applyFont="1" applyAlignment="1">
      <alignment vertical="center"/>
    </xf>
    <xf numFmtId="168" fontId="0" fillId="0" borderId="0" xfId="3" applyNumberFormat="1" applyFont="1" applyAlignment="1">
      <alignment vertical="center"/>
    </xf>
    <xf numFmtId="14" fontId="21" fillId="0" borderId="0" xfId="0" applyNumberFormat="1" applyFont="1" applyAlignment="1">
      <alignment vertical="center"/>
    </xf>
    <xf numFmtId="20" fontId="0" fillId="0" borderId="0" xfId="0" applyNumberFormat="1" applyAlignment="1">
      <alignment vertical="center"/>
    </xf>
    <xf numFmtId="167" fontId="0" fillId="0" borderId="0" xfId="3" applyNumberFormat="1" applyFont="1" applyAlignment="1">
      <alignment vertical="center"/>
    </xf>
    <xf numFmtId="49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1" fontId="21" fillId="0" borderId="0" xfId="3" applyFont="1" applyAlignment="1">
      <alignment vertical="center"/>
    </xf>
    <xf numFmtId="166" fontId="21" fillId="0" borderId="0" xfId="3" applyNumberFormat="1" applyFont="1" applyAlignment="1">
      <alignment vertical="center"/>
    </xf>
    <xf numFmtId="14" fontId="21" fillId="0" borderId="0" xfId="3" applyNumberFormat="1" applyFont="1" applyAlignment="1">
      <alignment vertical="center"/>
    </xf>
    <xf numFmtId="0" fontId="0" fillId="4" borderId="0" xfId="0" applyFill="1" applyAlignment="1">
      <alignment vertical="center"/>
    </xf>
    <xf numFmtId="41" fontId="2" fillId="4" borderId="0" xfId="3" applyFont="1" applyFill="1" applyAlignment="1">
      <alignment vertical="center"/>
    </xf>
    <xf numFmtId="170" fontId="0" fillId="0" borderId="0" xfId="3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3" applyFont="1" applyAlignment="1">
      <alignment vertical="center"/>
    </xf>
    <xf numFmtId="166" fontId="23" fillId="0" borderId="0" xfId="3" applyNumberFormat="1" applyFont="1" applyAlignment="1">
      <alignment vertical="center"/>
    </xf>
    <xf numFmtId="14" fontId="23" fillId="0" borderId="0" xfId="3" applyNumberFormat="1" applyFont="1" applyAlignment="1">
      <alignment vertical="center"/>
    </xf>
    <xf numFmtId="49" fontId="0" fillId="0" borderId="0" xfId="0" applyNumberFormat="1" applyAlignment="1">
      <alignment horizontal="left" vertical="center"/>
    </xf>
  </cellXfs>
  <cellStyles count="4">
    <cellStyle name="Milliers" xfId="1" builtinId="3"/>
    <cellStyle name="Milliers [0]" xfId="3" builtinId="6"/>
    <cellStyle name="Normal" xfId="0" builtinId="0"/>
    <cellStyle name="Pourcentage" xfId="2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_-* #,##0\ _€_-;\-* #,##0\ _€_-;_-* &quot;-&quot;??\ _€_-;_-@_-"/>
    </dxf>
    <dxf>
      <numFmt numFmtId="0" formatCode="General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dd/mm/yyyy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19" formatCode="dd/mm/yyyy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5" formatCode="_-* #,##0\ _€_-;\-* #,##0\ _€_-;_-* &quot;-&quot;??\ _€_-;_-@_-"/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_-* #,##0\ _€_-;\-* #,##0\ _€_-;_-* &quot;-&quot;??\ _€_-;_-@_-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general" vertical="center" textRotation="0" indent="0" justifyLastLine="0" shrinkToFit="0" readingOrder="0"/>
    </dxf>
    <dxf>
      <numFmt numFmtId="166" formatCode="#,##0_ ;[Red]\-#,##0\ "/>
      <alignment horizontal="general" vertical="center" textRotation="0" indent="0" justifyLastLine="0" shrinkToFit="0" readingOrder="0"/>
    </dxf>
    <dxf>
      <numFmt numFmtId="166" formatCode="#,##0_ ;[Red]\-#,##0\ "/>
      <alignment horizontal="general" vertical="center" textRotation="0" indent="0" justifyLastLine="0" shrinkToFit="0" readingOrder="0"/>
    </dxf>
    <dxf>
      <numFmt numFmtId="166" formatCode="#,##0_ ;[Red]\-#,##0\ 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19" formatCode="dd/mm/yyyy"/>
      <alignment horizontal="general" vertical="center" textRotation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ill>
        <patternFill>
          <bgColor rgb="FFFFC5D8"/>
        </patternFill>
      </fill>
    </dxf>
    <dxf>
      <border>
        <left style="thin">
          <color rgb="FFFF5050"/>
        </left>
        <right style="thin">
          <color rgb="FFFF5050"/>
        </right>
        <top style="thin">
          <color rgb="FFFF5050"/>
        </top>
        <bottom style="thin">
          <color rgb="FFFF5050"/>
        </bottom>
        <vertical style="thin">
          <color rgb="FFFF5050"/>
        </vertical>
        <horizontal style="thin">
          <color rgb="FFFF5050"/>
        </horizontal>
      </border>
    </dxf>
  </dxfs>
  <tableStyles count="1" defaultTableStyle="TableStyleMedium2" defaultPivotStyle="PivotStyleLight16">
    <tableStyle name="Style de tableau 1" pivot="0" count="2" xr9:uid="{00000000-0011-0000-FFFF-FFFF00000000}">
      <tableStyleElement type="wholeTable" dxfId="233"/>
      <tableStyleElement type="firstRowStripe" dxfId="232"/>
    </tableStyle>
  </tableStyles>
  <colors>
    <mruColors>
      <color rgb="FFFFFFCC"/>
      <color rgb="FFFF5050"/>
      <color rgb="FFFFC5D8"/>
      <color rgb="FFFF6699"/>
      <color rgb="FFE9F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Tresorerie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'PROJECTIONS TRESORERIE'!$J$6</c:f>
              <c:strCache>
                <c:ptCount val="1"/>
                <c:pt idx="0">
                  <c:v>TRESORERIE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'PROJECTIONS TRESORERIE'!$B$7:$C$37</c:f>
              <c:multiLvlStrCache>
                <c:ptCount val="31"/>
                <c:lvl>
                  <c:pt idx="0">
                    <c:v>25/01/2025</c:v>
                  </c:pt>
                  <c:pt idx="1">
                    <c:v>26/01/2025</c:v>
                  </c:pt>
                  <c:pt idx="2">
                    <c:v>27/01/2025</c:v>
                  </c:pt>
                  <c:pt idx="3">
                    <c:v>28/01/2025</c:v>
                  </c:pt>
                  <c:pt idx="4">
                    <c:v>29/01/2025</c:v>
                  </c:pt>
                  <c:pt idx="5">
                    <c:v>30/01/2025</c:v>
                  </c:pt>
                  <c:pt idx="6">
                    <c:v>31/01/2025</c:v>
                  </c:pt>
                  <c:pt idx="7">
                    <c:v>01/02/2025</c:v>
                  </c:pt>
                  <c:pt idx="8">
                    <c:v>02/02/2025</c:v>
                  </c:pt>
                  <c:pt idx="9">
                    <c:v>03/02/2025</c:v>
                  </c:pt>
                  <c:pt idx="10">
                    <c:v>04/02/2025</c:v>
                  </c:pt>
                  <c:pt idx="11">
                    <c:v>05/02/2025</c:v>
                  </c:pt>
                  <c:pt idx="12">
                    <c:v>06/02/2025</c:v>
                  </c:pt>
                  <c:pt idx="13">
                    <c:v>07/02/2025</c:v>
                  </c:pt>
                  <c:pt idx="14">
                    <c:v>08/02/2025</c:v>
                  </c:pt>
                  <c:pt idx="15">
                    <c:v>09/02/2025</c:v>
                  </c:pt>
                  <c:pt idx="16">
                    <c:v>10/02/2025</c:v>
                  </c:pt>
                  <c:pt idx="17">
                    <c:v>11/02/2025</c:v>
                  </c:pt>
                  <c:pt idx="18">
                    <c:v>12/02/2025</c:v>
                  </c:pt>
                  <c:pt idx="19">
                    <c:v>13/02/2025</c:v>
                  </c:pt>
                  <c:pt idx="20">
                    <c:v>14/02/2025</c:v>
                  </c:pt>
                  <c:pt idx="21">
                    <c:v>15/02/2025</c:v>
                  </c:pt>
                  <c:pt idx="22">
                    <c:v>16/02/2025</c:v>
                  </c:pt>
                  <c:pt idx="23">
                    <c:v>17/02/2025</c:v>
                  </c:pt>
                  <c:pt idx="24">
                    <c:v>18/02/2025</c:v>
                  </c:pt>
                  <c:pt idx="25">
                    <c:v>19/02/2025</c:v>
                  </c:pt>
                  <c:pt idx="26">
                    <c:v>20/02/2025</c:v>
                  </c:pt>
                  <c:pt idx="27">
                    <c:v>21/02/2025</c:v>
                  </c:pt>
                  <c:pt idx="28">
                    <c:v>22/02/2025</c:v>
                  </c:pt>
                  <c:pt idx="29">
                    <c:v>23/02/2025</c:v>
                  </c:pt>
                  <c:pt idx="30">
                    <c:v>24/02/2025</c:v>
                  </c:pt>
                </c:lvl>
                <c:lvl>
                  <c:pt idx="0">
                    <c:v> 1   </c:v>
                  </c:pt>
                  <c:pt idx="1">
                    <c:v> 2   </c:v>
                  </c:pt>
                  <c:pt idx="2">
                    <c:v> 3   </c:v>
                  </c:pt>
                  <c:pt idx="3">
                    <c:v> 4   </c:v>
                  </c:pt>
                  <c:pt idx="4">
                    <c:v> 5   </c:v>
                  </c:pt>
                  <c:pt idx="5">
                    <c:v> 6   </c:v>
                  </c:pt>
                  <c:pt idx="6">
                    <c:v> 7   </c:v>
                  </c:pt>
                  <c:pt idx="7">
                    <c:v> 8   </c:v>
                  </c:pt>
                  <c:pt idx="8">
                    <c:v> 9   </c:v>
                  </c:pt>
                  <c:pt idx="9">
                    <c:v> 10   </c:v>
                  </c:pt>
                  <c:pt idx="10">
                    <c:v> 11   </c:v>
                  </c:pt>
                  <c:pt idx="11">
                    <c:v> 12   </c:v>
                  </c:pt>
                  <c:pt idx="12">
                    <c:v> 13   </c:v>
                  </c:pt>
                  <c:pt idx="13">
                    <c:v> 14   </c:v>
                  </c:pt>
                  <c:pt idx="14">
                    <c:v> 15   </c:v>
                  </c:pt>
                  <c:pt idx="15">
                    <c:v> 16   </c:v>
                  </c:pt>
                  <c:pt idx="16">
                    <c:v> 17   </c:v>
                  </c:pt>
                  <c:pt idx="17">
                    <c:v> 18   </c:v>
                  </c:pt>
                  <c:pt idx="18">
                    <c:v> 19   </c:v>
                  </c:pt>
                  <c:pt idx="19">
                    <c:v> 20   </c:v>
                  </c:pt>
                  <c:pt idx="20">
                    <c:v> 21   </c:v>
                  </c:pt>
                  <c:pt idx="21">
                    <c:v> 22   </c:v>
                  </c:pt>
                  <c:pt idx="22">
                    <c:v> 23   </c:v>
                  </c:pt>
                  <c:pt idx="23">
                    <c:v> 24   </c:v>
                  </c:pt>
                  <c:pt idx="24">
                    <c:v> 25   </c:v>
                  </c:pt>
                  <c:pt idx="25">
                    <c:v> 26   </c:v>
                  </c:pt>
                  <c:pt idx="26">
                    <c:v> 27   </c:v>
                  </c:pt>
                  <c:pt idx="27">
                    <c:v> 28   </c:v>
                  </c:pt>
                  <c:pt idx="28">
                    <c:v> 29   </c:v>
                  </c:pt>
                  <c:pt idx="29">
                    <c:v> 30   </c:v>
                  </c:pt>
                  <c:pt idx="30">
                    <c:v> 31   </c:v>
                  </c:pt>
                </c:lvl>
              </c:multiLvlStrCache>
            </c:multiLvlStrRef>
          </c:cat>
          <c:val>
            <c:numRef>
              <c:f>'PROJECTIONS TRESORERIE'!$J$7:$J$37</c:f>
              <c:numCache>
                <c:formatCode>_-* #\ ##0\ _€_-;\-* #\ ##0\ _€_-;_-* "-"??\ _€_-;_-@_-</c:formatCode>
                <c:ptCount val="31"/>
                <c:pt idx="0">
                  <c:v>-104567139</c:v>
                </c:pt>
                <c:pt idx="1">
                  <c:v>-104567139</c:v>
                </c:pt>
                <c:pt idx="2">
                  <c:v>-110298389</c:v>
                </c:pt>
                <c:pt idx="3">
                  <c:v>-110298389</c:v>
                </c:pt>
                <c:pt idx="4">
                  <c:v>-110298389</c:v>
                </c:pt>
                <c:pt idx="5">
                  <c:v>-110298389</c:v>
                </c:pt>
                <c:pt idx="6">
                  <c:v>-110298389</c:v>
                </c:pt>
                <c:pt idx="7">
                  <c:v>-110298389</c:v>
                </c:pt>
                <c:pt idx="8">
                  <c:v>-110298389</c:v>
                </c:pt>
                <c:pt idx="9">
                  <c:v>-110298389</c:v>
                </c:pt>
                <c:pt idx="10">
                  <c:v>-110298389</c:v>
                </c:pt>
                <c:pt idx="11">
                  <c:v>-113128389</c:v>
                </c:pt>
                <c:pt idx="12">
                  <c:v>-113128389</c:v>
                </c:pt>
                <c:pt idx="13">
                  <c:v>-113603389</c:v>
                </c:pt>
                <c:pt idx="14">
                  <c:v>-114876169</c:v>
                </c:pt>
                <c:pt idx="15">
                  <c:v>-114876169</c:v>
                </c:pt>
                <c:pt idx="16">
                  <c:v>-137578018.80000001</c:v>
                </c:pt>
                <c:pt idx="17">
                  <c:v>-137803018.80000001</c:v>
                </c:pt>
                <c:pt idx="18">
                  <c:v>-137803018.80000001</c:v>
                </c:pt>
                <c:pt idx="19">
                  <c:v>-137989018.80000001</c:v>
                </c:pt>
                <c:pt idx="20">
                  <c:v>-138081088.80000001</c:v>
                </c:pt>
                <c:pt idx="21">
                  <c:v>-138081088.80000001</c:v>
                </c:pt>
                <c:pt idx="22">
                  <c:v>-138081088.80000001</c:v>
                </c:pt>
                <c:pt idx="23">
                  <c:v>-138081088.80000001</c:v>
                </c:pt>
                <c:pt idx="24">
                  <c:v>-138081088.80000001</c:v>
                </c:pt>
                <c:pt idx="25">
                  <c:v>-138081088.80000001</c:v>
                </c:pt>
                <c:pt idx="26">
                  <c:v>-138081088.80000001</c:v>
                </c:pt>
                <c:pt idx="27">
                  <c:v>-149281078.80000001</c:v>
                </c:pt>
                <c:pt idx="28">
                  <c:v>-149431078.80000001</c:v>
                </c:pt>
                <c:pt idx="29">
                  <c:v>-149431078.80000001</c:v>
                </c:pt>
                <c:pt idx="30">
                  <c:v>-149431078.80000001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D7-4EFE-97F2-1F8E8CAD56D9}"/>
            </c:ext>
          </c:extLst>
        </c:ser>
        <c:ser>
          <c:idx val="5"/>
          <c:order val="5"/>
          <c:tx>
            <c:strRef>
              <c:f>'PROJECTIONS TRESORERIE'!$K$6</c:f>
              <c:strCache>
                <c:ptCount val="1"/>
                <c:pt idx="0">
                  <c:v>SEUIL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'PROJECTIONS TRESORERIE'!$B$7:$C$37</c:f>
              <c:multiLvlStrCache>
                <c:ptCount val="31"/>
                <c:lvl>
                  <c:pt idx="0">
                    <c:v>25/01/2025</c:v>
                  </c:pt>
                  <c:pt idx="1">
                    <c:v>26/01/2025</c:v>
                  </c:pt>
                  <c:pt idx="2">
                    <c:v>27/01/2025</c:v>
                  </c:pt>
                  <c:pt idx="3">
                    <c:v>28/01/2025</c:v>
                  </c:pt>
                  <c:pt idx="4">
                    <c:v>29/01/2025</c:v>
                  </c:pt>
                  <c:pt idx="5">
                    <c:v>30/01/2025</c:v>
                  </c:pt>
                  <c:pt idx="6">
                    <c:v>31/01/2025</c:v>
                  </c:pt>
                  <c:pt idx="7">
                    <c:v>01/02/2025</c:v>
                  </c:pt>
                  <c:pt idx="8">
                    <c:v>02/02/2025</c:v>
                  </c:pt>
                  <c:pt idx="9">
                    <c:v>03/02/2025</c:v>
                  </c:pt>
                  <c:pt idx="10">
                    <c:v>04/02/2025</c:v>
                  </c:pt>
                  <c:pt idx="11">
                    <c:v>05/02/2025</c:v>
                  </c:pt>
                  <c:pt idx="12">
                    <c:v>06/02/2025</c:v>
                  </c:pt>
                  <c:pt idx="13">
                    <c:v>07/02/2025</c:v>
                  </c:pt>
                  <c:pt idx="14">
                    <c:v>08/02/2025</c:v>
                  </c:pt>
                  <c:pt idx="15">
                    <c:v>09/02/2025</c:v>
                  </c:pt>
                  <c:pt idx="16">
                    <c:v>10/02/2025</c:v>
                  </c:pt>
                  <c:pt idx="17">
                    <c:v>11/02/2025</c:v>
                  </c:pt>
                  <c:pt idx="18">
                    <c:v>12/02/2025</c:v>
                  </c:pt>
                  <c:pt idx="19">
                    <c:v>13/02/2025</c:v>
                  </c:pt>
                  <c:pt idx="20">
                    <c:v>14/02/2025</c:v>
                  </c:pt>
                  <c:pt idx="21">
                    <c:v>15/02/2025</c:v>
                  </c:pt>
                  <c:pt idx="22">
                    <c:v>16/02/2025</c:v>
                  </c:pt>
                  <c:pt idx="23">
                    <c:v>17/02/2025</c:v>
                  </c:pt>
                  <c:pt idx="24">
                    <c:v>18/02/2025</c:v>
                  </c:pt>
                  <c:pt idx="25">
                    <c:v>19/02/2025</c:v>
                  </c:pt>
                  <c:pt idx="26">
                    <c:v>20/02/2025</c:v>
                  </c:pt>
                  <c:pt idx="27">
                    <c:v>21/02/2025</c:v>
                  </c:pt>
                  <c:pt idx="28">
                    <c:v>22/02/2025</c:v>
                  </c:pt>
                  <c:pt idx="29">
                    <c:v>23/02/2025</c:v>
                  </c:pt>
                  <c:pt idx="30">
                    <c:v>24/02/2025</c:v>
                  </c:pt>
                </c:lvl>
                <c:lvl>
                  <c:pt idx="0">
                    <c:v> 1   </c:v>
                  </c:pt>
                  <c:pt idx="1">
                    <c:v> 2   </c:v>
                  </c:pt>
                  <c:pt idx="2">
                    <c:v> 3   </c:v>
                  </c:pt>
                  <c:pt idx="3">
                    <c:v> 4   </c:v>
                  </c:pt>
                  <c:pt idx="4">
                    <c:v> 5   </c:v>
                  </c:pt>
                  <c:pt idx="5">
                    <c:v> 6   </c:v>
                  </c:pt>
                  <c:pt idx="6">
                    <c:v> 7   </c:v>
                  </c:pt>
                  <c:pt idx="7">
                    <c:v> 8   </c:v>
                  </c:pt>
                  <c:pt idx="8">
                    <c:v> 9   </c:v>
                  </c:pt>
                  <c:pt idx="9">
                    <c:v> 10   </c:v>
                  </c:pt>
                  <c:pt idx="10">
                    <c:v> 11   </c:v>
                  </c:pt>
                  <c:pt idx="11">
                    <c:v> 12   </c:v>
                  </c:pt>
                  <c:pt idx="12">
                    <c:v> 13   </c:v>
                  </c:pt>
                  <c:pt idx="13">
                    <c:v> 14   </c:v>
                  </c:pt>
                  <c:pt idx="14">
                    <c:v> 15   </c:v>
                  </c:pt>
                  <c:pt idx="15">
                    <c:v> 16   </c:v>
                  </c:pt>
                  <c:pt idx="16">
                    <c:v> 17   </c:v>
                  </c:pt>
                  <c:pt idx="17">
                    <c:v> 18   </c:v>
                  </c:pt>
                  <c:pt idx="18">
                    <c:v> 19   </c:v>
                  </c:pt>
                  <c:pt idx="19">
                    <c:v> 20   </c:v>
                  </c:pt>
                  <c:pt idx="20">
                    <c:v> 21   </c:v>
                  </c:pt>
                  <c:pt idx="21">
                    <c:v> 22   </c:v>
                  </c:pt>
                  <c:pt idx="22">
                    <c:v> 23   </c:v>
                  </c:pt>
                  <c:pt idx="23">
                    <c:v> 24   </c:v>
                  </c:pt>
                  <c:pt idx="24">
                    <c:v> 25   </c:v>
                  </c:pt>
                  <c:pt idx="25">
                    <c:v> 26   </c:v>
                  </c:pt>
                  <c:pt idx="26">
                    <c:v> 27   </c:v>
                  </c:pt>
                  <c:pt idx="27">
                    <c:v> 28   </c:v>
                  </c:pt>
                  <c:pt idx="28">
                    <c:v> 29   </c:v>
                  </c:pt>
                  <c:pt idx="29">
                    <c:v> 30   </c:v>
                  </c:pt>
                  <c:pt idx="30">
                    <c:v> 31   </c:v>
                  </c:pt>
                </c:lvl>
              </c:multiLvlStrCache>
            </c:multiLvlStrRef>
          </c:cat>
          <c:val>
            <c:numRef>
              <c:f>'PROJECTIONS TRESORERIE'!$K$7:$K$37</c:f>
              <c:numCache>
                <c:formatCode>_-* #\ ##0\ _€_-;\-* #\ ##0\ _€_-;_-* "-"??\ _€_-;_-@_-</c:formatCode>
                <c:ptCount val="31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7-4EFE-97F2-1F8E8CAD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897648"/>
        <c:axId val="888980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'PROJECTIONS TRESORERIE'!$D$6</c15:sqref>
                        </c15:formulaRef>
                      </c:ext>
                    </c:extLst>
                    <c:strCache>
                      <c:ptCount val="1"/>
                      <c:pt idx="0">
                        <c:v>VENTES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'PROJECTIONS TRESORERIE'!$B$7:$C$37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25/01/2025</c:v>
                        </c:pt>
                        <c:pt idx="1">
                          <c:v>26/01/2025</c:v>
                        </c:pt>
                        <c:pt idx="2">
                          <c:v>27/01/2025</c:v>
                        </c:pt>
                        <c:pt idx="3">
                          <c:v>28/01/2025</c:v>
                        </c:pt>
                        <c:pt idx="4">
                          <c:v>29/01/2025</c:v>
                        </c:pt>
                        <c:pt idx="5">
                          <c:v>30/01/2025</c:v>
                        </c:pt>
                        <c:pt idx="6">
                          <c:v>31/01/2025</c:v>
                        </c:pt>
                        <c:pt idx="7">
                          <c:v>01/02/2025</c:v>
                        </c:pt>
                        <c:pt idx="8">
                          <c:v>02/02/2025</c:v>
                        </c:pt>
                        <c:pt idx="9">
                          <c:v>03/02/2025</c:v>
                        </c:pt>
                        <c:pt idx="10">
                          <c:v>04/02/2025</c:v>
                        </c:pt>
                        <c:pt idx="11">
                          <c:v>05/02/2025</c:v>
                        </c:pt>
                        <c:pt idx="12">
                          <c:v>06/02/2025</c:v>
                        </c:pt>
                        <c:pt idx="13">
                          <c:v>07/02/2025</c:v>
                        </c:pt>
                        <c:pt idx="14">
                          <c:v>08/02/2025</c:v>
                        </c:pt>
                        <c:pt idx="15">
                          <c:v>09/02/2025</c:v>
                        </c:pt>
                        <c:pt idx="16">
                          <c:v>10/02/2025</c:v>
                        </c:pt>
                        <c:pt idx="17">
                          <c:v>11/02/2025</c:v>
                        </c:pt>
                        <c:pt idx="18">
                          <c:v>12/02/2025</c:v>
                        </c:pt>
                        <c:pt idx="19">
                          <c:v>13/02/2025</c:v>
                        </c:pt>
                        <c:pt idx="20">
                          <c:v>14/02/2025</c:v>
                        </c:pt>
                        <c:pt idx="21">
                          <c:v>15/02/2025</c:v>
                        </c:pt>
                        <c:pt idx="22">
                          <c:v>16/02/2025</c:v>
                        </c:pt>
                        <c:pt idx="23">
                          <c:v>17/02/2025</c:v>
                        </c:pt>
                        <c:pt idx="24">
                          <c:v>18/02/2025</c:v>
                        </c:pt>
                        <c:pt idx="25">
                          <c:v>19/02/2025</c:v>
                        </c:pt>
                        <c:pt idx="26">
                          <c:v>20/02/2025</c:v>
                        </c:pt>
                        <c:pt idx="27">
                          <c:v>21/02/2025</c:v>
                        </c:pt>
                        <c:pt idx="28">
                          <c:v>22/02/2025</c:v>
                        </c:pt>
                        <c:pt idx="29">
                          <c:v>23/02/2025</c:v>
                        </c:pt>
                        <c:pt idx="30">
                          <c:v>24/02/2025</c:v>
                        </c:pt>
                      </c:lvl>
                      <c:lvl>
                        <c:pt idx="0">
                          <c:v> 1   </c:v>
                        </c:pt>
                        <c:pt idx="1">
                          <c:v> 2   </c:v>
                        </c:pt>
                        <c:pt idx="2">
                          <c:v> 3   </c:v>
                        </c:pt>
                        <c:pt idx="3">
                          <c:v> 4   </c:v>
                        </c:pt>
                        <c:pt idx="4">
                          <c:v> 5   </c:v>
                        </c:pt>
                        <c:pt idx="5">
                          <c:v> 6   </c:v>
                        </c:pt>
                        <c:pt idx="6">
                          <c:v> 7   </c:v>
                        </c:pt>
                        <c:pt idx="7">
                          <c:v> 8   </c:v>
                        </c:pt>
                        <c:pt idx="8">
                          <c:v> 9   </c:v>
                        </c:pt>
                        <c:pt idx="9">
                          <c:v> 10   </c:v>
                        </c:pt>
                        <c:pt idx="10">
                          <c:v> 11   </c:v>
                        </c:pt>
                        <c:pt idx="11">
                          <c:v> 12   </c:v>
                        </c:pt>
                        <c:pt idx="12">
                          <c:v> 13   </c:v>
                        </c:pt>
                        <c:pt idx="13">
                          <c:v> 14   </c:v>
                        </c:pt>
                        <c:pt idx="14">
                          <c:v> 15   </c:v>
                        </c:pt>
                        <c:pt idx="15">
                          <c:v> 16   </c:v>
                        </c:pt>
                        <c:pt idx="16">
                          <c:v> 17   </c:v>
                        </c:pt>
                        <c:pt idx="17">
                          <c:v> 18   </c:v>
                        </c:pt>
                        <c:pt idx="18">
                          <c:v> 19   </c:v>
                        </c:pt>
                        <c:pt idx="19">
                          <c:v> 20   </c:v>
                        </c:pt>
                        <c:pt idx="20">
                          <c:v> 21   </c:v>
                        </c:pt>
                        <c:pt idx="21">
                          <c:v> 22   </c:v>
                        </c:pt>
                        <c:pt idx="22">
                          <c:v> 23   </c:v>
                        </c:pt>
                        <c:pt idx="23">
                          <c:v> 24   </c:v>
                        </c:pt>
                        <c:pt idx="24">
                          <c:v> 25   </c:v>
                        </c:pt>
                        <c:pt idx="25">
                          <c:v> 26   </c:v>
                        </c:pt>
                        <c:pt idx="26">
                          <c:v> 27   </c:v>
                        </c:pt>
                        <c:pt idx="27">
                          <c:v> 28   </c:v>
                        </c:pt>
                        <c:pt idx="28">
                          <c:v> 29   </c:v>
                        </c:pt>
                        <c:pt idx="29">
                          <c:v> 30   </c:v>
                        </c:pt>
                        <c:pt idx="30">
                          <c:v> 31   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'PROJECTIONS TRESORERIE'!$D$7:$D$37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31"/>
                      <c:pt idx="0">
                        <c:v>200000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D7-4EFE-97F2-1F8E8CAD56D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TRESORERIE'!$F$6</c15:sqref>
                        </c15:formulaRef>
                      </c:ext>
                    </c:extLst>
                    <c:strCache>
                      <c:ptCount val="1"/>
                      <c:pt idx="0">
                        <c:v>DETTE ACHAT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TRESORERIE'!$B$7:$C$37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25/01/2025</c:v>
                        </c:pt>
                        <c:pt idx="1">
                          <c:v>26/01/2025</c:v>
                        </c:pt>
                        <c:pt idx="2">
                          <c:v>27/01/2025</c:v>
                        </c:pt>
                        <c:pt idx="3">
                          <c:v>28/01/2025</c:v>
                        </c:pt>
                        <c:pt idx="4">
                          <c:v>29/01/2025</c:v>
                        </c:pt>
                        <c:pt idx="5">
                          <c:v>30/01/2025</c:v>
                        </c:pt>
                        <c:pt idx="6">
                          <c:v>31/01/2025</c:v>
                        </c:pt>
                        <c:pt idx="7">
                          <c:v>01/02/2025</c:v>
                        </c:pt>
                        <c:pt idx="8">
                          <c:v>02/02/2025</c:v>
                        </c:pt>
                        <c:pt idx="9">
                          <c:v>03/02/2025</c:v>
                        </c:pt>
                        <c:pt idx="10">
                          <c:v>04/02/2025</c:v>
                        </c:pt>
                        <c:pt idx="11">
                          <c:v>05/02/2025</c:v>
                        </c:pt>
                        <c:pt idx="12">
                          <c:v>06/02/2025</c:v>
                        </c:pt>
                        <c:pt idx="13">
                          <c:v>07/02/2025</c:v>
                        </c:pt>
                        <c:pt idx="14">
                          <c:v>08/02/2025</c:v>
                        </c:pt>
                        <c:pt idx="15">
                          <c:v>09/02/2025</c:v>
                        </c:pt>
                        <c:pt idx="16">
                          <c:v>10/02/2025</c:v>
                        </c:pt>
                        <c:pt idx="17">
                          <c:v>11/02/2025</c:v>
                        </c:pt>
                        <c:pt idx="18">
                          <c:v>12/02/2025</c:v>
                        </c:pt>
                        <c:pt idx="19">
                          <c:v>13/02/2025</c:v>
                        </c:pt>
                        <c:pt idx="20">
                          <c:v>14/02/2025</c:v>
                        </c:pt>
                        <c:pt idx="21">
                          <c:v>15/02/2025</c:v>
                        </c:pt>
                        <c:pt idx="22">
                          <c:v>16/02/2025</c:v>
                        </c:pt>
                        <c:pt idx="23">
                          <c:v>17/02/2025</c:v>
                        </c:pt>
                        <c:pt idx="24">
                          <c:v>18/02/2025</c:v>
                        </c:pt>
                        <c:pt idx="25">
                          <c:v>19/02/2025</c:v>
                        </c:pt>
                        <c:pt idx="26">
                          <c:v>20/02/2025</c:v>
                        </c:pt>
                        <c:pt idx="27">
                          <c:v>21/02/2025</c:v>
                        </c:pt>
                        <c:pt idx="28">
                          <c:v>22/02/2025</c:v>
                        </c:pt>
                        <c:pt idx="29">
                          <c:v>23/02/2025</c:v>
                        </c:pt>
                        <c:pt idx="30">
                          <c:v>24/02/2025</c:v>
                        </c:pt>
                      </c:lvl>
                      <c:lvl>
                        <c:pt idx="0">
                          <c:v> 1   </c:v>
                        </c:pt>
                        <c:pt idx="1">
                          <c:v> 2   </c:v>
                        </c:pt>
                        <c:pt idx="2">
                          <c:v> 3   </c:v>
                        </c:pt>
                        <c:pt idx="3">
                          <c:v> 4   </c:v>
                        </c:pt>
                        <c:pt idx="4">
                          <c:v> 5   </c:v>
                        </c:pt>
                        <c:pt idx="5">
                          <c:v> 6   </c:v>
                        </c:pt>
                        <c:pt idx="6">
                          <c:v> 7   </c:v>
                        </c:pt>
                        <c:pt idx="7">
                          <c:v> 8   </c:v>
                        </c:pt>
                        <c:pt idx="8">
                          <c:v> 9   </c:v>
                        </c:pt>
                        <c:pt idx="9">
                          <c:v> 10   </c:v>
                        </c:pt>
                        <c:pt idx="10">
                          <c:v> 11   </c:v>
                        </c:pt>
                        <c:pt idx="11">
                          <c:v> 12   </c:v>
                        </c:pt>
                        <c:pt idx="12">
                          <c:v> 13   </c:v>
                        </c:pt>
                        <c:pt idx="13">
                          <c:v> 14   </c:v>
                        </c:pt>
                        <c:pt idx="14">
                          <c:v> 15   </c:v>
                        </c:pt>
                        <c:pt idx="15">
                          <c:v> 16   </c:v>
                        </c:pt>
                        <c:pt idx="16">
                          <c:v> 17   </c:v>
                        </c:pt>
                        <c:pt idx="17">
                          <c:v> 18   </c:v>
                        </c:pt>
                        <c:pt idx="18">
                          <c:v> 19   </c:v>
                        </c:pt>
                        <c:pt idx="19">
                          <c:v> 20   </c:v>
                        </c:pt>
                        <c:pt idx="20">
                          <c:v> 21   </c:v>
                        </c:pt>
                        <c:pt idx="21">
                          <c:v> 22   </c:v>
                        </c:pt>
                        <c:pt idx="22">
                          <c:v> 23   </c:v>
                        </c:pt>
                        <c:pt idx="23">
                          <c:v> 24   </c:v>
                        </c:pt>
                        <c:pt idx="24">
                          <c:v> 25   </c:v>
                        </c:pt>
                        <c:pt idx="25">
                          <c:v> 26   </c:v>
                        </c:pt>
                        <c:pt idx="26">
                          <c:v> 27   </c:v>
                        </c:pt>
                        <c:pt idx="27">
                          <c:v> 28   </c:v>
                        </c:pt>
                        <c:pt idx="28">
                          <c:v> 29   </c:v>
                        </c:pt>
                        <c:pt idx="29">
                          <c:v> 30   </c:v>
                        </c:pt>
                        <c:pt idx="30">
                          <c:v> 31   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TRESORERIE'!$F$7:$F$37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31"/>
                      <c:pt idx="0">
                        <c:v>104867139</c:v>
                      </c:pt>
                      <c:pt idx="1">
                        <c:v>0</c:v>
                      </c:pt>
                      <c:pt idx="2">
                        <c:v>5731250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475000</c:v>
                      </c:pt>
                      <c:pt idx="14">
                        <c:v>1272780</c:v>
                      </c:pt>
                      <c:pt idx="15">
                        <c:v>0</c:v>
                      </c:pt>
                      <c:pt idx="16">
                        <c:v>1701850</c:v>
                      </c:pt>
                      <c:pt idx="17">
                        <c:v>225000</c:v>
                      </c:pt>
                      <c:pt idx="18">
                        <c:v>0</c:v>
                      </c:pt>
                      <c:pt idx="19">
                        <c:v>186000</c:v>
                      </c:pt>
                      <c:pt idx="20">
                        <c:v>92070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11199990</c:v>
                      </c:pt>
                      <c:pt idx="28">
                        <c:v>150000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2D7-4EFE-97F2-1F8E8CAD56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TRESORERIE'!$G$6</c15:sqref>
                        </c15:formulaRef>
                      </c:ext>
                    </c:extLst>
                    <c:strCache>
                      <c:ptCount val="1"/>
                      <c:pt idx="0">
                        <c:v>DETTE FRAIS GENERAUX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TRESORERIE'!$B$7:$C$37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25/01/2025</c:v>
                        </c:pt>
                        <c:pt idx="1">
                          <c:v>26/01/2025</c:v>
                        </c:pt>
                        <c:pt idx="2">
                          <c:v>27/01/2025</c:v>
                        </c:pt>
                        <c:pt idx="3">
                          <c:v>28/01/2025</c:v>
                        </c:pt>
                        <c:pt idx="4">
                          <c:v>29/01/2025</c:v>
                        </c:pt>
                        <c:pt idx="5">
                          <c:v>30/01/2025</c:v>
                        </c:pt>
                        <c:pt idx="6">
                          <c:v>31/01/2025</c:v>
                        </c:pt>
                        <c:pt idx="7">
                          <c:v>01/02/2025</c:v>
                        </c:pt>
                        <c:pt idx="8">
                          <c:v>02/02/2025</c:v>
                        </c:pt>
                        <c:pt idx="9">
                          <c:v>03/02/2025</c:v>
                        </c:pt>
                        <c:pt idx="10">
                          <c:v>04/02/2025</c:v>
                        </c:pt>
                        <c:pt idx="11">
                          <c:v>05/02/2025</c:v>
                        </c:pt>
                        <c:pt idx="12">
                          <c:v>06/02/2025</c:v>
                        </c:pt>
                        <c:pt idx="13">
                          <c:v>07/02/2025</c:v>
                        </c:pt>
                        <c:pt idx="14">
                          <c:v>08/02/2025</c:v>
                        </c:pt>
                        <c:pt idx="15">
                          <c:v>09/02/2025</c:v>
                        </c:pt>
                        <c:pt idx="16">
                          <c:v>10/02/2025</c:v>
                        </c:pt>
                        <c:pt idx="17">
                          <c:v>11/02/2025</c:v>
                        </c:pt>
                        <c:pt idx="18">
                          <c:v>12/02/2025</c:v>
                        </c:pt>
                        <c:pt idx="19">
                          <c:v>13/02/2025</c:v>
                        </c:pt>
                        <c:pt idx="20">
                          <c:v>14/02/2025</c:v>
                        </c:pt>
                        <c:pt idx="21">
                          <c:v>15/02/2025</c:v>
                        </c:pt>
                        <c:pt idx="22">
                          <c:v>16/02/2025</c:v>
                        </c:pt>
                        <c:pt idx="23">
                          <c:v>17/02/2025</c:v>
                        </c:pt>
                        <c:pt idx="24">
                          <c:v>18/02/2025</c:v>
                        </c:pt>
                        <c:pt idx="25">
                          <c:v>19/02/2025</c:v>
                        </c:pt>
                        <c:pt idx="26">
                          <c:v>20/02/2025</c:v>
                        </c:pt>
                        <c:pt idx="27">
                          <c:v>21/02/2025</c:v>
                        </c:pt>
                        <c:pt idx="28">
                          <c:v>22/02/2025</c:v>
                        </c:pt>
                        <c:pt idx="29">
                          <c:v>23/02/2025</c:v>
                        </c:pt>
                        <c:pt idx="30">
                          <c:v>24/02/2025</c:v>
                        </c:pt>
                      </c:lvl>
                      <c:lvl>
                        <c:pt idx="0">
                          <c:v> 1   </c:v>
                        </c:pt>
                        <c:pt idx="1">
                          <c:v> 2   </c:v>
                        </c:pt>
                        <c:pt idx="2">
                          <c:v> 3   </c:v>
                        </c:pt>
                        <c:pt idx="3">
                          <c:v> 4   </c:v>
                        </c:pt>
                        <c:pt idx="4">
                          <c:v> 5   </c:v>
                        </c:pt>
                        <c:pt idx="5">
                          <c:v> 6   </c:v>
                        </c:pt>
                        <c:pt idx="6">
                          <c:v> 7   </c:v>
                        </c:pt>
                        <c:pt idx="7">
                          <c:v> 8   </c:v>
                        </c:pt>
                        <c:pt idx="8">
                          <c:v> 9   </c:v>
                        </c:pt>
                        <c:pt idx="9">
                          <c:v> 10   </c:v>
                        </c:pt>
                        <c:pt idx="10">
                          <c:v> 11   </c:v>
                        </c:pt>
                        <c:pt idx="11">
                          <c:v> 12   </c:v>
                        </c:pt>
                        <c:pt idx="12">
                          <c:v> 13   </c:v>
                        </c:pt>
                        <c:pt idx="13">
                          <c:v> 14   </c:v>
                        </c:pt>
                        <c:pt idx="14">
                          <c:v> 15   </c:v>
                        </c:pt>
                        <c:pt idx="15">
                          <c:v> 16   </c:v>
                        </c:pt>
                        <c:pt idx="16">
                          <c:v> 17   </c:v>
                        </c:pt>
                        <c:pt idx="17">
                          <c:v> 18   </c:v>
                        </c:pt>
                        <c:pt idx="18">
                          <c:v> 19   </c:v>
                        </c:pt>
                        <c:pt idx="19">
                          <c:v> 20   </c:v>
                        </c:pt>
                        <c:pt idx="20">
                          <c:v> 21   </c:v>
                        </c:pt>
                        <c:pt idx="21">
                          <c:v> 22   </c:v>
                        </c:pt>
                        <c:pt idx="22">
                          <c:v> 23   </c:v>
                        </c:pt>
                        <c:pt idx="23">
                          <c:v> 24   </c:v>
                        </c:pt>
                        <c:pt idx="24">
                          <c:v> 25   </c:v>
                        </c:pt>
                        <c:pt idx="25">
                          <c:v> 26   </c:v>
                        </c:pt>
                        <c:pt idx="26">
                          <c:v> 27   </c:v>
                        </c:pt>
                        <c:pt idx="27">
                          <c:v> 28   </c:v>
                        </c:pt>
                        <c:pt idx="28">
                          <c:v> 29   </c:v>
                        </c:pt>
                        <c:pt idx="29">
                          <c:v> 30   </c:v>
                        </c:pt>
                        <c:pt idx="30">
                          <c:v> 31   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TRESORERIE'!$G$7:$G$37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2830000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20999999.800000001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D7-4EFE-97F2-1F8E8CAD56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TRESORERIE'!$I$6</c15:sqref>
                        </c15:formulaRef>
                      </c:ext>
                    </c:extLst>
                    <c:strCache>
                      <c:ptCount val="1"/>
                      <c:pt idx="0">
                        <c:v>DETTE FISCALE ET SOCIALE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TRESORERIE'!$B$7:$C$37</c15:sqref>
                        </c15:formulaRef>
                      </c:ext>
                    </c:extLst>
                    <c:multiLvlStrCache>
                      <c:ptCount val="31"/>
                      <c:lvl>
                        <c:pt idx="0">
                          <c:v>25/01/2025</c:v>
                        </c:pt>
                        <c:pt idx="1">
                          <c:v>26/01/2025</c:v>
                        </c:pt>
                        <c:pt idx="2">
                          <c:v>27/01/2025</c:v>
                        </c:pt>
                        <c:pt idx="3">
                          <c:v>28/01/2025</c:v>
                        </c:pt>
                        <c:pt idx="4">
                          <c:v>29/01/2025</c:v>
                        </c:pt>
                        <c:pt idx="5">
                          <c:v>30/01/2025</c:v>
                        </c:pt>
                        <c:pt idx="6">
                          <c:v>31/01/2025</c:v>
                        </c:pt>
                        <c:pt idx="7">
                          <c:v>01/02/2025</c:v>
                        </c:pt>
                        <c:pt idx="8">
                          <c:v>02/02/2025</c:v>
                        </c:pt>
                        <c:pt idx="9">
                          <c:v>03/02/2025</c:v>
                        </c:pt>
                        <c:pt idx="10">
                          <c:v>04/02/2025</c:v>
                        </c:pt>
                        <c:pt idx="11">
                          <c:v>05/02/2025</c:v>
                        </c:pt>
                        <c:pt idx="12">
                          <c:v>06/02/2025</c:v>
                        </c:pt>
                        <c:pt idx="13">
                          <c:v>07/02/2025</c:v>
                        </c:pt>
                        <c:pt idx="14">
                          <c:v>08/02/2025</c:v>
                        </c:pt>
                        <c:pt idx="15">
                          <c:v>09/02/2025</c:v>
                        </c:pt>
                        <c:pt idx="16">
                          <c:v>10/02/2025</c:v>
                        </c:pt>
                        <c:pt idx="17">
                          <c:v>11/02/2025</c:v>
                        </c:pt>
                        <c:pt idx="18">
                          <c:v>12/02/2025</c:v>
                        </c:pt>
                        <c:pt idx="19">
                          <c:v>13/02/2025</c:v>
                        </c:pt>
                        <c:pt idx="20">
                          <c:v>14/02/2025</c:v>
                        </c:pt>
                        <c:pt idx="21">
                          <c:v>15/02/2025</c:v>
                        </c:pt>
                        <c:pt idx="22">
                          <c:v>16/02/2025</c:v>
                        </c:pt>
                        <c:pt idx="23">
                          <c:v>17/02/2025</c:v>
                        </c:pt>
                        <c:pt idx="24">
                          <c:v>18/02/2025</c:v>
                        </c:pt>
                        <c:pt idx="25">
                          <c:v>19/02/2025</c:v>
                        </c:pt>
                        <c:pt idx="26">
                          <c:v>20/02/2025</c:v>
                        </c:pt>
                        <c:pt idx="27">
                          <c:v>21/02/2025</c:v>
                        </c:pt>
                        <c:pt idx="28">
                          <c:v>22/02/2025</c:v>
                        </c:pt>
                        <c:pt idx="29">
                          <c:v>23/02/2025</c:v>
                        </c:pt>
                        <c:pt idx="30">
                          <c:v>24/02/2025</c:v>
                        </c:pt>
                      </c:lvl>
                      <c:lvl>
                        <c:pt idx="0">
                          <c:v> 1   </c:v>
                        </c:pt>
                        <c:pt idx="1">
                          <c:v> 2   </c:v>
                        </c:pt>
                        <c:pt idx="2">
                          <c:v> 3   </c:v>
                        </c:pt>
                        <c:pt idx="3">
                          <c:v> 4   </c:v>
                        </c:pt>
                        <c:pt idx="4">
                          <c:v> 5   </c:v>
                        </c:pt>
                        <c:pt idx="5">
                          <c:v> 6   </c:v>
                        </c:pt>
                        <c:pt idx="6">
                          <c:v> 7   </c:v>
                        </c:pt>
                        <c:pt idx="7">
                          <c:v> 8   </c:v>
                        </c:pt>
                        <c:pt idx="8">
                          <c:v> 9   </c:v>
                        </c:pt>
                        <c:pt idx="9">
                          <c:v> 10   </c:v>
                        </c:pt>
                        <c:pt idx="10">
                          <c:v> 11   </c:v>
                        </c:pt>
                        <c:pt idx="11">
                          <c:v> 12   </c:v>
                        </c:pt>
                        <c:pt idx="12">
                          <c:v> 13   </c:v>
                        </c:pt>
                        <c:pt idx="13">
                          <c:v> 14   </c:v>
                        </c:pt>
                        <c:pt idx="14">
                          <c:v> 15   </c:v>
                        </c:pt>
                        <c:pt idx="15">
                          <c:v> 16   </c:v>
                        </c:pt>
                        <c:pt idx="16">
                          <c:v> 17   </c:v>
                        </c:pt>
                        <c:pt idx="17">
                          <c:v> 18   </c:v>
                        </c:pt>
                        <c:pt idx="18">
                          <c:v> 19   </c:v>
                        </c:pt>
                        <c:pt idx="19">
                          <c:v> 20   </c:v>
                        </c:pt>
                        <c:pt idx="20">
                          <c:v> 21   </c:v>
                        </c:pt>
                        <c:pt idx="21">
                          <c:v> 22   </c:v>
                        </c:pt>
                        <c:pt idx="22">
                          <c:v> 23   </c:v>
                        </c:pt>
                        <c:pt idx="23">
                          <c:v> 24   </c:v>
                        </c:pt>
                        <c:pt idx="24">
                          <c:v> 25   </c:v>
                        </c:pt>
                        <c:pt idx="25">
                          <c:v> 26   </c:v>
                        </c:pt>
                        <c:pt idx="26">
                          <c:v> 27   </c:v>
                        </c:pt>
                        <c:pt idx="27">
                          <c:v> 28   </c:v>
                        </c:pt>
                        <c:pt idx="28">
                          <c:v> 29   </c:v>
                        </c:pt>
                        <c:pt idx="29">
                          <c:v> 30   </c:v>
                        </c:pt>
                        <c:pt idx="30">
                          <c:v> 31   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'PROJECTIONS TRESORERIE'!$I$7:$I$37</c15:sqref>
                        </c15:formulaRef>
                      </c:ext>
                    </c:extLst>
                    <c:numCache>
                      <c:formatCode>_-* #\ ##0\ _€_-;\-* #\ ##0\ _€_-;_-* "-"??\ _€_-;_-@_-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D7-4EFE-97F2-1F8E8CAD56D9}"/>
                  </c:ext>
                </c:extLst>
              </c15:ser>
            </c15:filteredLineSeries>
          </c:ext>
        </c:extLst>
      </c:lineChart>
      <c:catAx>
        <c:axId val="8889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898064"/>
        <c:crosses val="autoZero"/>
        <c:auto val="1"/>
        <c:lblAlgn val="ctr"/>
        <c:lblOffset val="100"/>
        <c:noMultiLvlLbl val="0"/>
      </c:catAx>
      <c:valAx>
        <c:axId val="888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8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746124</xdr:colOff>
      <xdr:row>4</xdr:row>
      <xdr:rowOff>142874</xdr:rowOff>
    </xdr:from>
    <xdr:to>
      <xdr:col>23</xdr:col>
      <xdr:colOff>419100</xdr:colOff>
      <xdr:row>25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5B8D835-F43B-46B5-BCD3-18F0BB2E7C81}" name="Tableau330" displayName="Tableau330" ref="A2:AA327" totalsRowShown="0" headerRowDxfId="231" dataDxfId="230">
  <autoFilter ref="A2:AA327" xr:uid="{A0DAF1D9-D2A5-4917-87C0-2EE2D111B5C0}"/>
  <sortState xmlns:xlrd2="http://schemas.microsoft.com/office/spreadsheetml/2017/richdata2" ref="A3:AA318">
    <sortCondition ref="A2:A318"/>
  </sortState>
  <tableColumns count="27">
    <tableColumn id="1" xr3:uid="{E4772FE4-A2E9-4640-83A8-C22FB90E5773}" name="DATE " dataDxfId="229"/>
    <tableColumn id="26" xr3:uid="{A5892F5D-5212-41C3-B8A2-1BEF0F7D8641}" name="PERIODE" dataDxfId="228">
      <calculatedColumnFormula>IF(ISBLANK(Tableau330[[#This Row],[DATE ]]),"",UPPER(PROPER(TEXT(Tableau330[[#This Row],[DATE ]],"mmmm yyyy"))))</calculatedColumnFormula>
    </tableColumn>
    <tableColumn id="12" xr3:uid="{8C781B49-EBF1-432C-BDEC-79A7DE820606}" name="TYPE F/" dataDxfId="227"/>
    <tableColumn id="2" xr3:uid="{1AF415BD-2F97-4AD1-A972-38969008D862}" name="N° F/" dataDxfId="226"/>
    <tableColumn id="3" xr3:uid="{E665F121-0C92-4BCE-BE0A-FD1FC14C2118}" name="FOURNISSEURS" dataDxfId="225"/>
    <tableColumn id="9" xr3:uid="{471A50AD-7ECB-45FA-9AA2-FB9ED48E6603}" name="NCC " dataDxfId="224"/>
    <tableColumn id="16" xr3:uid="{AF2D8EEB-0A36-487F-9E4C-CC31F73142BE}" name="REGIME" dataDxfId="223"/>
    <tableColumn id="10" xr3:uid="{C885ABDB-B02B-4381-B3DE-C54A65DB8DD8}" name="DESIGNATION" dataDxfId="222"/>
    <tableColumn id="11" xr3:uid="{C2AE6191-AA77-4CDF-AEF6-13304CCD1112}" name="CODE TVA" dataDxfId="221"/>
    <tableColumn id="14" xr3:uid="{52219575-2F3B-43B6-9092-AFF692FAE32F}" name="PRORATA D" dataDxfId="220" dataCellStyle="Milliers [0]"/>
    <tableColumn id="28" xr3:uid="{301DD7F1-5EB0-4526-969B-389D70B29473}" name="MONTANT HT BIENS" dataDxfId="219" dataCellStyle="Milliers [0]"/>
    <tableColumn id="27" xr3:uid="{1B80F80F-03B6-4ACD-800A-1732A88626B5}" name="MONTANT HT SERVICES " dataDxfId="218" dataCellStyle="Milliers [0]"/>
    <tableColumn id="4" xr3:uid="{470E058D-C811-434B-9751-2F7454A728D3}" name="MONTANT HT" dataDxfId="217" dataCellStyle="Milliers [0]"/>
    <tableColumn id="5" xr3:uid="{1092E1F5-BFB7-4F68-841F-168BEBF8483F}" name="TVA" dataDxfId="216" dataCellStyle="Milliers [0]">
      <calculatedColumnFormula>+IF(Tableau330[[#This Row],[CODE TVA]]="",0,ROUND(Tableau330[[#This Row],[MONTANT HT]]*0.18*Tableau330[[#This Row],[PRORATA D]],1))</calculatedColumnFormula>
    </tableColumn>
    <tableColumn id="6" xr3:uid="{44C46634-838F-4256-A7E1-E3B0ABDC6BE6}" name="MONTANT TTC" dataDxfId="215" dataCellStyle="Milliers [0]">
      <calculatedColumnFormula>+IFERROR(Tableau330[[#This Row],[MONTANT HT]]+Tableau330[[#This Row],[TVA]],0)</calculatedColumnFormula>
    </tableColumn>
    <tableColumn id="13" xr3:uid="{E61C8EF1-6224-4B3C-9CCB-EA7CE263E8CF}" name="TIMBRE " dataDxfId="214" dataCellStyle="Milliers [0]"/>
    <tableColumn id="18" xr3:uid="{DAE5FB54-4209-48BD-B9E4-E14F9850EA1A}" name="AUTRES TAXES" dataDxfId="213" dataCellStyle="Milliers [0]"/>
    <tableColumn id="17" xr3:uid="{99D0CAAE-3D83-4C8A-AC80-6B08F0ECB239}" name="NET A PAYER" dataDxfId="212" dataCellStyle="Milliers [0]">
      <calculatedColumnFormula>+Tableau330[[#This Row],[MONTANT TTC]]+Tableau330[[#This Row],[TIMBRE ]]+Tableau330[[#This Row],[AUTRES TAXES]]</calculatedColumnFormula>
    </tableColumn>
    <tableColumn id="24" xr3:uid="{5A7A06D6-4AED-4581-B6EF-AB977CCD5156}" name="MONTANT PAYE" dataDxfId="211" dataCellStyle="Milliers [0]"/>
    <tableColumn id="23" xr3:uid="{74456E3D-A6B9-46FA-B730-1B88B7362167}" name="SOLDE" dataDxfId="210" dataCellStyle="Milliers [0]">
      <calculatedColumnFormula>+ROUND(Tableau330[[#This Row],[NET A PAYER]],0)-Tableau330[[#This Row],[MONTANT PAYE]]</calculatedColumnFormula>
    </tableColumn>
    <tableColumn id="22" xr3:uid="{C4686C2F-7154-42B9-BA90-D105596693D3}" name="DELAI_PAIEMENT" dataDxfId="209" dataCellStyle="Milliers [0]"/>
    <tableColumn id="21" xr3:uid="{5220A56E-84CA-4A51-A098-17A35927E2A4}" name="DATE ECHEANCE" dataDxfId="208" dataCellStyle="Milliers [0]">
      <calculatedColumnFormula>+Tableau330[[#This Row],[DELAI_PAIEMENT]]+Tableau330[[#This Row],[DATE ]]</calculatedColumnFormula>
    </tableColumn>
    <tableColumn id="7" xr3:uid="{89304952-8988-489D-A5C7-55B62A8831F8}" name="NATURE COMPTABLE " dataDxfId="207"/>
    <tableColumn id="8" xr3:uid="{248F88BE-3583-4AB1-98B5-9CFA71116216}" name="PAYE" dataDxfId="206"/>
    <tableColumn id="19" xr3:uid="{7A649378-4433-4290-9BCE-C51A1EDAA52A}" name="MODE" dataDxfId="205"/>
    <tableColumn id="25" xr3:uid="{7757E5B5-0DF0-42B1-BC44-6A6040F5A14F}" name="REFERENCE REGLEMENT" dataDxfId="204"/>
    <tableColumn id="15" xr3:uid="{6450638A-7EFE-4EFA-BE19-34F8EA25BBFF}" name="OBSERVATIONS" dataDxfId="20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Tableau529" displayName="Tableau529" ref="A2:AG4" totalsRowShown="0" headerRowDxfId="202">
  <autoFilter ref="A2:AG4" xr:uid="{00000000-0009-0000-0100-00001C000000}"/>
  <tableColumns count="33">
    <tableColumn id="16" xr3:uid="{00000000-0010-0000-0000-000010000000}" name="N°" dataDxfId="201">
      <calculatedColumnFormula>+COUNTIF($J$2:J3,"="&amp;Tableau529[[#This Row],[POSTE BUDGETAIRE]])</calculatedColumnFormula>
    </tableColumn>
    <tableColumn id="1" xr3:uid="{00000000-0010-0000-0000-000001000000}" name="ENTITE"/>
    <tableColumn id="24" xr3:uid="{00000000-0010-0000-0000-000018000000}" name="SOUS ENTITE"/>
    <tableColumn id="2" xr3:uid="{00000000-0010-0000-0000-000002000000}" name="FOURNISSEUR"/>
    <tableColumn id="10" xr3:uid="{00000000-0010-0000-0000-00000A000000}" name="CONTRAT N°"/>
    <tableColumn id="34" xr3:uid="{00000000-0010-0000-0000-000022000000}" name="TYPE DE CONTRAT"/>
    <tableColumn id="9" xr3:uid="{00000000-0010-0000-0000-000009000000}" name="NATURE DE CONTRAT"/>
    <tableColumn id="22" xr3:uid="{00000000-0010-0000-0000-000016000000}" name="BIEN CONCERNE"/>
    <tableColumn id="8" xr3:uid="{00000000-0010-0000-0000-000008000000}" name="N° FICHE/DOSSIER"/>
    <tableColumn id="7" xr3:uid="{00000000-0010-0000-0000-000007000000}" name="POSTE BUDGETAIRE"/>
    <tableColumn id="3" xr3:uid="{00000000-0010-0000-0000-000003000000}" name="MONTANT HT" dataDxfId="200" dataCellStyle="Milliers"/>
    <tableColumn id="28" xr3:uid="{00000000-0010-0000-0000-00001C000000}" name="TAUX TVA" dataDxfId="199" dataCellStyle="Pourcentage"/>
    <tableColumn id="4" xr3:uid="{00000000-0010-0000-0000-000004000000}" name="TVA" dataDxfId="198" dataCellStyle="Milliers">
      <calculatedColumnFormula>+Tableau529[[#This Row],[MONTANT HT]]*Tableau529[[#This Row],[TAUX TVA]]</calculatedColumnFormula>
    </tableColumn>
    <tableColumn id="5" xr3:uid="{00000000-0010-0000-0000-000005000000}" name="MONTANT TTC" dataDxfId="197" dataCellStyle="Milliers">
      <calculatedColumnFormula>+Tableau529[[#This Row],[MONTANT HT]]+Tableau529[[#This Row],[TVA]]</calculatedColumnFormula>
    </tableColumn>
    <tableColumn id="17" xr3:uid="{00000000-0010-0000-0000-000011000000}" name="MONTANT PERIODIQUE" dataDxfId="196" dataCellStyle="Milliers"/>
    <tableColumn id="30" xr3:uid="{00000000-0010-0000-0000-00001E000000}" name="DUREE" dataDxfId="195" dataCellStyle="Milliers"/>
    <tableColumn id="29" xr3:uid="{00000000-0010-0000-0000-00001D000000}" name="UNITE_DUREE" dataDxfId="194" dataCellStyle="Milliers"/>
    <tableColumn id="31" xr3:uid="{00000000-0010-0000-0000-00001F000000}" name="DATE DE DEBUT" dataDxfId="193" dataCellStyle="Milliers"/>
    <tableColumn id="6" xr3:uid="{00000000-0010-0000-0000-000006000000}" name="JOUR DE PRELEVEMENT" dataDxfId="192" dataCellStyle="Milliers"/>
    <tableColumn id="32" xr3:uid="{00000000-0010-0000-0000-000020000000}" name="MOIS COUVERTS PAR VERSEMENT INITIAL"/>
    <tableColumn id="23" xr3:uid="{00000000-0010-0000-0000-000017000000}" name="PREMIERE DATE ECHEANCE" dataDxfId="191" dataCellStyle="Milliers"/>
    <tableColumn id="11" xr3:uid="{00000000-0010-0000-0000-00000B000000}" name="PROCHAINE ÉCHÉANCE" dataDxfId="190">
      <calculatedColumnFormula>IF(Tableau529[[#This Row],[PREMIERE DATE ECHEANCE]]="","",EDATE(Tableau529[[#This Row],[PREMIERE DATE ECHEANCE]],1)+COUNTIFS(Tableau529[[#This Row],[STATUT (PAYÉ/IMPAYÉ)]],"Impayé")*CHOOSE(MATCH(Tableau529[[#This Row],[PÉRIODICITÉ]],{"hebdomadaire";"quinzaine";"mensuelle";"bimestrielle";"trimestrielle";"semestrielle";"annuelle"},0),7,15,30,60,90,180,365))</calculatedColumnFormula>
    </tableColumn>
    <tableColumn id="13" xr3:uid="{00000000-0010-0000-0000-00000D000000}" name="PÉRIODICITÉ"/>
    <tableColumn id="14" xr3:uid="{00000000-0010-0000-0000-00000E000000}" name="DATE DERNIER PAIEMENT "/>
    <tableColumn id="19" xr3:uid="{00000000-0010-0000-0000-000013000000}" name="DATE PROCHAIN PRELEVEMENT" dataDxfId="189">
      <calculatedColumnFormula>IF(Tableau529[[#This Row],[PÉRIODICITÉ]]="mensuelle",DATE(YEAR(Tableau529[[#This Row],[DATE DE DEBUT]])+INT((MONTH(Tableau529[[#This Row],[DATE DE DEBUT]])+Tableau529[[#This Row],[MOIS COUVERTS PAR VERSEMENT INITIAL]]+Tableau529[[#This Row],[NBRE PRELEVEMENTS REALISES]]-Tableau529[[#This Row],[NBRE PRELEVEMENTS IMPAYES]]-1)/12),
MOD(MONTH(Tableau529[[#This Row],[DATE DE DEBUT]])+Tableau529[[#This Row],[MOIS COUVERTS PAR VERSEMENT INITIAL]]+Tableau529[[#This Row],[NBRE PRELEVEMENTS REALISES]]-Tableau529[[#This Row],[NBRE PRELEVEMENTS IMPAYES]]-1,12)+1,Tableau529[[#This Row],[JOUR DE PRELEVEMENT]]),
IF(Tableau529[[#This Row],[PÉRIODICITÉ]]="bimestrielle",DATE(YEAR(Tableau529[[#This Row],[DATE DE DEBUT]])+INT((MONTH(Tableau529[[#This Row],[DATE DE DEBUT]])+(Tableau529[[#This Row],[MOIS COUVERTS PAR VERSEMENT INITIAL]]+Tableau529[[#This Row],[NBRE PRELEVEMENTS REALISES]]-Tableau529[[#This Row],[NBRE PRELEVEMENTS IMPAYES]])*2-1)/12),
MOD(MONTH(Tableau529[[#This Row],[DATE DE DEBUT]])+(Tableau529[[#This Row],[MOIS COUVERTS PAR VERSEMENT INITIAL]]+Tableau529[[#This Row],[NBRE PRELEVEMENTS REALISES]]-Tableau529[[#This Row],[NBRE PRELEVEMENTS IMPAYES]])*2-1,12)+1,Tableau529[[#This Row],[JOUR DE PRELEVEMENT]]),
""))</calculatedColumnFormula>
    </tableColumn>
    <tableColumn id="12" xr3:uid="{00000000-0010-0000-0000-00000C000000}" name="STATUT (PAYÉ/IMPAYÉ)" dataDxfId="188">
      <calculatedColumnFormula>IFERROR(
    IF(Tableau529[[#This Row],[NBRE PRELEVEMENTS IMPAYES]]&lt;=0,"PAYÉ",
    IF(Tableau529[[#This Row],[NBRE PRELEVEMENTS REALISES]]&gt;0,"EN RETARD","IMPAYÉ")),"")</calculatedColumnFormula>
    </tableColumn>
    <tableColumn id="18" xr3:uid="{00000000-0010-0000-0000-000012000000}" name="NBRE PRELEVEMENTS REALISES" dataDxfId="187">
      <calculatedColumnFormula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
     )
     )
     -Tableau529[[#This Row],[MOIS COUVERTS PAR VERSEMENT INITIAL]]
 )
)</calculatedColumnFormula>
    </tableColumn>
    <tableColumn id="20" xr3:uid="{00000000-0010-0000-0000-000014000000}" name="NBRE PRELEVEMENTS IMPAYES" dataDxfId="186">
      <calculatedColumnFormula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7,15,30,60,90,180,365)
     )
     -Tableau529[[#This Row],[MOIS COUVERTS PAR VERSEMENT INITIAL]]
     -Tableau529[[#This Row],[NBRE PRELEVEMENTS REALISES]]
 )
)</calculatedColumnFormula>
    </tableColumn>
    <tableColumn id="33" xr3:uid="{00000000-0010-0000-0000-000021000000}" name="PROCHAINE ECHEANCE" dataDxfId="185">
      <calculatedColumnFormula>IF(W3="mensuelle",DATE(YEAR(X3),MONTH(X3)+1,DAY(X3)),
IF(W3="hebdomadaire",X3+7,
IF(W3="quinzaine",X3+14,
IF(W3="trimestrielle",DATE(YEAR(X3),MONTH(X3)+3,DAY(X3)),
IF(W3="semestrielle",DATE(YEAR(X3),MONTH(X3)+6,DAY(X3)),
IF(W3="annuelle",DATE(YEAR(X3),MONTH(X3)+12,DAY(X3)),
""))))))</calculatedColumnFormula>
    </tableColumn>
    <tableColumn id="21" xr3:uid="{00000000-0010-0000-0000-000015000000}" name="NBRE DE FACTURES RECUS"/>
    <tableColumn id="26" xr3:uid="{00000000-0010-0000-0000-00001A000000}" name="MODE DE PAIEMENT"/>
    <tableColumn id="27" xr3:uid="{00000000-0010-0000-0000-00001B000000}" name="RECONDUCTION"/>
    <tableColumn id="15" xr3:uid="{00000000-0010-0000-0000-00000F000000}" name="COMMENTAIR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Tableau15" displayName="Tableau15" ref="A1:I44" totalsRowCount="1">
  <autoFilter ref="A1:I43" xr:uid="{00000000-0009-0000-0100-00000C000000}"/>
  <sortState xmlns:xlrd2="http://schemas.microsoft.com/office/spreadsheetml/2017/richdata2" ref="A2:H38">
    <sortCondition ref="A1:A38"/>
  </sortState>
  <tableColumns count="9">
    <tableColumn id="1" xr3:uid="{00000000-0010-0000-0100-000001000000}" name="ENTITÉ" totalsRowLabel="Total"/>
    <tableColumn id="2" xr3:uid="{00000000-0010-0000-0100-000002000000}" name="DATE" dataDxfId="184"/>
    <tableColumn id="3" xr3:uid="{00000000-0010-0000-0100-000003000000}" name="TYPE D’INFORMATION"/>
    <tableColumn id="4" xr3:uid="{00000000-0010-0000-0100-000004000000}" name="MONTANT (FCFA)" totalsRowFunction="sum" dataDxfId="183" totalsRowDxfId="182" dataCellStyle="Milliers"/>
    <tableColumn id="5" xr3:uid="{00000000-0010-0000-0100-000005000000}" name="DESCRIPTION"/>
    <tableColumn id="9" xr3:uid="{00000000-0010-0000-0100-000009000000}" name="DEMANDEUR"/>
    <tableColumn id="8" xr3:uid="{00000000-0010-0000-0100-000008000000}" name="DELAI"/>
    <tableColumn id="6" xr3:uid="{00000000-0010-0000-0100-000006000000}" name="ÉCHÉANCE" dataDxfId="181">
      <calculatedColumnFormula>+Tableau15[[#This Row],[DATE]]+Tableau15[[#This Row],[DELAI]]</calculatedColumnFormula>
    </tableColumn>
    <tableColumn id="7" xr3:uid="{00000000-0010-0000-0100-000007000000}" name="STATUT" totalsRowFunction="count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1" displayName="Tableau1" ref="A1:N40" totalsRowCount="1" headerRowDxfId="180" dataDxfId="179">
  <autoFilter ref="A1:N39" xr:uid="{00000000-0009-0000-0100-000001000000}"/>
  <tableColumns count="14">
    <tableColumn id="1" xr3:uid="{00000000-0010-0000-0200-000001000000}" name="ENTITÉ" totalsRowFunction="custom" dataDxfId="178" totalsRowDxfId="177">
      <totalsRowFormula>+UPPER("Total")</totalsRowFormula>
    </tableColumn>
    <tableColumn id="2" xr3:uid="{00000000-0010-0000-0200-000002000000}" name="FOURNISSEUR" dataDxfId="176" totalsRowDxfId="175"/>
    <tableColumn id="16" xr3:uid="{00000000-0010-0000-0200-000010000000}" name="CONTACT" dataDxfId="174" totalsRowDxfId="173"/>
    <tableColumn id="3" xr3:uid="{00000000-0010-0000-0200-000003000000}" name="TYPE DE DETTES" dataDxfId="172" totalsRowDxfId="171"/>
    <tableColumn id="4" xr3:uid="{00000000-0010-0000-0200-000004000000}" name="TYPE DE DÉPENSE " dataDxfId="170" totalsRowDxfId="169"/>
    <tableColumn id="14" xr3:uid="{00000000-0010-0000-0200-00000E000000}" name="DETAIL DE LA DEPENSE" dataDxfId="168" totalsRowDxfId="167"/>
    <tableColumn id="5" xr3:uid="{00000000-0010-0000-0200-000005000000}" name="NUMÉRO DE FACTURE" dataDxfId="166" totalsRowDxfId="165"/>
    <tableColumn id="6" xr3:uid="{00000000-0010-0000-0200-000006000000}" name="DATE DE FACTURATION" dataDxfId="164" totalsRowDxfId="163"/>
    <tableColumn id="7" xr3:uid="{00000000-0010-0000-0200-000007000000}" name="MONTANT TTC" totalsRowFunction="sum" dataDxfId="162" totalsRowDxfId="161" dataCellStyle="Milliers"/>
    <tableColumn id="8" xr3:uid="{00000000-0010-0000-0200-000008000000}" name="ÉCHÉANCE" dataDxfId="160" totalsRowDxfId="159"/>
    <tableColumn id="9" xr3:uid="{00000000-0010-0000-0200-000009000000}" name="MONTANT ÉCHU" dataDxfId="158" totalsRowDxfId="157"/>
    <tableColumn id="10" xr3:uid="{00000000-0010-0000-0200-00000A000000}" name="MONTANT NON ÉCHU" dataDxfId="156" totalsRowDxfId="155"/>
    <tableColumn id="11" xr3:uid="{00000000-0010-0000-0200-00000B000000}" name="STATUT (PAYÉ / EN ATTENTE)" dataDxfId="154" totalsRowDxfId="153"/>
    <tableColumn id="12" xr3:uid="{00000000-0010-0000-0200-00000C000000}" name="DATE DE PAIEMENT" totalsRowFunction="count" dataDxfId="152" totalsRowDxfId="151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au614" displayName="Tableau614" ref="B2:B11" totalsRowShown="0">
  <autoFilter ref="B2:B11" xr:uid="{00000000-0009-0000-0100-00000D000000}"/>
  <tableColumns count="1">
    <tableColumn id="1" xr3:uid="{00000000-0010-0000-0300-000001000000}" name="ENTITÉ 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Tableau715" displayName="Tableau715" ref="D2:E9" totalsRowShown="0">
  <autoFilter ref="D2:E9" xr:uid="{00000000-0009-0000-0100-00000E000000}"/>
  <tableColumns count="2">
    <tableColumn id="1" xr3:uid="{00000000-0010-0000-0400-000001000000}" name="TYPE DE DETTE "/>
    <tableColumn id="2" xr3:uid="{00000000-0010-0000-0400-000002000000}" name="CAS DE FIGURE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Tableau816" displayName="Tableau816" ref="K2:K4" totalsRowShown="0">
  <autoFilter ref="K2:K4" xr:uid="{00000000-0009-0000-0100-00000F000000}"/>
  <tableColumns count="1">
    <tableColumn id="1" xr3:uid="{00000000-0010-0000-0500-000001000000}" name="ÉTAT DE LA DETTE 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Tableau917" displayName="Tableau917" ref="M2:M5" totalsRowShown="0">
  <autoFilter ref="M2:M5" xr:uid="{00000000-0009-0000-0100-000010000000}"/>
  <tableColumns count="1">
    <tableColumn id="1" xr3:uid="{00000000-0010-0000-0600-000001000000}" name="STATUT BC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Tableau1018" displayName="Tableau1018" ref="I2:I5" totalsRowShown="0">
  <autoFilter ref="I2:I5" xr:uid="{00000000-0009-0000-0100-000011000000}"/>
  <tableColumns count="1">
    <tableColumn id="1" xr3:uid="{00000000-0010-0000-0700-000001000000}" name="CATEGORIE FINANCIERE"/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8000000}" name="Tableau11" displayName="Tableau11" ref="O2:O4" totalsRowShown="0">
  <autoFilter ref="O2:O4" xr:uid="{00000000-0009-0000-0100-000012000000}"/>
  <tableColumns count="1">
    <tableColumn id="1" xr3:uid="{00000000-0010-0000-0800-000001000000}" name="TRANSACTION INTRACOMMERCIALE"/>
  </tableColumns>
  <tableStyleInfo name="TableStyleMedium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ableau14" displayName="Tableau14" ref="G2:G17" totalsRowShown="0">
  <autoFilter ref="G2:G17" xr:uid="{00000000-0009-0000-0100-000013000000}"/>
  <tableColumns count="1">
    <tableColumn id="1" xr3:uid="{00000000-0010-0000-0900-000001000000}" name="TYPE D’ INFORMATION"/>
  </tableColumns>
  <tableStyleInfo name="TableStyleMedium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leau16" displayName="Tableau16" ref="D12:D14" totalsRowShown="0">
  <autoFilter ref="D12:D14" xr:uid="{00000000-0009-0000-0100-000014000000}"/>
  <tableColumns count="1">
    <tableColumn id="1" xr3:uid="{00000000-0010-0000-0A00-000001000000}" name="TYPE D'ENGAGEMENT"/>
  </tableColumns>
  <tableStyleInfo name="TableStyleMedium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eau10" displayName="Tableau10" ref="I10:I18" totalsRowShown="0">
  <autoFilter ref="I10:I18" xr:uid="{00000000-0009-0000-0100-00000A000000}"/>
  <tableColumns count="1">
    <tableColumn id="1" xr3:uid="{00000000-0010-0000-0B00-000001000000}" name="POSTE TRESORERIE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eau2" displayName="Tableau2" ref="K7:K10" totalsRowShown="0" dataCellStyle="Pourcentage">
  <autoFilter ref="K7:K10" xr:uid="{00000000-0009-0000-0100-000002000000}"/>
  <tableColumns count="1">
    <tableColumn id="1" xr3:uid="{00000000-0010-0000-0C00-000001000000}" name="TAUX TVA" dataCellStyle="Pourcentage"/>
  </tableColumns>
  <tableStyleInfo name="TableStyleMedium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D000000}" name="Tableau9" displayName="Tableau9" ref="D17:D24" totalsRowShown="0">
  <autoFilter ref="D17:D24" xr:uid="{00000000-0009-0000-0100-000009000000}"/>
  <tableColumns count="1">
    <tableColumn id="1" xr3:uid="{00000000-0010-0000-0D00-000001000000}" name="PERIODICITE"/>
  </tableColumns>
  <tableStyleInfo name="TableStyleMedium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E000000}" name="Tableau2229" displayName="Tableau2229" ref="A3:Y93" headerRowDxfId="150" dataDxfId="148" headerRowBorderDxfId="149" tableBorderDxfId="147">
  <autoFilter ref="A3:Y93" xr:uid="{00000000-0009-0000-0100-000008000000}"/>
  <tableColumns count="25">
    <tableColumn id="1" xr3:uid="{00000000-0010-0000-0E00-000001000000}" name="ENTITE" totalsRowLabel="Total" dataDxfId="146" totalsRowDxfId="145"/>
    <tableColumn id="29" xr3:uid="{00000000-0010-0000-0E00-00001D000000}" name="DATE DE SAISIE" dataDxfId="144" totalsRowDxfId="143"/>
    <tableColumn id="28" xr3:uid="{00000000-0010-0000-0E00-00001C000000}" name="DATE_FICHE" dataDxfId="142" totalsRowDxfId="141"/>
    <tableColumn id="26" xr3:uid="{00000000-0010-0000-0E00-00001A000000}" name="N° FICHE/DOSSIER" dataDxfId="140" totalsRowDxfId="139"/>
    <tableColumn id="5" xr3:uid="{00000000-0010-0000-0E00-000005000000}" name=" N° FACTURE/REF" dataDxfId="138" totalsRowDxfId="137"/>
    <tableColumn id="2" xr3:uid="{00000000-0010-0000-0E00-000002000000}" name="TYPE D'ENGAGEMENT" dataDxfId="136" totalsRowDxfId="135"/>
    <tableColumn id="3" xr3:uid="{00000000-0010-0000-0E00-000003000000}" name="TYPE DE DETTE" dataDxfId="134" totalsRowDxfId="133"/>
    <tableColumn id="25" xr3:uid="{00000000-0010-0000-0E00-000019000000}" name="DEMANDEUR" dataDxfId="132" totalsRowDxfId="131"/>
    <tableColumn id="4" xr3:uid="{00000000-0010-0000-0E00-000004000000}" name="FOURNISSEUR/ORGANISME/TIERS" dataDxfId="130" totalsRowDxfId="129"/>
    <tableColumn id="24" xr3:uid="{00000000-0010-0000-0E00-000018000000}" name="TYPE TIERS HORS OU INTRA GROUPE" dataDxfId="128" totalsRowDxfId="127"/>
    <tableColumn id="22" xr3:uid="{00000000-0010-0000-0E00-000016000000}" name="NATURE " dataDxfId="126" totalsRowDxfId="125"/>
    <tableColumn id="23" xr3:uid="{00000000-0010-0000-0E00-000017000000}" name="DETAIL" dataDxfId="124" totalsRowDxfId="123"/>
    <tableColumn id="27" xr3:uid="{00000000-0010-0000-0E00-00001B000000}" name="CENTRE IMPUTATION" dataDxfId="122" totalsRowDxfId="121"/>
    <tableColumn id="8" xr3:uid="{00000000-0010-0000-0E00-000008000000}" name="MONTANT HT" totalsRowFunction="sum" dataDxfId="120" totalsRowDxfId="119" dataCellStyle="Milliers"/>
    <tableColumn id="19" xr3:uid="{00000000-0010-0000-0E00-000013000000}" name="TAUX TVA" dataDxfId="118" totalsRowDxfId="117" dataCellStyle="Pourcentage"/>
    <tableColumn id="20" xr3:uid="{00000000-0010-0000-0E00-000014000000}" name="MONTANT TVA" totalsRowFunction="sum" dataDxfId="116" totalsRowDxfId="115" dataCellStyle="Milliers">
      <calculatedColumnFormula>+Tableau2229[[#This Row],[MONTANT HT]]*Tableau2229[[#This Row],[TAUX TVA]]</calculatedColumnFormula>
    </tableColumn>
    <tableColumn id="21" xr3:uid="{00000000-0010-0000-0E00-000015000000}" name="MONTANT TTC" totalsRowFunction="sum" dataDxfId="114" totalsRowDxfId="113" dataCellStyle="Milliers">
      <calculatedColumnFormula>+Tableau2229[[#This Row],[MONTANT HT]]+Tableau2229[[#This Row],[MONTANT TVA]]</calculatedColumnFormula>
    </tableColumn>
    <tableColumn id="9" xr3:uid="{00000000-0010-0000-0E00-000009000000}" name="MONTANT PAYÉ (FCFA)" dataDxfId="112" totalsRowDxfId="111" dataCellStyle="Milliers"/>
    <tableColumn id="10" xr3:uid="{00000000-0010-0000-0E00-00000A000000}" name="SOLDE RESTANT (FCFA)" dataDxfId="110" totalsRowDxfId="109" dataCellStyle="Milliers">
      <calculatedColumnFormula>+Tableau2229[[#This Row],[MONTANT TTC]]-Tableau2229[[#This Row],[MONTANT PAYÉ (FCFA)]]</calculatedColumnFormula>
    </tableColumn>
    <tableColumn id="11" xr3:uid="{00000000-0010-0000-0E00-00000B000000}" name="LITIGE DÉTECTÉ" dataDxfId="108" totalsRowDxfId="107"/>
    <tableColumn id="12" xr3:uid="{00000000-0010-0000-0E00-00000C000000}" name="DÉTAILS LITIGE" dataDxfId="106" totalsRowDxfId="105"/>
    <tableColumn id="13" xr3:uid="{00000000-0010-0000-0E00-00000D000000}" name="ÉTAT" dataDxfId="104" totalsRowDxfId="103"/>
    <tableColumn id="14" xr3:uid="{00000000-0010-0000-0E00-00000E000000}" name="BON DE COMMANDE N°" dataDxfId="102" totalsRowDxfId="101"/>
    <tableColumn id="15" xr3:uid="{00000000-0010-0000-0E00-00000F000000}" name="CONCORDANCE AVEC BC" dataDxfId="100" totalsRowDxfId="99"/>
    <tableColumn id="16" xr3:uid="{00000000-0010-0000-0E00-000010000000}" name="OBSERVATIONS" totalsRowFunction="count" dataDxfId="98" totalsRowDxfId="97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0000000}" name="Tableau222" displayName="Tableau222" ref="A3:AC155" totalsRowCount="1" headerRowDxfId="96" dataDxfId="94" headerRowBorderDxfId="95" tableBorderDxfId="93">
  <autoFilter ref="A3:AC154" xr:uid="{00000000-0009-0000-0100-000015000000}"/>
  <tableColumns count="29">
    <tableColumn id="1" xr3:uid="{00000000-0010-0000-1000-000001000000}" name="ENTITE" totalsRowLabel="Total" dataDxfId="92" totalsRowDxfId="91"/>
    <tableColumn id="29" xr3:uid="{00000000-0010-0000-1000-00001D000000}" name="DATE DE SAISIE" dataDxfId="90" totalsRowDxfId="89"/>
    <tableColumn id="28" xr3:uid="{00000000-0010-0000-1000-00001C000000}" name="DATE_FICHE" dataDxfId="88" totalsRowDxfId="87"/>
    <tableColumn id="6" xr3:uid="{00000000-0010-0000-1000-000006000000}" name="DATE_FACTURE" dataDxfId="86" totalsRowDxfId="85"/>
    <tableColumn id="26" xr3:uid="{00000000-0010-0000-1000-00001A000000}" name="N° FICHE/DOSSIER" dataDxfId="84" totalsRowDxfId="83"/>
    <tableColumn id="5" xr3:uid="{00000000-0010-0000-1000-000005000000}" name=" N° FACTURE/REF" dataDxfId="82" totalsRowDxfId="81"/>
    <tableColumn id="2" xr3:uid="{00000000-0010-0000-1000-000002000000}" name="TYPE D'ENGAGEMENT" dataDxfId="80" totalsRowDxfId="79"/>
    <tableColumn id="3" xr3:uid="{00000000-0010-0000-1000-000003000000}" name="TYPE DE DETTE" dataDxfId="78" totalsRowDxfId="77"/>
    <tableColumn id="25" xr3:uid="{00000000-0010-0000-1000-000019000000}" name="DEMANDEUR" dataDxfId="76" totalsRowDxfId="75"/>
    <tableColumn id="4" xr3:uid="{00000000-0010-0000-1000-000004000000}" name="FOURNISSEUR/ORGANISME/TIERS" dataDxfId="74" totalsRowDxfId="73"/>
    <tableColumn id="24" xr3:uid="{00000000-0010-0000-1000-000018000000}" name="TYPE TIERS HORS OU INTRA GROUPE" dataDxfId="72" totalsRowDxfId="71"/>
    <tableColumn id="22" xr3:uid="{00000000-0010-0000-1000-000016000000}" name="NATURE " dataDxfId="70" totalsRowDxfId="69"/>
    <tableColumn id="23" xr3:uid="{00000000-0010-0000-1000-000017000000}" name="DETAIL" dataDxfId="68" totalsRowDxfId="67"/>
    <tableColumn id="27" xr3:uid="{00000000-0010-0000-1000-00001B000000}" name="CENTRE IMPUTATION" dataDxfId="66" totalsRowDxfId="65"/>
    <tableColumn id="8" xr3:uid="{00000000-0010-0000-1000-000008000000}" name="MONTANT HT" totalsRowFunction="sum" dataDxfId="64" totalsRowDxfId="63" dataCellStyle="Milliers"/>
    <tableColumn id="19" xr3:uid="{00000000-0010-0000-1000-000013000000}" name="TAUX TVA" dataDxfId="62" totalsRowDxfId="61" dataCellStyle="Pourcentage"/>
    <tableColumn id="20" xr3:uid="{00000000-0010-0000-1000-000014000000}" name="MONTANT TVA" totalsRowFunction="sum" dataDxfId="60" totalsRowDxfId="59" dataCellStyle="Milliers">
      <calculatedColumnFormula>+Tableau222[[#This Row],[MONTANT HT]]*Tableau222[[#This Row],[TAUX TVA]]</calculatedColumnFormula>
    </tableColumn>
    <tableColumn id="21" xr3:uid="{00000000-0010-0000-1000-000015000000}" name="MONTANT TTC" totalsRowFunction="sum" dataDxfId="58" totalsRowDxfId="57" dataCellStyle="Milliers">
      <calculatedColumnFormula>+Tableau222[[#This Row],[MONTANT HT]]+Tableau222[[#This Row],[MONTANT TVA]]</calculatedColumnFormula>
    </tableColumn>
    <tableColumn id="17" xr3:uid="{00000000-0010-0000-1000-000011000000}" name="DELAIS" dataDxfId="56" totalsRowDxfId="55" dataCellStyle="Milliers"/>
    <tableColumn id="7" xr3:uid="{00000000-0010-0000-1000-000007000000}" name="DATE ÉCHÉANCE__x000a_ENGAGEMENT" dataDxfId="54" totalsRowDxfId="53">
      <calculatedColumnFormula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calculatedColumnFormula>
    </tableColumn>
    <tableColumn id="18" xr3:uid="{00000000-0010-0000-1000-000012000000}" name="NBRE DE JOURS AVANT ECHEANCE" dataDxfId="52" totalsRowDxfId="51"/>
    <tableColumn id="9" xr3:uid="{00000000-0010-0000-1000-000009000000}" name="MONTANT PAYÉ (FCFA)" totalsRowFunction="sum" dataDxfId="50" totalsRowDxfId="49" dataCellStyle="Milliers"/>
    <tableColumn id="10" xr3:uid="{00000000-0010-0000-1000-00000A000000}" name="SOLDE RESTANT (FCFA)" totalsRowFunction="sum" dataDxfId="48" totalsRowDxfId="47" dataCellStyle="Milliers">
      <calculatedColumnFormula>+Tableau222[[#This Row],[MONTANT TTC]]-Tableau222[[#This Row],[MONTANT PAYÉ (FCFA)]]</calculatedColumnFormula>
    </tableColumn>
    <tableColumn id="11" xr3:uid="{00000000-0010-0000-1000-00000B000000}" name="LITIGE DÉTECTÉ" dataDxfId="46" totalsRowDxfId="45"/>
    <tableColumn id="12" xr3:uid="{00000000-0010-0000-1000-00000C000000}" name="DÉTAILS LITIGE" dataDxfId="44" totalsRowDxfId="43"/>
    <tableColumn id="13" xr3:uid="{00000000-0010-0000-1000-00000D000000}" name="ÉTAT" dataDxfId="42" totalsRowDxfId="41"/>
    <tableColumn id="14" xr3:uid="{00000000-0010-0000-1000-00000E000000}" name="BON DE COMMANDE N°" dataDxfId="40" totalsRowDxfId="39"/>
    <tableColumn id="15" xr3:uid="{00000000-0010-0000-1000-00000F000000}" name="CONCORDANCE AVEC BC" dataDxfId="38" totalsRowDxfId="37"/>
    <tableColumn id="16" xr3:uid="{00000000-0010-0000-1000-000010000000}" name="OBSERVATIONS" totalsRowFunction="count" dataDxfId="36" totalsRowDxfId="35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1000000}" name="Tableau5" displayName="Tableau5" ref="A2:AF58" totalsRowShown="0" headerRowDxfId="34">
  <autoFilter ref="A2:AF58" xr:uid="{00000000-0009-0000-0100-000005000000}"/>
  <tableColumns count="32">
    <tableColumn id="16" xr3:uid="{00000000-0010-0000-1100-000010000000}" name="N°" dataDxfId="33">
      <calculatedColumnFormula>+COUNTIF($J$2:J3,"="&amp;Tableau5[[#This Row],[POSTE BUDGETAIRE]])</calculatedColumnFormula>
    </tableColumn>
    <tableColumn id="1" xr3:uid="{00000000-0010-0000-1100-000001000000}" name="ENTITE"/>
    <tableColumn id="24" xr3:uid="{00000000-0010-0000-1100-000018000000}" name="SOUS ENTITE"/>
    <tableColumn id="2" xr3:uid="{00000000-0010-0000-1100-000002000000}" name="FOURNISSEUR"/>
    <tableColumn id="10" xr3:uid="{00000000-0010-0000-1100-00000A000000}" name="CONTRAT N°"/>
    <tableColumn id="34" xr3:uid="{00000000-0010-0000-1100-000022000000}" name="TYPE DE CONTRAT"/>
    <tableColumn id="9" xr3:uid="{00000000-0010-0000-1100-000009000000}" name="NATURE DE CONTRAT"/>
    <tableColumn id="22" xr3:uid="{00000000-0010-0000-1100-000016000000}" name="BIEN CONCERNE"/>
    <tableColumn id="8" xr3:uid="{00000000-0010-0000-1100-000008000000}" name="N° FICHE/DOSSIER"/>
    <tableColumn id="7" xr3:uid="{00000000-0010-0000-1100-000007000000}" name="POSTE BUDGETAIRE"/>
    <tableColumn id="3" xr3:uid="{00000000-0010-0000-1100-000003000000}" name="MONTANT HT" dataDxfId="32" dataCellStyle="Milliers"/>
    <tableColumn id="28" xr3:uid="{00000000-0010-0000-1100-00001C000000}" name="TAUX TVA" dataDxfId="31" dataCellStyle="Pourcentage"/>
    <tableColumn id="4" xr3:uid="{00000000-0010-0000-1100-000004000000}" name="TVA" dataDxfId="30" dataCellStyle="Milliers">
      <calculatedColumnFormula>+Tableau5[[#This Row],[MONTANT HT]]*Tableau5[[#This Row],[TAUX TVA]]</calculatedColumnFormula>
    </tableColumn>
    <tableColumn id="5" xr3:uid="{00000000-0010-0000-1100-000005000000}" name="MONTANT TTC" dataDxfId="29" dataCellStyle="Milliers">
      <calculatedColumnFormula>+Tableau5[[#This Row],[MONTANT HT]]+Tableau5[[#This Row],[TVA]]</calculatedColumnFormula>
    </tableColumn>
    <tableColumn id="17" xr3:uid="{00000000-0010-0000-1100-000011000000}" name="MONTANT PERIODIQUE" dataDxfId="28" dataCellStyle="Milliers"/>
    <tableColumn id="30" xr3:uid="{00000000-0010-0000-1100-00001E000000}" name="DUREE" dataDxfId="27" dataCellStyle="Milliers"/>
    <tableColumn id="29" xr3:uid="{00000000-0010-0000-1100-00001D000000}" name="UNITE_DUREE" dataDxfId="26" dataCellStyle="Milliers"/>
    <tableColumn id="31" xr3:uid="{00000000-0010-0000-1100-00001F000000}" name="DATE DE DEBUT" dataDxfId="25" dataCellStyle="Milliers"/>
    <tableColumn id="6" xr3:uid="{00000000-0010-0000-1100-000006000000}" name="JOUR DE PRELEVEMENT" dataDxfId="24" dataCellStyle="Milliers"/>
    <tableColumn id="32" xr3:uid="{00000000-0010-0000-1100-000020000000}" name="MOIS COUVERTS PAR VERSEMENT INITIAL"/>
    <tableColumn id="23" xr3:uid="{00000000-0010-0000-1100-000017000000}" name="PREMIERE DATE ECHEANCE OU PREMIER PAIEMENT ABONNEMENT" dataDxfId="23" dataCellStyle="Milliers"/>
    <tableColumn id="11" xr3:uid="{00000000-0010-0000-1100-00000B000000}" name="PROCHAINE ÉCHÉANCE" dataDxfId="22">
      <calculatedColumnFormula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calculatedColumnFormula>
    </tableColumn>
    <tableColumn id="13" xr3:uid="{00000000-0010-0000-1100-00000D000000}" name="PÉRIODICITÉ"/>
    <tableColumn id="14" xr3:uid="{00000000-0010-0000-1100-00000E000000}" name="DATE DERNIER PAIEMENT "/>
    <tableColumn id="19" xr3:uid="{00000000-0010-0000-1100-000013000000}" name="DATE PROCHAIN PRELEVEMENT" dataDxfId="21">
      <calculatedColumnFormula>IF(W3="mensuelle",DATE(YEAR(X3)+INT((MONTH(X3)+T3-1)/12),MOD(MONTH(X3)+T3-1,12)+1,S3),IF(W3="BIMESTRIelle",DATE(YEAR(X3)+INT((MONTH(X3)+T3-1)/12),MOD(MONTH(X3)+T3*2-1,12)+1,S3),
IF(W3="trimestrielle",DATE(YEAR(X3)+INT((MONTH(X3)+T3*3-1)/12),MOD(MONTH(X3)+T3*3-1,12)+1,S3),
IF(W3="semestrielle",DATE(YEAR(X3)+INT((MONTH(X3)+T3*6-1)/12),MOD(MONTH(X3)+T3*6-1,12)+1,S3),
IF(W3="annuelle",DATE(YEAR(X3)+INT((MONTH(X3)+T3*12-1)/12),MOD(MONTH(X3)+T3*12-1,12)+1,S3),
IF(W3="hebdomadaire",X3+T3*7,
IF(W3="quinzaine",X3+T3*14,
"")))))))</calculatedColumnFormula>
    </tableColumn>
    <tableColumn id="12" xr3:uid="{00000000-0010-0000-1100-00000C000000}" name="STATUT (PAYÉ/IMPAYÉ)" dataDxfId="20">
      <calculatedColumnFormula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calculatedColumnFormula>
    </tableColumn>
    <tableColumn id="18" xr3:uid="{00000000-0010-0000-1100-000012000000}" name="NBRE PRELEVEMENTS DU A CE JOUR" dataDxfId="19">
      <calculatedColumnFormula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calculatedColumnFormula>
    </tableColumn>
    <tableColumn id="20" xr3:uid="{00000000-0010-0000-1100-000014000000}" name="NBRE PRELEVEMENTS IMPAYES" dataDxfId="18">
      <calculatedColumnFormula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calculatedColumnFormula>
    </tableColumn>
    <tableColumn id="21" xr3:uid="{00000000-0010-0000-1100-000015000000}" name="NBRE PRELEVEMENTS REALISES" dataDxfId="17">
      <calculatedColumnFormula>+Tableau5[[#This Row],[NBRE PRELEVEMENTS DU A CE JOUR]]-Tableau5[[#This Row],[NBRE PRELEVEMENTS IMPAYES]]</calculatedColumnFormula>
    </tableColumn>
    <tableColumn id="26" xr3:uid="{00000000-0010-0000-1100-00001A000000}" name="MODE DE PAIEMENT"/>
    <tableColumn id="27" xr3:uid="{00000000-0010-0000-1100-00001B000000}" name="RECONDUCTION"/>
    <tableColumn id="15" xr3:uid="{00000000-0010-0000-1100-00000F000000}" name="COMMENTAIRE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2000000}" name="Tableau327" displayName="Tableau327" ref="A2:K44" totalsRowShown="0" headerRowDxfId="16" dataDxfId="15">
  <autoFilter ref="A2:K44" xr:uid="{00000000-0009-0000-0100-00001A000000}"/>
  <tableColumns count="11">
    <tableColumn id="1" xr3:uid="{00000000-0010-0000-1200-000001000000}" name="ENTITE" dataDxfId="14"/>
    <tableColumn id="2" xr3:uid="{00000000-0010-0000-1200-000002000000}" name="DATE DE PAIEMENT" dataDxfId="13"/>
    <tableColumn id="3" xr3:uid="{00000000-0010-0000-1200-000003000000}" name="TYPE D'ENGAGEMENT" dataDxfId="12"/>
    <tableColumn id="4" xr3:uid="{00000000-0010-0000-1200-000004000000}" name="TYPE DE DETTE" dataDxfId="11"/>
    <tableColumn id="5" xr3:uid="{00000000-0010-0000-1200-000005000000}" name="FOURNISSEUR/ORGANISME" dataDxfId="10"/>
    <tableColumn id="6" xr3:uid="{00000000-0010-0000-1200-000006000000}" name="MONTANT PAYÉ (FCFA)" dataDxfId="9" dataCellStyle="Milliers"/>
    <tableColumn id="11" xr3:uid="{00000000-0010-0000-1200-00000B000000}" name="REF_JUSTIFICATIF" dataDxfId="8" dataCellStyle="Milliers"/>
    <tableColumn id="7" xr3:uid="{00000000-0010-0000-1200-000007000000}" name="MODE DE PAIEMENT" dataDxfId="7"/>
    <tableColumn id="9" xr3:uid="{00000000-0010-0000-1200-000009000000}" name="ETS FIN" dataDxfId="6"/>
    <tableColumn id="8" xr3:uid="{00000000-0010-0000-1200-000008000000}" name="RÉFÉRENCE PAIEMENT" dataDxfId="5"/>
    <tableColumn id="10" xr3:uid="{00000000-0010-0000-1200-00000A000000}" name="ENTITE INTERCO" dataDxfId="4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au123" displayName="Tableau123" ref="A2:L3" totalsRowShown="0">
  <autoFilter ref="A2:L3" xr:uid="{00000000-0009-0000-0100-000016000000}"/>
  <tableColumns count="12">
    <tableColumn id="1" xr3:uid="{00000000-0010-0000-1300-000001000000}" name="ENTITÉ"/>
    <tableColumn id="2" xr3:uid="{00000000-0010-0000-1300-000002000000}" name="RÉFÉRENCE"/>
    <tableColumn id="3" xr3:uid="{00000000-0010-0000-1300-000003000000}" name="TYPE DE DETTE FINANCIÈRE"/>
    <tableColumn id="12" xr3:uid="{00000000-0010-0000-1300-00000C000000}" name="CATÉGORIE"/>
    <tableColumn id="4" xr3:uid="{00000000-0010-0000-1300-000004000000}" name="DATE D'ÉCHÉANCE"/>
    <tableColumn id="5" xr3:uid="{00000000-0010-0000-1300-000005000000}" name="MONTANT INITIAL"/>
    <tableColumn id="6" xr3:uid="{00000000-0010-0000-1300-000006000000}" name="MONTANT RESTANT"/>
    <tableColumn id="7" xr3:uid="{00000000-0010-0000-1300-000007000000}" name="TAUX D'INTÉRÊT"/>
    <tableColumn id="8" xr3:uid="{00000000-0010-0000-1300-000008000000}" name="PAIEMENT MENSUEL"/>
    <tableColumn id="9" xr3:uid="{00000000-0010-0000-1300-000009000000}" name="DATE DE PAIEMENT"/>
    <tableColumn id="10" xr3:uid="{00000000-0010-0000-1300-00000A000000}" name="PAIEMENT EFFECTUÉ"/>
    <tableColumn id="11" xr3:uid="{00000000-0010-0000-1300-00000B000000}" name="SOLDE À PAYER"/>
  </tableColumns>
  <tableStyleInfo name="TableStyleMedium2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4000000}" name="Tableau6" displayName="Tableau6" ref="C2:J3" insertRow="1" totalsRowShown="0">
  <autoFilter ref="C2:J3" xr:uid="{00000000-0009-0000-0100-000006000000}"/>
  <tableColumns count="8">
    <tableColumn id="1" xr3:uid="{00000000-0010-0000-1400-000001000000}" name="ENTITÉ"/>
    <tableColumn id="2" xr3:uid="{00000000-0010-0000-1400-000002000000}" name="TYPE DE DÉCLARATION"/>
    <tableColumn id="3" xr3:uid="{00000000-0010-0000-1400-000003000000}" name=" DATE LIMITE"/>
    <tableColumn id="4" xr3:uid="{00000000-0010-0000-1400-000004000000}" name="MONTANT DÉCLARÉ"/>
    <tableColumn id="5" xr3:uid="{00000000-0010-0000-1400-000005000000}" name="MONTANT RÉGLÉ"/>
    <tableColumn id="6" xr3:uid="{00000000-0010-0000-1400-000006000000}" name="DATE DE PAIEMENT"/>
    <tableColumn id="7" xr3:uid="{00000000-0010-0000-1400-000007000000}" name=" STATUT"/>
    <tableColumn id="8" xr3:uid="{00000000-0010-0000-1400-000008000000}" name=" REMARQUES"/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Tableau12" displayName="Tableau12" ref="B2:J4" totalsRowShown="0">
  <autoFilter ref="B2:J4" xr:uid="{00000000-0009-0000-0100-000017000000}"/>
  <tableColumns count="9">
    <tableColumn id="1" xr3:uid="{00000000-0010-0000-1500-000001000000}" name="ENTITÉ"/>
    <tableColumn id="2" xr3:uid="{00000000-0010-0000-1500-000002000000}" name="TOTAL DETTES FOURNISSEURS"/>
    <tableColumn id="3" xr3:uid="{00000000-0010-0000-1500-000003000000}" name="TOTAL DETTES FISCALES"/>
    <tableColumn id="4" xr3:uid="{00000000-0010-0000-1500-000004000000}" name="TOTAL DETTES SOCIALES"/>
    <tableColumn id="5" xr3:uid="{00000000-0010-0000-1500-000005000000}" name="TOTAL DETTES FINANCIÈRES"/>
    <tableColumn id="6" xr3:uid="{00000000-0010-0000-1500-000006000000}" name="TOTAL DETTES GLOBALES"/>
    <tableColumn id="7" xr3:uid="{00000000-0010-0000-1500-000007000000}" name="DETTES ÉCHUES"/>
    <tableColumn id="8" xr3:uid="{00000000-0010-0000-1500-000008000000}" name="DETTES À ÉCHOIR (7 JOURS)"/>
    <tableColumn id="9" xr3:uid="{00000000-0010-0000-1500-000009000000}" name="TOP FOURNISSEUR/ORGANISME"/>
  </tableColumns>
  <tableStyleInfo name="TableStyleMedium2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eau426" displayName="Tableau426" ref="A2:H5" totalsRowShown="0" headerRowDxfId="3" headerRowBorderDxfId="2" tableBorderDxfId="1">
  <autoFilter ref="A2:H5" xr:uid="{00000000-0009-0000-0100-000019000000}"/>
  <tableColumns count="8">
    <tableColumn id="1" xr3:uid="{00000000-0010-0000-1600-000001000000}" name="ENTITÉ"/>
    <tableColumn id="2" xr3:uid="{00000000-0010-0000-1600-000002000000}" name="FOURNISSEUR/ORGANISME"/>
    <tableColumn id="3" xr3:uid="{00000000-0010-0000-1600-000003000000}" name="FACTURE N°"/>
    <tableColumn id="4" xr3:uid="{00000000-0010-0000-1600-000004000000}" name="DESCRIPTION DU LITIGE"/>
    <tableColumn id="5" xr3:uid="{00000000-0010-0000-1600-000005000000}" name="DATE DÉTECTION"/>
    <tableColumn id="6" xr3:uid="{00000000-0010-0000-1600-000006000000}" name="ACTION ENTREPRISE"/>
    <tableColumn id="7" xr3:uid="{00000000-0010-0000-1600-000007000000}" name="DATE RÉSOLUTION"/>
    <tableColumn id="8" xr3:uid="{00000000-0010-0000-1600-000008000000}" name="RESPONSABLE"/>
  </tableColumns>
  <tableStyleInfo name="TableStyleMedium2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au525" displayName="Tableau525" ref="A2:G5" totalsRowShown="0" headerRowDxfId="0">
  <autoFilter ref="A2:G5" xr:uid="{00000000-0009-0000-0100-000018000000}"/>
  <tableColumns count="7">
    <tableColumn id="1" xr3:uid="{00000000-0010-0000-1700-000001000000}" name="BON DE COMMANDE N°"/>
    <tableColumn id="2" xr3:uid="{00000000-0010-0000-1700-000002000000}" name="FOURNISSEUR"/>
    <tableColumn id="3" xr3:uid="{00000000-0010-0000-1700-000003000000}" name="DATE DE CRÉATION"/>
    <tableColumn id="4" xr3:uid="{00000000-0010-0000-1700-000004000000}" name="MONTANT COMMANDÉ (FCFA)"/>
    <tableColumn id="5" xr3:uid="{00000000-0010-0000-1700-000005000000}" name="MONTANT FACTURÉ (FCFA)"/>
    <tableColumn id="6" xr3:uid="{00000000-0010-0000-1700-000006000000}" name="CONCORDANCE"/>
    <tableColumn id="7" xr3:uid="{00000000-0010-0000-1700-000007000000}" name="OBSERVATIONS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Tableau112" displayName="Tableau112" ref="A2:L3" totalsRowShown="0">
  <autoFilter ref="A2:L3" xr:uid="{00000000-0009-0000-0100-00000B000000}"/>
  <tableColumns count="12">
    <tableColumn id="1" xr3:uid="{00000000-0010-0000-1800-000001000000}" name="ENTITÉ"/>
    <tableColumn id="2" xr3:uid="{00000000-0010-0000-1800-000002000000}" name="RÉFÉRENCE"/>
    <tableColumn id="3" xr3:uid="{00000000-0010-0000-1800-000003000000}" name="TYPE DE DETTE FINANCIÈRE"/>
    <tableColumn id="12" xr3:uid="{00000000-0010-0000-1800-00000C000000}" name="CATÉGORIE"/>
    <tableColumn id="13" xr3:uid="{00000000-0010-0000-1800-00000D000000}" name="INSTITUTION"/>
    <tableColumn id="5" xr3:uid="{00000000-0010-0000-1800-000005000000}" name="MONTANT INITIAL"/>
    <tableColumn id="10" xr3:uid="{00000000-0010-0000-1800-00000A000000}" name="MONTANT REMBOURSE"/>
    <tableColumn id="11" xr3:uid="{00000000-0010-0000-1800-00000B000000}" name="SOLDE RESTANT"/>
    <tableColumn id="4" xr3:uid="{00000000-0010-0000-1800-000004000000}" name="ÉCHÉANCE PROCHAINE"/>
    <tableColumn id="7" xr3:uid="{00000000-0010-0000-1800-000007000000}" name="TAUX D'INTÉRÊT"/>
    <tableColumn id="8" xr3:uid="{00000000-0010-0000-1800-000008000000}" name="PAIEMENT MENSUEL"/>
    <tableColumn id="9" xr3:uid="{00000000-0010-0000-1800-000009000000}" name="DATE DE PAIEMENT"/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9000000}" name="Tableau3" displayName="Tableau3" ref="A3:L5" totalsRowShown="0">
  <autoFilter ref="A3:L5" xr:uid="{00000000-0009-0000-0100-000003000000}"/>
  <tableColumns count="12">
    <tableColumn id="1" xr3:uid="{00000000-0010-0000-1900-000001000000}" name="ENTITE"/>
    <tableColumn id="2" xr3:uid="{00000000-0010-0000-1900-000002000000}" name="AFFAIRE"/>
    <tableColumn id="3" xr3:uid="{00000000-0010-0000-1900-000003000000}" name="CLIENT"/>
    <tableColumn id="4" xr3:uid="{00000000-0010-0000-1900-000004000000}" name="NUM_FACTURE"/>
    <tableColumn id="5" xr3:uid="{00000000-0010-0000-1900-000005000000}" name="DATE_FACTURE"/>
    <tableColumn id="6" xr3:uid="{00000000-0010-0000-1900-000006000000}" name="MONTANT HT"/>
    <tableColumn id="7" xr3:uid="{00000000-0010-0000-1900-000007000000}" name="TVA"/>
    <tableColumn id="8" xr3:uid="{00000000-0010-0000-1900-000008000000}" name="MONTANT TTC"/>
    <tableColumn id="11" xr3:uid="{00000000-0010-0000-1900-00000B000000}" name="DELAI"/>
    <tableColumn id="12" xr3:uid="{00000000-0010-0000-1900-00000C000000}" name="ECHEANCE"/>
    <tableColumn id="9" xr3:uid="{00000000-0010-0000-1900-000009000000}" name="DATE PAIEMENT"/>
    <tableColumn id="10" xr3:uid="{00000000-0010-0000-1900-00000A000000}" name="PAYE"/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A000000}" name="Tableau4" displayName="Tableau4" ref="A2:D4" totalsRowShown="0">
  <autoFilter ref="A2:D4" xr:uid="{00000000-0009-0000-0100-000004000000}"/>
  <tableColumns count="4">
    <tableColumn id="1" xr3:uid="{00000000-0010-0000-1A00-000001000000}" name="ENTITE"/>
    <tableColumn id="2" xr3:uid="{00000000-0010-0000-1A00-000002000000}" name="COMPTE TRESO"/>
    <tableColumn id="3" xr3:uid="{00000000-0010-0000-1A00-000003000000}" name="SOLDE "/>
    <tableColumn id="4" xr3:uid="{00000000-0010-0000-1A00-000004000000}" name="DATE DE REPOR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9583-3758-4E8D-9678-3EADDC4EC7E2}">
  <sheetPr>
    <tabColor theme="0" tint="-0.499984740745262"/>
    <pageSetUpPr fitToPage="1"/>
  </sheetPr>
  <dimension ref="A1:AA327"/>
  <sheetViews>
    <sheetView tabSelected="1" workbookViewId="0">
      <pane xSplit="1" ySplit="2" topLeftCell="B90" activePane="bottomRight" state="frozen"/>
      <selection pane="topRight" activeCell="B1" sqref="B1"/>
      <selection pane="bottomLeft" activeCell="A3" sqref="A3"/>
      <selection pane="bottomRight" activeCell="D99" sqref="D99"/>
    </sheetView>
  </sheetViews>
  <sheetFormatPr baseColWidth="10" defaultRowHeight="14.4" outlineLevelCol="1"/>
  <cols>
    <col min="1" max="1" width="11.21875" style="82" bestFit="1" customWidth="1"/>
    <col min="2" max="2" width="15.21875" style="82" bestFit="1" customWidth="1"/>
    <col min="3" max="3" width="10.77734375" style="82" bestFit="1" customWidth="1"/>
    <col min="4" max="4" width="20.88671875" style="82" bestFit="1" customWidth="1"/>
    <col min="5" max="5" width="42.21875" style="82" bestFit="1" customWidth="1"/>
    <col min="6" max="6" width="10.21875" style="82" bestFit="1" customWidth="1"/>
    <col min="7" max="7" width="9.88671875" style="82" bestFit="1" customWidth="1"/>
    <col min="8" max="8" width="81.5546875" style="82" bestFit="1" customWidth="1"/>
    <col min="9" max="9" width="11.77734375" style="82" bestFit="1" customWidth="1" outlineLevel="1"/>
    <col min="10" max="10" width="13" style="82" bestFit="1" customWidth="1" outlineLevel="1"/>
    <col min="11" max="11" width="20.44140625" style="82" bestFit="1" customWidth="1" outlineLevel="1"/>
    <col min="12" max="12" width="24" style="82" bestFit="1" customWidth="1" outlineLevel="1"/>
    <col min="13" max="13" width="14.88671875" style="82" bestFit="1" customWidth="1" outlineLevel="1"/>
    <col min="14" max="14" width="11.21875" style="82" bestFit="1" customWidth="1" outlineLevel="1"/>
    <col min="15" max="15" width="15.77734375" style="82" bestFit="1" customWidth="1" outlineLevel="1"/>
    <col min="16" max="16" width="10.21875" style="82" bestFit="1" customWidth="1" outlineLevel="1"/>
    <col min="17" max="17" width="15.6640625" style="82" bestFit="1" customWidth="1" outlineLevel="1"/>
    <col min="18" max="18" width="14.109375" style="82" bestFit="1" customWidth="1" outlineLevel="1"/>
    <col min="19" max="19" width="17" style="82" bestFit="1" customWidth="1" outlineLevel="1"/>
    <col min="20" max="20" width="11.21875" style="82" bestFit="1" customWidth="1" outlineLevel="1"/>
    <col min="21" max="21" width="18.109375" style="82" bestFit="1" customWidth="1"/>
    <col min="22" max="22" width="17.109375" style="82" bestFit="1" customWidth="1"/>
    <col min="23" max="23" width="21.77734375" style="82" bestFit="1" customWidth="1"/>
    <col min="24" max="24" width="7.5546875" style="82" bestFit="1" customWidth="1"/>
    <col min="25" max="25" width="9.44140625" style="82" bestFit="1" customWidth="1"/>
    <col min="26" max="26" width="30.33203125" style="82" bestFit="1" customWidth="1"/>
    <col min="27" max="27" width="49.88671875" style="82" bestFit="1" customWidth="1"/>
    <col min="28" max="16384" width="11.5546875" style="82"/>
  </cols>
  <sheetData>
    <row r="1" spans="1:27">
      <c r="J1" s="108" t="s">
        <v>806</v>
      </c>
      <c r="K1" s="135">
        <f>+SUBTOTAL(9,Tableau330[MONTANT HT BIENS])</f>
        <v>46204913.039999999</v>
      </c>
      <c r="L1" s="135">
        <f>+SUBTOTAL(9,Tableau330[[MONTANT HT SERVICES ]])</f>
        <v>23488773</v>
      </c>
      <c r="M1" s="135">
        <f>+SUBTOTAL(9,Tableau330[MONTANT HT])</f>
        <v>397914332.90677971</v>
      </c>
      <c r="N1" s="135">
        <f>+SUBTOTAL(9,Tableau330[TVA])</f>
        <v>46846525.00000003</v>
      </c>
      <c r="O1" s="135">
        <f>+SUBTOTAL(9,Tableau330[MONTANT TTC])</f>
        <v>444760857.90677965</v>
      </c>
      <c r="P1" s="135">
        <f>+SUBTOTAL(9,Tableau330[[TIMBRE ]])</f>
        <v>11999</v>
      </c>
      <c r="Q1" s="135">
        <f>+SUBTOTAL(9,Tableau330[AUTRES TAXES])</f>
        <v>37258</v>
      </c>
      <c r="R1" s="135">
        <f>+SUBTOTAL(9,Tableau330[MONTANT TTC])</f>
        <v>444760857.90677965</v>
      </c>
      <c r="S1" s="135">
        <f>+SUBTOTAL(9,Tableau330[MONTANT PAYE])</f>
        <v>427831713.4569965</v>
      </c>
      <c r="T1" s="135">
        <f>+SUBTOTAL(9,Tableau330[SOLDE])</f>
        <v>16978409.543003403</v>
      </c>
    </row>
    <row r="2" spans="1:27">
      <c r="A2" s="82" t="s">
        <v>807</v>
      </c>
      <c r="B2" s="134" t="s">
        <v>1422</v>
      </c>
      <c r="C2" s="82" t="s">
        <v>808</v>
      </c>
      <c r="D2" s="82" t="s">
        <v>809</v>
      </c>
      <c r="E2" s="82" t="s">
        <v>810</v>
      </c>
      <c r="F2" s="82" t="s">
        <v>811</v>
      </c>
      <c r="G2" s="82" t="s">
        <v>812</v>
      </c>
      <c r="H2" s="82" t="s">
        <v>813</v>
      </c>
      <c r="I2" s="82" t="s">
        <v>814</v>
      </c>
      <c r="J2" s="82" t="s">
        <v>815</v>
      </c>
      <c r="K2" s="82" t="s">
        <v>1443</v>
      </c>
      <c r="L2" s="82" t="s">
        <v>1444</v>
      </c>
      <c r="M2" s="134" t="s">
        <v>11</v>
      </c>
      <c r="N2" s="134" t="s">
        <v>12</v>
      </c>
      <c r="O2" s="134" t="s">
        <v>13</v>
      </c>
      <c r="P2" s="82" t="s">
        <v>816</v>
      </c>
      <c r="Q2" s="82" t="s">
        <v>817</v>
      </c>
      <c r="R2" s="134" t="s">
        <v>818</v>
      </c>
      <c r="S2" s="82" t="s">
        <v>1340</v>
      </c>
      <c r="T2" s="134" t="s">
        <v>1339</v>
      </c>
      <c r="U2" s="82" t="s">
        <v>1174</v>
      </c>
      <c r="V2" s="82" t="s">
        <v>1173</v>
      </c>
      <c r="W2" s="82" t="s">
        <v>1172</v>
      </c>
      <c r="X2" s="82" t="s">
        <v>15</v>
      </c>
      <c r="Y2" s="82" t="s">
        <v>1132</v>
      </c>
      <c r="Z2" s="84" t="s">
        <v>1341</v>
      </c>
      <c r="AA2" s="82" t="s">
        <v>250</v>
      </c>
    </row>
    <row r="3" spans="1:27">
      <c r="A3" s="83">
        <v>45609</v>
      </c>
      <c r="B3" s="83" t="str">
        <f>IF(ISBLANK(Tableau330[[#This Row],[DATE ]]),"",UPPER(PROPER(TEXT(Tableau330[[#This Row],[DATE ]],"mmmm yyyy"))))</f>
        <v>NOVEMBRE 2024</v>
      </c>
      <c r="C3" s="83" t="s">
        <v>824</v>
      </c>
      <c r="D3" s="120" t="s">
        <v>1014</v>
      </c>
      <c r="E3" s="82" t="s">
        <v>1015</v>
      </c>
      <c r="F3" s="120" t="s">
        <v>1016</v>
      </c>
      <c r="H3" s="82" t="s">
        <v>1224</v>
      </c>
      <c r="I3" s="82" t="s">
        <v>12</v>
      </c>
      <c r="J3" s="121">
        <v>1</v>
      </c>
      <c r="K3" s="121"/>
      <c r="L3" s="121"/>
      <c r="M3" s="122">
        <v>931016</v>
      </c>
      <c r="N3" s="122">
        <f>+IF(Tableau330[[#This Row],[CODE TVA]]="",0,ROUND(Tableau330[[#This Row],[MONTANT HT]]*0.18*Tableau330[[#This Row],[PRORATA D]],1))</f>
        <v>167582.9</v>
      </c>
      <c r="O3" s="122">
        <f>+IFERROR(Tableau330[[#This Row],[MONTANT HT]]+Tableau330[[#This Row],[TVA]],0)</f>
        <v>1098598.8999999999</v>
      </c>
      <c r="P3" s="122"/>
      <c r="Q3" s="122"/>
      <c r="R3" s="122">
        <f>+Tableau330[[#This Row],[MONTANT TTC]]+Tableau330[[#This Row],[TIMBRE ]]+Tableau330[[#This Row],[AUTRES TAXES]]</f>
        <v>1098598.8999999999</v>
      </c>
      <c r="S3" s="122">
        <v>1098598.8799999999</v>
      </c>
      <c r="T3" s="122">
        <f>+ROUND(Tableau330[[#This Row],[NET A PAYER]],0)-Tableau330[[#This Row],[MONTANT PAYE]]</f>
        <v>0.12000000011175871</v>
      </c>
      <c r="U3" s="122"/>
      <c r="V3" s="123">
        <f>+Tableau330[[#This Row],[DELAI_PAIEMENT]]+Tableau330[[#This Row],[DATE ]]</f>
        <v>45609</v>
      </c>
      <c r="Z3" s="120"/>
    </row>
    <row r="4" spans="1:27">
      <c r="A4" s="83">
        <v>45619</v>
      </c>
      <c r="B4" s="83" t="str">
        <f>IF(ISBLANK(Tableau330[[#This Row],[DATE ]]),"",UPPER(PROPER(TEXT(Tableau330[[#This Row],[DATE ]],"mmmm yyyy"))))</f>
        <v>NOVEMBRE 2024</v>
      </c>
      <c r="C4" s="83" t="s">
        <v>824</v>
      </c>
      <c r="D4" s="120" t="s">
        <v>1010</v>
      </c>
      <c r="E4" s="82" t="s">
        <v>1011</v>
      </c>
      <c r="F4" s="120" t="s">
        <v>1012</v>
      </c>
      <c r="H4" s="82" t="s">
        <v>1013</v>
      </c>
      <c r="I4" s="82" t="s">
        <v>12</v>
      </c>
      <c r="J4" s="121">
        <v>1</v>
      </c>
      <c r="K4" s="121"/>
      <c r="L4" s="121"/>
      <c r="M4" s="122">
        <v>10928</v>
      </c>
      <c r="N4" s="122">
        <f>+IF(Tableau330[[#This Row],[CODE TVA]]="",0,ROUND(Tableau330[[#This Row],[MONTANT HT]]*0.18*Tableau330[[#This Row],[PRORATA D]],1))</f>
        <v>1967</v>
      </c>
      <c r="O4" s="122">
        <f>+IFERROR(Tableau330[[#This Row],[MONTANT HT]]+Tableau330[[#This Row],[TVA]],0)</f>
        <v>12895</v>
      </c>
      <c r="P4" s="122"/>
      <c r="Q4" s="122"/>
      <c r="R4" s="122">
        <f>+Tableau330[[#This Row],[MONTANT TTC]]+Tableau330[[#This Row],[TIMBRE ]]+Tableau330[[#This Row],[AUTRES TAXES]]</f>
        <v>12895</v>
      </c>
      <c r="S4" s="122">
        <v>12895</v>
      </c>
      <c r="T4" s="122">
        <f>+ROUND(Tableau330[[#This Row],[NET A PAYER]],0)-Tableau330[[#This Row],[MONTANT PAYE]]</f>
        <v>0</v>
      </c>
      <c r="U4" s="122"/>
      <c r="V4" s="123">
        <f>+Tableau330[[#This Row],[DELAI_PAIEMENT]]+Tableau330[[#This Row],[DATE ]]</f>
        <v>45619</v>
      </c>
      <c r="Z4" s="120"/>
    </row>
    <row r="5" spans="1:27">
      <c r="A5" s="83">
        <v>45623</v>
      </c>
      <c r="B5" s="83" t="str">
        <f>IF(ISBLANK(Tableau330[[#This Row],[DATE ]]),"",UPPER(PROPER(TEXT(Tableau330[[#This Row],[DATE ]],"mmmm yyyy"))))</f>
        <v>NOVEMBRE 2024</v>
      </c>
      <c r="C5" s="83" t="s">
        <v>819</v>
      </c>
      <c r="D5" s="120" t="s">
        <v>1021</v>
      </c>
      <c r="E5" s="82" t="s">
        <v>1022</v>
      </c>
      <c r="F5" s="120" t="s">
        <v>1023</v>
      </c>
      <c r="H5" s="82" t="s">
        <v>1225</v>
      </c>
      <c r="J5" s="121"/>
      <c r="K5" s="121"/>
      <c r="L5" s="121"/>
      <c r="M5" s="122">
        <v>525000</v>
      </c>
      <c r="N5" s="122">
        <f>+IF(Tableau330[[#This Row],[CODE TVA]]="",0,ROUND(Tableau330[[#This Row],[MONTANT HT]]*0.18*Tableau330[[#This Row],[PRORATA D]],1))</f>
        <v>0</v>
      </c>
      <c r="O5" s="122">
        <f>+IFERROR(Tableau330[[#This Row],[MONTANT HT]]+Tableau330[[#This Row],[TVA]],0)</f>
        <v>525000</v>
      </c>
      <c r="P5" s="122"/>
      <c r="Q5" s="122"/>
      <c r="R5" s="122">
        <f>+Tableau330[[#This Row],[MONTANT TTC]]+Tableau330[[#This Row],[TIMBRE ]]+Tableau330[[#This Row],[AUTRES TAXES]]</f>
        <v>525000</v>
      </c>
      <c r="S5" s="122">
        <v>525000</v>
      </c>
      <c r="T5" s="122">
        <f>+ROUND(Tableau330[[#This Row],[NET A PAYER]],0)-Tableau330[[#This Row],[MONTANT PAYE]]</f>
        <v>0</v>
      </c>
      <c r="U5" s="122"/>
      <c r="V5" s="123">
        <f>+Tableau330[[#This Row],[DELAI_PAIEMENT]]+Tableau330[[#This Row],[DATE ]]</f>
        <v>45623</v>
      </c>
      <c r="Z5" s="120"/>
    </row>
    <row r="6" spans="1:27">
      <c r="A6" s="83">
        <v>45626</v>
      </c>
      <c r="B6" s="83" t="str">
        <f>IF(ISBLANK(Tableau330[[#This Row],[DATE ]]),"",UPPER(PROPER(TEXT(Tableau330[[#This Row],[DATE ]],"mmmm yyyy"))))</f>
        <v>NOVEMBRE 2024</v>
      </c>
      <c r="C6" s="83" t="s">
        <v>824</v>
      </c>
      <c r="D6" s="120" t="s">
        <v>1397</v>
      </c>
      <c r="E6" s="82" t="s">
        <v>1398</v>
      </c>
      <c r="F6" s="120" t="s">
        <v>1399</v>
      </c>
      <c r="G6" s="82" t="s">
        <v>822</v>
      </c>
      <c r="H6" s="82" t="s">
        <v>1400</v>
      </c>
      <c r="I6" s="82" t="s">
        <v>12</v>
      </c>
      <c r="J6" s="121">
        <v>1</v>
      </c>
      <c r="K6" s="121"/>
      <c r="L6" s="121"/>
      <c r="M6" s="122">
        <v>120512</v>
      </c>
      <c r="N6" s="122">
        <f>+IF(Tableau330[[#This Row],[CODE TVA]]="",0,ROUND(Tableau330[[#This Row],[MONTANT HT]]*0.18*Tableau330[[#This Row],[PRORATA D]],1))</f>
        <v>21692.2</v>
      </c>
      <c r="O6" s="122">
        <f>+IFERROR(Tableau330[[#This Row],[MONTANT HT]]+Tableau330[[#This Row],[TVA]],0)</f>
        <v>142204.20000000001</v>
      </c>
      <c r="P6" s="122"/>
      <c r="Q6" s="122">
        <v>7110</v>
      </c>
      <c r="R6" s="122">
        <f>+Tableau330[[#This Row],[MONTANT TTC]]+Tableau330[[#This Row],[TIMBRE ]]+Tableau330[[#This Row],[AUTRES TAXES]]</f>
        <v>149314.20000000001</v>
      </c>
      <c r="S6" s="122"/>
      <c r="T6" s="122">
        <f>+ROUND(Tableau330[[#This Row],[NET A PAYER]],0)-Tableau330[[#This Row],[MONTANT PAYE]]</f>
        <v>149314</v>
      </c>
      <c r="U6" s="122"/>
      <c r="V6" s="123">
        <f>+Tableau330[[#This Row],[DELAI_PAIEMENT]]+Tableau330[[#This Row],[DATE ]]</f>
        <v>45626</v>
      </c>
      <c r="X6" s="82" t="s">
        <v>1337</v>
      </c>
      <c r="Y6" s="82" t="s">
        <v>623</v>
      </c>
      <c r="Z6" s="120"/>
    </row>
    <row r="7" spans="1:27">
      <c r="A7" s="83">
        <v>45645</v>
      </c>
      <c r="B7" s="83" t="str">
        <f>IF(ISBLANK(Tableau330[[#This Row],[DATE ]]),"",UPPER(PROPER(TEXT(Tableau330[[#This Row],[DATE ]],"mmmm yyyy"))))</f>
        <v>DÉCEMBRE 2024</v>
      </c>
      <c r="C7" s="83" t="s">
        <v>824</v>
      </c>
      <c r="D7" s="120" t="s">
        <v>1062</v>
      </c>
      <c r="E7" s="82" t="s">
        <v>1056</v>
      </c>
      <c r="F7" s="120" t="s">
        <v>1057</v>
      </c>
      <c r="G7" s="82" t="s">
        <v>822</v>
      </c>
      <c r="H7" s="82" t="s">
        <v>1063</v>
      </c>
      <c r="I7" s="82" t="s">
        <v>12</v>
      </c>
      <c r="J7" s="121">
        <v>1</v>
      </c>
      <c r="K7" s="121"/>
      <c r="L7" s="121"/>
      <c r="M7" s="122">
        <v>88135593</v>
      </c>
      <c r="N7" s="122">
        <f>+IF(Tableau330[[#This Row],[CODE TVA]]="",0,ROUND(Tableau330[[#This Row],[MONTANT HT]]*0.18*Tableau330[[#This Row],[PRORATA D]],1))</f>
        <v>15864406.699999999</v>
      </c>
      <c r="O7" s="122">
        <f>+IFERROR(Tableau330[[#This Row],[MONTANT HT]]+Tableau330[[#This Row],[TVA]],0)</f>
        <v>103999999.7</v>
      </c>
      <c r="P7" s="122"/>
      <c r="Q7" s="122"/>
      <c r="R7" s="122">
        <f>+Tableau330[[#This Row],[MONTANT TTC]]+Tableau330[[#This Row],[TIMBRE ]]+Tableau330[[#This Row],[AUTRES TAXES]]</f>
        <v>103999999.7</v>
      </c>
      <c r="S7" s="122">
        <v>103999999.73999999</v>
      </c>
      <c r="T7" s="122">
        <f>+ROUND(Tableau330[[#This Row],[NET A PAYER]],0)-Tableau330[[#This Row],[MONTANT PAYE]]</f>
        <v>0.26000000536441803</v>
      </c>
      <c r="U7" s="122"/>
      <c r="V7" s="123">
        <f>+Tableau330[[#This Row],[DELAI_PAIEMENT]]+Tableau330[[#This Row],[DATE ]]</f>
        <v>45645</v>
      </c>
      <c r="Z7" s="120"/>
    </row>
    <row r="8" spans="1:27">
      <c r="A8" s="83">
        <v>45660</v>
      </c>
      <c r="B8" s="83" t="str">
        <f>IF(ISBLANK(Tableau330[[#This Row],[DATE ]]),"",UPPER(PROPER(TEXT(Tableau330[[#This Row],[DATE ]],"mmmm yyyy"))))</f>
        <v>JANVIER 2025</v>
      </c>
      <c r="C8" s="83" t="s">
        <v>824</v>
      </c>
      <c r="D8" s="120" t="s">
        <v>1080</v>
      </c>
      <c r="E8" s="82" t="s">
        <v>863</v>
      </c>
      <c r="F8" s="120" t="s">
        <v>864</v>
      </c>
      <c r="G8" s="82" t="s">
        <v>822</v>
      </c>
      <c r="H8" s="82" t="s">
        <v>865</v>
      </c>
      <c r="J8" s="121"/>
      <c r="K8" s="121"/>
      <c r="L8" s="121"/>
      <c r="M8" s="122">
        <v>14000</v>
      </c>
      <c r="N8" s="122">
        <f>+IF(Tableau330[[#This Row],[CODE TVA]]="",0,ROUND(Tableau330[[#This Row],[MONTANT HT]]*0.18*Tableau330[[#This Row],[PRORATA D]],1))</f>
        <v>0</v>
      </c>
      <c r="O8" s="122">
        <f>+IFERROR(Tableau330[[#This Row],[MONTANT HT]]+Tableau330[[#This Row],[TVA]],0)</f>
        <v>14000</v>
      </c>
      <c r="P8" s="122"/>
      <c r="Q8" s="122"/>
      <c r="R8" s="122">
        <f>+Tableau330[[#This Row],[MONTANT TTC]]+Tableau330[[#This Row],[TIMBRE ]]+Tableau330[[#This Row],[AUTRES TAXES]]</f>
        <v>14000</v>
      </c>
      <c r="S8" s="122">
        <v>14000</v>
      </c>
      <c r="T8" s="122">
        <f>+ROUND(Tableau330[[#This Row],[NET A PAYER]],0)-Tableau330[[#This Row],[MONTANT PAYE]]</f>
        <v>0</v>
      </c>
      <c r="U8" s="122"/>
      <c r="V8" s="123">
        <f>+Tableau330[[#This Row],[DELAI_PAIEMENT]]+Tableau330[[#This Row],[DATE ]]</f>
        <v>45660</v>
      </c>
      <c r="Z8" s="120"/>
    </row>
    <row r="9" spans="1:27">
      <c r="A9" s="83">
        <v>45660</v>
      </c>
      <c r="B9" s="83" t="str">
        <f>IF(ISBLANK(Tableau330[[#This Row],[DATE ]]),"",UPPER(PROPER(TEXT(Tableau330[[#This Row],[DATE ]],"mmmm yyyy"))))</f>
        <v>JANVIER 2025</v>
      </c>
      <c r="C9" s="83" t="s">
        <v>824</v>
      </c>
      <c r="D9" s="120" t="s">
        <v>1089</v>
      </c>
      <c r="E9" s="82" t="s">
        <v>832</v>
      </c>
      <c r="F9" s="120" t="s">
        <v>833</v>
      </c>
      <c r="H9" s="82" t="s">
        <v>992</v>
      </c>
      <c r="I9" s="82" t="s">
        <v>12</v>
      </c>
      <c r="J9" s="121"/>
      <c r="K9" s="121"/>
      <c r="L9" s="121"/>
      <c r="M9" s="122">
        <v>34000</v>
      </c>
      <c r="N9" s="122">
        <f>+IF(Tableau330[[#This Row],[CODE TVA]]="",0,ROUND(Tableau330[[#This Row],[MONTANT HT]]*0.18*Tableau330[[#This Row],[PRORATA D]],1))</f>
        <v>0</v>
      </c>
      <c r="O9" s="122">
        <f>+IFERROR(Tableau330[[#This Row],[MONTANT HT]]+Tableau330[[#This Row],[TVA]],0)</f>
        <v>34000</v>
      </c>
      <c r="P9" s="122"/>
      <c r="Q9" s="122"/>
      <c r="R9" s="122">
        <f>+Tableau330[[#This Row],[MONTANT TTC]]+Tableau330[[#This Row],[TIMBRE ]]+Tableau330[[#This Row],[AUTRES TAXES]]</f>
        <v>34000</v>
      </c>
      <c r="S9" s="122">
        <v>34000</v>
      </c>
      <c r="T9" s="122">
        <f>+ROUND(Tableau330[[#This Row],[NET A PAYER]],0)-Tableau330[[#This Row],[MONTANT PAYE]]</f>
        <v>0</v>
      </c>
      <c r="U9" s="122"/>
      <c r="V9" s="123">
        <f>+Tableau330[[#This Row],[DELAI_PAIEMENT]]+Tableau330[[#This Row],[DATE ]]</f>
        <v>45660</v>
      </c>
      <c r="Z9" s="120"/>
    </row>
    <row r="10" spans="1:27">
      <c r="A10" s="83">
        <v>45661</v>
      </c>
      <c r="B10" s="83" t="str">
        <f>IF(ISBLANK(Tableau330[[#This Row],[DATE ]]),"",UPPER(PROPER(TEXT(Tableau330[[#This Row],[DATE ]],"mmmm yyyy"))))</f>
        <v>JANVIER 2025</v>
      </c>
      <c r="C10" s="83" t="s">
        <v>819</v>
      </c>
      <c r="D10" s="120" t="s">
        <v>1071</v>
      </c>
      <c r="E10" s="82" t="s">
        <v>1072</v>
      </c>
      <c r="F10" s="120" t="s">
        <v>1073</v>
      </c>
      <c r="H10" s="82" t="s">
        <v>1226</v>
      </c>
      <c r="J10" s="121"/>
      <c r="K10" s="121"/>
      <c r="L10" s="121"/>
      <c r="M10" s="122">
        <v>498000</v>
      </c>
      <c r="N10" s="122">
        <f>+IF(Tableau330[[#This Row],[CODE TVA]]="",0,ROUND(Tableau330[[#This Row],[MONTANT HT]]*0.18*Tableau330[[#This Row],[PRORATA D]],1))</f>
        <v>0</v>
      </c>
      <c r="O10" s="122">
        <f>+IFERROR(Tableau330[[#This Row],[MONTANT HT]]+Tableau330[[#This Row],[TVA]],0)</f>
        <v>498000</v>
      </c>
      <c r="P10" s="122"/>
      <c r="Q10" s="122"/>
      <c r="R10" s="122">
        <f>+Tableau330[[#This Row],[MONTANT TTC]]+Tableau330[[#This Row],[TIMBRE ]]+Tableau330[[#This Row],[AUTRES TAXES]]</f>
        <v>498000</v>
      </c>
      <c r="S10" s="122">
        <v>498000</v>
      </c>
      <c r="T10" s="122">
        <f>+ROUND(Tableau330[[#This Row],[NET A PAYER]],0)-Tableau330[[#This Row],[MONTANT PAYE]]</f>
        <v>0</v>
      </c>
      <c r="U10" s="122"/>
      <c r="V10" s="123">
        <f>+Tableau330[[#This Row],[DELAI_PAIEMENT]]+Tableau330[[#This Row],[DATE ]]</f>
        <v>45661</v>
      </c>
      <c r="Z10" s="120"/>
    </row>
    <row r="11" spans="1:27">
      <c r="A11" s="83">
        <v>45661</v>
      </c>
      <c r="B11" s="83" t="str">
        <f>IF(ISBLANK(Tableau330[[#This Row],[DATE ]]),"",UPPER(PROPER(TEXT(Tableau330[[#This Row],[DATE ]],"mmmm yyyy"))))</f>
        <v>JANVIER 2025</v>
      </c>
      <c r="C11" s="83" t="s">
        <v>824</v>
      </c>
      <c r="D11" s="120" t="s">
        <v>1088</v>
      </c>
      <c r="E11" s="82" t="s">
        <v>832</v>
      </c>
      <c r="F11" s="120" t="s">
        <v>833</v>
      </c>
      <c r="H11" s="82" t="s">
        <v>1227</v>
      </c>
      <c r="I11" s="82" t="s">
        <v>12</v>
      </c>
      <c r="J11" s="121">
        <v>1</v>
      </c>
      <c r="K11" s="121"/>
      <c r="L11" s="121"/>
      <c r="M11" s="122">
        <v>10974</v>
      </c>
      <c r="N11" s="122">
        <f>+IF(Tableau330[[#This Row],[CODE TVA]]="",0,ROUND(Tableau330[[#This Row],[MONTANT HT]]*0.18*Tableau330[[#This Row],[PRORATA D]],1))</f>
        <v>1975.3</v>
      </c>
      <c r="O11" s="122">
        <f>+IFERROR(Tableau330[[#This Row],[MONTANT HT]]+Tableau330[[#This Row],[TVA]],0)</f>
        <v>12949.3</v>
      </c>
      <c r="P11" s="122"/>
      <c r="Q11" s="122"/>
      <c r="R11" s="122">
        <f>+Tableau330[[#This Row],[MONTANT TTC]]+Tableau330[[#This Row],[TIMBRE ]]+Tableau330[[#This Row],[AUTRES TAXES]]</f>
        <v>12949.3</v>
      </c>
      <c r="S11" s="122">
        <v>12949</v>
      </c>
      <c r="T11" s="122">
        <f>+ROUND(Tableau330[[#This Row],[NET A PAYER]],0)-Tableau330[[#This Row],[MONTANT PAYE]]</f>
        <v>0</v>
      </c>
      <c r="U11" s="122"/>
      <c r="V11" s="123">
        <f>+Tableau330[[#This Row],[DELAI_PAIEMENT]]+Tableau330[[#This Row],[DATE ]]</f>
        <v>45661</v>
      </c>
      <c r="Z11" s="120"/>
    </row>
    <row r="12" spans="1:27">
      <c r="A12" s="83">
        <v>45663</v>
      </c>
      <c r="B12" s="83" t="str">
        <f>IF(ISBLANK(Tableau330[[#This Row],[DATE ]]),"",UPPER(PROPER(TEXT(Tableau330[[#This Row],[DATE ]],"mmmm yyyy"))))</f>
        <v>JANVIER 2025</v>
      </c>
      <c r="C12" s="83" t="s">
        <v>824</v>
      </c>
      <c r="D12" s="120" t="s">
        <v>1017</v>
      </c>
      <c r="E12" s="82" t="s">
        <v>1015</v>
      </c>
      <c r="F12" s="120" t="s">
        <v>1016</v>
      </c>
      <c r="H12" s="82" t="s">
        <v>1018</v>
      </c>
      <c r="I12" s="82" t="s">
        <v>12</v>
      </c>
      <c r="J12" s="121">
        <v>1</v>
      </c>
      <c r="K12" s="121"/>
      <c r="L12" s="121"/>
      <c r="M12" s="122">
        <v>201271</v>
      </c>
      <c r="N12" s="122">
        <f>+IF(Tableau330[[#This Row],[CODE TVA]]="",0,ROUND(Tableau330[[#This Row],[MONTANT HT]]*0.18*Tableau330[[#This Row],[PRORATA D]],1))</f>
        <v>36228.800000000003</v>
      </c>
      <c r="O12" s="122">
        <f>+IFERROR(Tableau330[[#This Row],[MONTANT HT]]+Tableau330[[#This Row],[TVA]],0)</f>
        <v>237499.8</v>
      </c>
      <c r="P12" s="122"/>
      <c r="Q12" s="122"/>
      <c r="R12" s="122">
        <f>+Tableau330[[#This Row],[MONTANT TTC]]+Tableau330[[#This Row],[TIMBRE ]]+Tableau330[[#This Row],[AUTRES TAXES]]</f>
        <v>237499.8</v>
      </c>
      <c r="S12" s="122">
        <v>237499.78</v>
      </c>
      <c r="T12" s="122">
        <f>+ROUND(Tableau330[[#This Row],[NET A PAYER]],0)-Tableau330[[#This Row],[MONTANT PAYE]]</f>
        <v>0.22000000000116415</v>
      </c>
      <c r="U12" s="122"/>
      <c r="V12" s="123">
        <f>+Tableau330[[#This Row],[DELAI_PAIEMENT]]+Tableau330[[#This Row],[DATE ]]</f>
        <v>45663</v>
      </c>
      <c r="Z12" s="120"/>
    </row>
    <row r="13" spans="1:27">
      <c r="A13" s="83">
        <v>45663</v>
      </c>
      <c r="B13" s="83" t="str">
        <f>IF(ISBLANK(Tableau330[[#This Row],[DATE ]]),"",UPPER(PROPER(TEXT(Tableau330[[#This Row],[DATE ]],"mmmm yyyy"))))</f>
        <v>JANVIER 2025</v>
      </c>
      <c r="C13" s="83" t="s">
        <v>824</v>
      </c>
      <c r="D13" s="120" t="s">
        <v>1019</v>
      </c>
      <c r="E13" s="82" t="s">
        <v>1015</v>
      </c>
      <c r="F13" s="120" t="s">
        <v>1016</v>
      </c>
      <c r="H13" s="82" t="s">
        <v>1020</v>
      </c>
      <c r="I13" s="82" t="s">
        <v>12</v>
      </c>
      <c r="J13" s="121">
        <v>1</v>
      </c>
      <c r="K13" s="121"/>
      <c r="L13" s="121"/>
      <c r="M13" s="122">
        <v>550847.5</v>
      </c>
      <c r="N13" s="122">
        <f>+IF(Tableau330[[#This Row],[CODE TVA]]="",0,ROUND(Tableau330[[#This Row],[MONTANT HT]]*0.18*Tableau330[[#This Row],[PRORATA D]],1))</f>
        <v>99152.6</v>
      </c>
      <c r="O13" s="122">
        <f>+IFERROR(Tableau330[[#This Row],[MONTANT HT]]+Tableau330[[#This Row],[TVA]],0)</f>
        <v>650000.1</v>
      </c>
      <c r="P13" s="122"/>
      <c r="Q13" s="122"/>
      <c r="R13" s="122">
        <f>+Tableau330[[#This Row],[MONTANT TTC]]+Tableau330[[#This Row],[TIMBRE ]]+Tableau330[[#This Row],[AUTRES TAXES]]</f>
        <v>650000.1</v>
      </c>
      <c r="S13" s="122">
        <v>650000</v>
      </c>
      <c r="T13" s="122">
        <f>+ROUND(Tableau330[[#This Row],[NET A PAYER]],0)-Tableau330[[#This Row],[MONTANT PAYE]]</f>
        <v>0</v>
      </c>
      <c r="U13" s="122"/>
      <c r="V13" s="123">
        <f>+Tableau330[[#This Row],[DELAI_PAIEMENT]]+Tableau330[[#This Row],[DATE ]]</f>
        <v>45663</v>
      </c>
      <c r="Z13" s="120"/>
    </row>
    <row r="14" spans="1:27">
      <c r="A14" s="83">
        <v>45664</v>
      </c>
      <c r="B14" s="83" t="str">
        <f>IF(ISBLANK(Tableau330[[#This Row],[DATE ]]),"",UPPER(PROPER(TEXT(Tableau330[[#This Row],[DATE ]],"mmmm yyyy"))))</f>
        <v>JANVIER 2025</v>
      </c>
      <c r="C14" s="83" t="s">
        <v>824</v>
      </c>
      <c r="D14" s="120" t="s">
        <v>1074</v>
      </c>
      <c r="E14" s="82" t="s">
        <v>945</v>
      </c>
      <c r="F14" s="120" t="s">
        <v>946</v>
      </c>
      <c r="H14" s="82" t="s">
        <v>1075</v>
      </c>
      <c r="J14" s="121"/>
      <c r="K14" s="121"/>
      <c r="L14" s="121"/>
      <c r="M14" s="122">
        <v>8360</v>
      </c>
      <c r="N14" s="122">
        <f>+IF(Tableau330[[#This Row],[CODE TVA]]="",0,ROUND(Tableau330[[#This Row],[MONTANT HT]]*0.18*Tableau330[[#This Row],[PRORATA D]],1))</f>
        <v>0</v>
      </c>
      <c r="O14" s="122">
        <f>+IFERROR(Tableau330[[#This Row],[MONTANT HT]]+Tableau330[[#This Row],[TVA]],0)</f>
        <v>8360</v>
      </c>
      <c r="P14" s="122"/>
      <c r="Q14" s="122"/>
      <c r="R14" s="122">
        <f>+Tableau330[[#This Row],[MONTANT TTC]]+Tableau330[[#This Row],[TIMBRE ]]+Tableau330[[#This Row],[AUTRES TAXES]]</f>
        <v>8360</v>
      </c>
      <c r="S14" s="122">
        <v>8360</v>
      </c>
      <c r="T14" s="122">
        <f>+ROUND(Tableau330[[#This Row],[NET A PAYER]],0)-Tableau330[[#This Row],[MONTANT PAYE]]</f>
        <v>0</v>
      </c>
      <c r="U14" s="122"/>
      <c r="V14" s="123">
        <f>+Tableau330[[#This Row],[DELAI_PAIEMENT]]+Tableau330[[#This Row],[DATE ]]</f>
        <v>45664</v>
      </c>
      <c r="Z14" s="120"/>
    </row>
    <row r="15" spans="1:27">
      <c r="A15" s="83">
        <v>45665</v>
      </c>
      <c r="B15" s="83" t="str">
        <f>IF(ISBLANK(Tableau330[[#This Row],[DATE ]]),"",UPPER(PROPER(TEXT(Tableau330[[#This Row],[DATE ]],"mmmm yyyy"))))</f>
        <v>JANVIER 2025</v>
      </c>
      <c r="C15" s="83" t="s">
        <v>819</v>
      </c>
      <c r="D15" s="120" t="s">
        <v>1055</v>
      </c>
      <c r="E15" s="82" t="s">
        <v>1056</v>
      </c>
      <c r="F15" s="120" t="s">
        <v>1057</v>
      </c>
      <c r="G15" s="82" t="s">
        <v>822</v>
      </c>
      <c r="H15" s="82" t="s">
        <v>1058</v>
      </c>
      <c r="I15" s="82" t="s">
        <v>12</v>
      </c>
      <c r="J15" s="121">
        <v>1</v>
      </c>
      <c r="K15" s="121"/>
      <c r="L15" s="121"/>
      <c r="M15" s="122">
        <v>28305085</v>
      </c>
      <c r="N15" s="122">
        <f>+IF(Tableau330[[#This Row],[CODE TVA]]="",0,ROUND(Tableau330[[#This Row],[MONTANT HT]]*0.18*Tableau330[[#This Row],[PRORATA D]],1))</f>
        <v>5094915.3</v>
      </c>
      <c r="O15" s="122">
        <f>+IFERROR(Tableau330[[#This Row],[MONTANT HT]]+Tableau330[[#This Row],[TVA]],0)</f>
        <v>33400000.300000001</v>
      </c>
      <c r="P15" s="122"/>
      <c r="Q15" s="122"/>
      <c r="R15" s="122">
        <f>+Tableau330[[#This Row],[MONTANT TTC]]+Tableau330[[#This Row],[TIMBRE ]]+Tableau330[[#This Row],[AUTRES TAXES]]</f>
        <v>33400000.300000001</v>
      </c>
      <c r="S15" s="122">
        <v>33400000</v>
      </c>
      <c r="T15" s="122">
        <f>+ROUND(Tableau330[[#This Row],[NET A PAYER]],0)-Tableau330[[#This Row],[MONTANT PAYE]]</f>
        <v>0</v>
      </c>
      <c r="U15" s="122"/>
      <c r="V15" s="123">
        <f>+Tableau330[[#This Row],[DELAI_PAIEMENT]]+Tableau330[[#This Row],[DATE ]]</f>
        <v>45665</v>
      </c>
      <c r="Z15" s="120"/>
      <c r="AA15" s="82" t="s">
        <v>1059</v>
      </c>
    </row>
    <row r="16" spans="1:27">
      <c r="A16" s="83">
        <v>45668</v>
      </c>
      <c r="B16" s="83" t="str">
        <f>IF(ISBLANK(Tableau330[[#This Row],[DATE ]]),"",UPPER(PROPER(TEXT(Tableau330[[#This Row],[DATE ]],"mmmm yyyy"))))</f>
        <v>JANVIER 2025</v>
      </c>
      <c r="C16" s="83" t="s">
        <v>819</v>
      </c>
      <c r="D16" s="120" t="s">
        <v>1090</v>
      </c>
      <c r="E16" s="82" t="s">
        <v>852</v>
      </c>
      <c r="F16" s="120"/>
      <c r="H16" s="82" t="s">
        <v>1091</v>
      </c>
      <c r="J16" s="121"/>
      <c r="K16" s="121"/>
      <c r="L16" s="121"/>
      <c r="M16" s="122">
        <v>1300000</v>
      </c>
      <c r="N16" s="122">
        <f>+IF(Tableau330[[#This Row],[CODE TVA]]="",0,ROUND(Tableau330[[#This Row],[MONTANT HT]]*0.18*Tableau330[[#This Row],[PRORATA D]],1))</f>
        <v>0</v>
      </c>
      <c r="O16" s="122">
        <f>+IFERROR(Tableau330[[#This Row],[MONTANT HT]]+Tableau330[[#This Row],[TVA]],0)</f>
        <v>1300000</v>
      </c>
      <c r="P16" s="122"/>
      <c r="Q16" s="122"/>
      <c r="R16" s="122">
        <f>+Tableau330[[#This Row],[MONTANT TTC]]+Tableau330[[#This Row],[TIMBRE ]]+Tableau330[[#This Row],[AUTRES TAXES]]</f>
        <v>1300000</v>
      </c>
      <c r="S16" s="122">
        <v>1300000</v>
      </c>
      <c r="T16" s="122">
        <f>+ROUND(Tableau330[[#This Row],[NET A PAYER]],0)-Tableau330[[#This Row],[MONTANT PAYE]]</f>
        <v>0</v>
      </c>
      <c r="U16" s="122"/>
      <c r="V16" s="123">
        <f>+Tableau330[[#This Row],[DELAI_PAIEMENT]]+Tableau330[[#This Row],[DATE ]]</f>
        <v>45668</v>
      </c>
      <c r="Z16" s="120"/>
    </row>
    <row r="17" spans="1:26">
      <c r="A17" s="83">
        <v>45668</v>
      </c>
      <c r="B17" s="83" t="str">
        <f>IF(ISBLANK(Tableau330[[#This Row],[DATE ]]),"",UPPER(PROPER(TEXT(Tableau330[[#This Row],[DATE ]],"mmmm yyyy"))))</f>
        <v>JANVIER 2025</v>
      </c>
      <c r="C17" s="83" t="s">
        <v>819</v>
      </c>
      <c r="D17" s="120" t="s">
        <v>1092</v>
      </c>
      <c r="E17" s="82" t="s">
        <v>1093</v>
      </c>
      <c r="F17" s="120"/>
      <c r="H17" s="82" t="s">
        <v>1094</v>
      </c>
      <c r="J17" s="121"/>
      <c r="K17" s="121"/>
      <c r="L17" s="121"/>
      <c r="M17" s="122">
        <v>75000</v>
      </c>
      <c r="N17" s="122">
        <f>+IF(Tableau330[[#This Row],[CODE TVA]]="",0,ROUND(Tableau330[[#This Row],[MONTANT HT]]*0.18*Tableau330[[#This Row],[PRORATA D]],1))</f>
        <v>0</v>
      </c>
      <c r="O17" s="122">
        <f>+IFERROR(Tableau330[[#This Row],[MONTANT HT]]+Tableau330[[#This Row],[TVA]],0)</f>
        <v>75000</v>
      </c>
      <c r="P17" s="122"/>
      <c r="Q17" s="122"/>
      <c r="R17" s="122">
        <f>+Tableau330[[#This Row],[MONTANT TTC]]+Tableau330[[#This Row],[TIMBRE ]]+Tableau330[[#This Row],[AUTRES TAXES]]</f>
        <v>75000</v>
      </c>
      <c r="S17" s="122">
        <v>75000</v>
      </c>
      <c r="T17" s="122">
        <f>+ROUND(Tableau330[[#This Row],[NET A PAYER]],0)-Tableau330[[#This Row],[MONTANT PAYE]]</f>
        <v>0</v>
      </c>
      <c r="U17" s="122"/>
      <c r="V17" s="123">
        <f>+Tableau330[[#This Row],[DELAI_PAIEMENT]]+Tableau330[[#This Row],[DATE ]]</f>
        <v>45668</v>
      </c>
      <c r="Z17" s="120"/>
    </row>
    <row r="18" spans="1:26">
      <c r="A18" s="83">
        <v>45671</v>
      </c>
      <c r="B18" s="83" t="str">
        <f>IF(ISBLANK(Tableau330[[#This Row],[DATE ]]),"",UPPER(PROPER(TEXT(Tableau330[[#This Row],[DATE ]],"mmmm yyyy"))))</f>
        <v>JANVIER 2025</v>
      </c>
      <c r="C18" s="83" t="s">
        <v>819</v>
      </c>
      <c r="D18" s="120" t="s">
        <v>1053</v>
      </c>
      <c r="E18" s="82" t="s">
        <v>961</v>
      </c>
      <c r="F18" s="120" t="s">
        <v>962</v>
      </c>
      <c r="G18" s="82" t="s">
        <v>822</v>
      </c>
      <c r="H18" s="82" t="s">
        <v>1054</v>
      </c>
      <c r="I18" s="82" t="s">
        <v>12</v>
      </c>
      <c r="J18" s="121">
        <v>1</v>
      </c>
      <c r="K18" s="121"/>
      <c r="L18" s="121"/>
      <c r="M18" s="122">
        <v>90600</v>
      </c>
      <c r="N18" s="122">
        <f>+IF(Tableau330[[#This Row],[CODE TVA]]="",0,ROUND(Tableau330[[#This Row],[MONTANT HT]]*0.18*Tableau330[[#This Row],[PRORATA D]],1))</f>
        <v>16308</v>
      </c>
      <c r="O18" s="122">
        <f>+IFERROR(Tableau330[[#This Row],[MONTANT HT]]+Tableau330[[#This Row],[TVA]],0)</f>
        <v>106908</v>
      </c>
      <c r="P18" s="122">
        <v>500</v>
      </c>
      <c r="Q18" s="122">
        <f>1095+2260+2000</f>
        <v>5355</v>
      </c>
      <c r="R18" s="122">
        <f>+Tableau330[[#This Row],[MONTANT TTC]]+Tableau330[[#This Row],[TIMBRE ]]+Tableau330[[#This Row],[AUTRES TAXES]]</f>
        <v>112763</v>
      </c>
      <c r="S18" s="122">
        <v>112763</v>
      </c>
      <c r="T18" s="122">
        <f>+ROUND(Tableau330[[#This Row],[NET A PAYER]],0)-Tableau330[[#This Row],[MONTANT PAYE]]</f>
        <v>0</v>
      </c>
      <c r="U18" s="122"/>
      <c r="V18" s="123">
        <f>+Tableau330[[#This Row],[DELAI_PAIEMENT]]+Tableau330[[#This Row],[DATE ]]</f>
        <v>45671</v>
      </c>
      <c r="Z18" s="120"/>
    </row>
    <row r="19" spans="1:26">
      <c r="A19" s="83">
        <v>45672</v>
      </c>
      <c r="B19" s="83" t="str">
        <f>IF(ISBLANK(Tableau330[[#This Row],[DATE ]]),"",UPPER(PROPER(TEXT(Tableau330[[#This Row],[DATE ]],"mmmm yyyy"))))</f>
        <v>JANVIER 2025</v>
      </c>
      <c r="C19" s="83" t="s">
        <v>819</v>
      </c>
      <c r="D19" s="120" t="s">
        <v>996</v>
      </c>
      <c r="E19" s="82" t="s">
        <v>852</v>
      </c>
      <c r="F19" s="120"/>
      <c r="H19" s="82" t="s">
        <v>997</v>
      </c>
      <c r="J19" s="121"/>
      <c r="K19" s="121"/>
      <c r="L19" s="121"/>
      <c r="M19" s="122">
        <v>627500</v>
      </c>
      <c r="N19" s="122">
        <f>+IF(Tableau330[[#This Row],[CODE TVA]]="",0,ROUND(Tableau330[[#This Row],[MONTANT HT]]*0.18*Tableau330[[#This Row],[PRORATA D]],1))</f>
        <v>0</v>
      </c>
      <c r="O19" s="122">
        <f>+IFERROR(Tableau330[[#This Row],[MONTANT HT]]+Tableau330[[#This Row],[TVA]],0)</f>
        <v>627500</v>
      </c>
      <c r="P19" s="122"/>
      <c r="Q19" s="122"/>
      <c r="R19" s="122">
        <f>+Tableau330[[#This Row],[MONTANT TTC]]+Tableau330[[#This Row],[TIMBRE ]]+Tableau330[[#This Row],[AUTRES TAXES]]</f>
        <v>627500</v>
      </c>
      <c r="S19" s="122">
        <v>627500</v>
      </c>
      <c r="T19" s="122">
        <f>+ROUND(Tableau330[[#This Row],[NET A PAYER]],0)-Tableau330[[#This Row],[MONTANT PAYE]]</f>
        <v>0</v>
      </c>
      <c r="U19" s="122"/>
      <c r="V19" s="123">
        <f>+Tableau330[[#This Row],[DELAI_PAIEMENT]]+Tableau330[[#This Row],[DATE ]]</f>
        <v>45672</v>
      </c>
      <c r="Z19" s="120"/>
    </row>
    <row r="20" spans="1:26">
      <c r="A20" s="83">
        <v>45673</v>
      </c>
      <c r="B20" s="83" t="str">
        <f>IF(ISBLANK(Tableau330[[#This Row],[DATE ]]),"",UPPER(PROPER(TEXT(Tableau330[[#This Row],[DATE ]],"mmmm yyyy"))))</f>
        <v>JANVIER 2025</v>
      </c>
      <c r="C20" s="83" t="s">
        <v>824</v>
      </c>
      <c r="D20" s="120" t="s">
        <v>1086</v>
      </c>
      <c r="E20" s="82" t="s">
        <v>832</v>
      </c>
      <c r="F20" s="120" t="s">
        <v>833</v>
      </c>
      <c r="H20" s="82" t="s">
        <v>1087</v>
      </c>
      <c r="I20" s="82" t="s">
        <v>12</v>
      </c>
      <c r="J20" s="121">
        <v>1</v>
      </c>
      <c r="K20" s="121"/>
      <c r="L20" s="121"/>
      <c r="M20" s="122">
        <v>8898</v>
      </c>
      <c r="N20" s="122">
        <f>+IF(Tableau330[[#This Row],[CODE TVA]]="",0,ROUND(Tableau330[[#This Row],[MONTANT HT]]*0.18*Tableau330[[#This Row],[PRORATA D]],1))</f>
        <v>1601.6</v>
      </c>
      <c r="O20" s="122">
        <f>+IFERROR(Tableau330[[#This Row],[MONTANT HT]]+Tableau330[[#This Row],[TVA]],0)</f>
        <v>10499.6</v>
      </c>
      <c r="P20" s="122"/>
      <c r="Q20" s="122"/>
      <c r="R20" s="122">
        <f>+Tableau330[[#This Row],[MONTANT TTC]]+Tableau330[[#This Row],[TIMBRE ]]+Tableau330[[#This Row],[AUTRES TAXES]]</f>
        <v>10499.6</v>
      </c>
      <c r="S20" s="122">
        <v>10499.64</v>
      </c>
      <c r="T20" s="122">
        <f>+ROUND(Tableau330[[#This Row],[NET A PAYER]],0)-Tableau330[[#This Row],[MONTANT PAYE]]</f>
        <v>0.36000000000058208</v>
      </c>
      <c r="U20" s="122"/>
      <c r="V20" s="123">
        <f>+Tableau330[[#This Row],[DELAI_PAIEMENT]]+Tableau330[[#This Row],[DATE ]]</f>
        <v>45673</v>
      </c>
      <c r="Z20" s="120"/>
    </row>
    <row r="21" spans="1:26">
      <c r="A21" s="83">
        <v>45677</v>
      </c>
      <c r="B21" s="83" t="str">
        <f>IF(ISBLANK(Tableau330[[#This Row],[DATE ]]),"",UPPER(PROPER(TEXT(Tableau330[[#This Row],[DATE ]],"mmmm yyyy"))))</f>
        <v>JANVIER 2025</v>
      </c>
      <c r="C21" s="83" t="s">
        <v>824</v>
      </c>
      <c r="D21" s="120" t="s">
        <v>1084</v>
      </c>
      <c r="E21" s="82" t="s">
        <v>1011</v>
      </c>
      <c r="F21" s="120" t="s">
        <v>1012</v>
      </c>
      <c r="G21" s="82" t="s">
        <v>822</v>
      </c>
      <c r="H21" s="82" t="s">
        <v>1044</v>
      </c>
      <c r="I21" s="82" t="s">
        <v>12</v>
      </c>
      <c r="J21" s="121">
        <v>1</v>
      </c>
      <c r="K21" s="121"/>
      <c r="L21" s="121"/>
      <c r="M21" s="122">
        <v>347034</v>
      </c>
      <c r="N21" s="122">
        <f>+IF(Tableau330[[#This Row],[CODE TVA]]="",0,ROUND(Tableau330[[#This Row],[MONTANT HT]]*0.18*Tableau330[[#This Row],[PRORATA D]],1))</f>
        <v>62466.1</v>
      </c>
      <c r="O21" s="122">
        <f>+IFERROR(Tableau330[[#This Row],[MONTANT HT]]+Tableau330[[#This Row],[TVA]],0)</f>
        <v>409500.1</v>
      </c>
      <c r="P21" s="122">
        <v>500</v>
      </c>
      <c r="Q21" s="122">
        <v>20475</v>
      </c>
      <c r="R21" s="122">
        <f>+Tableau330[[#This Row],[MONTANT TTC]]+Tableau330[[#This Row],[TIMBRE ]]+Tableau330[[#This Row],[AUTRES TAXES]]</f>
        <v>430475.1</v>
      </c>
      <c r="S21" s="122">
        <v>430475</v>
      </c>
      <c r="T21" s="122">
        <f>+ROUND(Tableau330[[#This Row],[NET A PAYER]],0)-Tableau330[[#This Row],[MONTANT PAYE]]</f>
        <v>0</v>
      </c>
      <c r="U21" s="122"/>
      <c r="V21" s="123">
        <f>+Tableau330[[#This Row],[DELAI_PAIEMENT]]+Tableau330[[#This Row],[DATE ]]</f>
        <v>45677</v>
      </c>
      <c r="Z21" s="120"/>
    </row>
    <row r="22" spans="1:26">
      <c r="A22" s="83">
        <v>45678</v>
      </c>
      <c r="B22" s="83" t="str">
        <f>IF(ISBLANK(Tableau330[[#This Row],[DATE ]]),"",UPPER(PROPER(TEXT(Tableau330[[#This Row],[DATE ]],"mmmm yyyy"))))</f>
        <v>JANVIER 2025</v>
      </c>
      <c r="C22" s="83" t="s">
        <v>824</v>
      </c>
      <c r="D22" s="120" t="s">
        <v>1060</v>
      </c>
      <c r="E22" s="82" t="s">
        <v>1056</v>
      </c>
      <c r="F22" s="120" t="s">
        <v>1057</v>
      </c>
      <c r="G22" s="82" t="s">
        <v>822</v>
      </c>
      <c r="H22" s="82" t="s">
        <v>1061</v>
      </c>
      <c r="I22" s="82" t="s">
        <v>12</v>
      </c>
      <c r="J22" s="121">
        <v>1</v>
      </c>
      <c r="K22" s="121"/>
      <c r="L22" s="121"/>
      <c r="M22" s="122">
        <v>45338983</v>
      </c>
      <c r="N22" s="122">
        <f>+IF(Tableau330[[#This Row],[CODE TVA]]="",0,ROUND(Tableau330[[#This Row],[MONTANT HT]]*0.18*Tableau330[[#This Row],[PRORATA D]],1))</f>
        <v>8161016.9000000004</v>
      </c>
      <c r="O22" s="122">
        <f>+IFERROR(Tableau330[[#This Row],[MONTANT HT]]+Tableau330[[#This Row],[TVA]],0)</f>
        <v>53499999.899999999</v>
      </c>
      <c r="P22" s="122"/>
      <c r="Q22" s="122"/>
      <c r="R22" s="122">
        <f>+Tableau330[[#This Row],[MONTANT TTC]]+Tableau330[[#This Row],[TIMBRE ]]+Tableau330[[#This Row],[AUTRES TAXES]]</f>
        <v>53499999.899999999</v>
      </c>
      <c r="S22" s="122">
        <v>53499999.939999998</v>
      </c>
      <c r="T22" s="122">
        <f>+ROUND(Tableau330[[#This Row],[NET A PAYER]],0)-Tableau330[[#This Row],[MONTANT PAYE]]</f>
        <v>6.0000002384185791E-2</v>
      </c>
      <c r="U22" s="122"/>
      <c r="V22" s="123">
        <f>+Tableau330[[#This Row],[DELAI_PAIEMENT]]+Tableau330[[#This Row],[DATE ]]</f>
        <v>45678</v>
      </c>
      <c r="Z22" s="120"/>
    </row>
    <row r="23" spans="1:26">
      <c r="A23" s="83">
        <v>45678</v>
      </c>
      <c r="B23" s="83" t="str">
        <f>IF(ISBLANK(Tableau330[[#This Row],[DATE ]]),"",UPPER(PROPER(TEXT(Tableau330[[#This Row],[DATE ]],"mmmm yyyy"))))</f>
        <v>JANVIER 2025</v>
      </c>
      <c r="C23" s="83" t="s">
        <v>824</v>
      </c>
      <c r="D23" s="120" t="s">
        <v>1064</v>
      </c>
      <c r="E23" s="82" t="s">
        <v>1065</v>
      </c>
      <c r="F23" s="120" t="s">
        <v>1066</v>
      </c>
      <c r="H23" s="82" t="s">
        <v>1067</v>
      </c>
      <c r="J23" s="121"/>
      <c r="K23" s="121"/>
      <c r="L23" s="121"/>
      <c r="M23" s="122">
        <v>20000</v>
      </c>
      <c r="N23" s="122">
        <f>+IF(Tableau330[[#This Row],[CODE TVA]]="",0,ROUND(Tableau330[[#This Row],[MONTANT HT]]*0.18*Tableau330[[#This Row],[PRORATA D]],1))</f>
        <v>0</v>
      </c>
      <c r="O23" s="122">
        <f>+IFERROR(Tableau330[[#This Row],[MONTANT HT]]+Tableau330[[#This Row],[TVA]],0)</f>
        <v>20000</v>
      </c>
      <c r="P23" s="122"/>
      <c r="Q23" s="122"/>
      <c r="R23" s="122">
        <f>+Tableau330[[#This Row],[MONTANT TTC]]+Tableau330[[#This Row],[TIMBRE ]]+Tableau330[[#This Row],[AUTRES TAXES]]</f>
        <v>20000</v>
      </c>
      <c r="S23" s="122">
        <v>20000</v>
      </c>
      <c r="T23" s="122">
        <f>+ROUND(Tableau330[[#This Row],[NET A PAYER]],0)-Tableau330[[#This Row],[MONTANT PAYE]]</f>
        <v>0</v>
      </c>
      <c r="U23" s="122"/>
      <c r="V23" s="123">
        <f>+Tableau330[[#This Row],[DELAI_PAIEMENT]]+Tableau330[[#This Row],[DATE ]]</f>
        <v>45678</v>
      </c>
      <c r="Z23" s="120"/>
    </row>
    <row r="24" spans="1:26">
      <c r="A24" s="83">
        <v>45679</v>
      </c>
      <c r="B24" s="83" t="str">
        <f>IF(ISBLANK(Tableau330[[#This Row],[DATE ]]),"",UPPER(PROPER(TEXT(Tableau330[[#This Row],[DATE ]],"mmmm yyyy"))))</f>
        <v>JANVIER 2025</v>
      </c>
      <c r="C24" s="83" t="s">
        <v>824</v>
      </c>
      <c r="D24" s="120" t="s">
        <v>1068</v>
      </c>
      <c r="E24" s="82" t="s">
        <v>1069</v>
      </c>
      <c r="F24" s="120" t="s">
        <v>1066</v>
      </c>
      <c r="H24" s="82" t="s">
        <v>1070</v>
      </c>
      <c r="J24" s="121">
        <v>1</v>
      </c>
      <c r="K24" s="121"/>
      <c r="L24" s="121"/>
      <c r="M24" s="122">
        <v>15000</v>
      </c>
      <c r="N24" s="122">
        <f>+IF(Tableau330[[#This Row],[CODE TVA]]="",0,ROUND(Tableau330[[#This Row],[MONTANT HT]]*0.18*Tableau330[[#This Row],[PRORATA D]],1))</f>
        <v>0</v>
      </c>
      <c r="O24" s="122">
        <f>+IFERROR(Tableau330[[#This Row],[MONTANT HT]]+Tableau330[[#This Row],[TVA]],0)</f>
        <v>15000</v>
      </c>
      <c r="P24" s="122"/>
      <c r="Q24" s="122"/>
      <c r="R24" s="122">
        <f>+Tableau330[[#This Row],[MONTANT TTC]]+Tableau330[[#This Row],[TIMBRE ]]+Tableau330[[#This Row],[AUTRES TAXES]]</f>
        <v>15000</v>
      </c>
      <c r="S24" s="122">
        <v>15000</v>
      </c>
      <c r="T24" s="122">
        <f>+ROUND(Tableau330[[#This Row],[NET A PAYER]],0)-Tableau330[[#This Row],[MONTANT PAYE]]</f>
        <v>0</v>
      </c>
      <c r="U24" s="122"/>
      <c r="V24" s="123">
        <f>+Tableau330[[#This Row],[DELAI_PAIEMENT]]+Tableau330[[#This Row],[DATE ]]</f>
        <v>45679</v>
      </c>
      <c r="Z24" s="120"/>
    </row>
    <row r="25" spans="1:26">
      <c r="A25" s="83">
        <v>45679</v>
      </c>
      <c r="B25" s="83" t="str">
        <f>IF(ISBLANK(Tableau330[[#This Row],[DATE ]]),"",UPPER(PROPER(TEXT(Tableau330[[#This Row],[DATE ]],"mmmm yyyy"))))</f>
        <v>JANVIER 2025</v>
      </c>
      <c r="C25" s="83" t="s">
        <v>824</v>
      </c>
      <c r="D25" s="120" t="s">
        <v>1081</v>
      </c>
      <c r="E25" s="82" t="s">
        <v>1011</v>
      </c>
      <c r="F25" s="120" t="s">
        <v>1012</v>
      </c>
      <c r="G25" s="82" t="s">
        <v>822</v>
      </c>
      <c r="H25" s="82" t="s">
        <v>1044</v>
      </c>
      <c r="I25" s="82" t="s">
        <v>12</v>
      </c>
      <c r="J25" s="121">
        <v>1</v>
      </c>
      <c r="K25" s="121"/>
      <c r="L25" s="121"/>
      <c r="M25" s="122">
        <v>173517</v>
      </c>
      <c r="N25" s="122">
        <f>+IF(Tableau330[[#This Row],[CODE TVA]]="",0,ROUND(Tableau330[[#This Row],[MONTANT HT]]*0.18*Tableau330[[#This Row],[PRORATA D]],1))</f>
        <v>31233.1</v>
      </c>
      <c r="O25" s="122">
        <f>+IFERROR(Tableau330[[#This Row],[MONTANT HT]]+Tableau330[[#This Row],[TVA]],0)</f>
        <v>204750.1</v>
      </c>
      <c r="P25" s="122"/>
      <c r="Q25" s="122">
        <v>10238</v>
      </c>
      <c r="R25" s="122">
        <f>+Tableau330[[#This Row],[MONTANT TTC]]+Tableau330[[#This Row],[TIMBRE ]]+Tableau330[[#This Row],[AUTRES TAXES]]</f>
        <v>214988.1</v>
      </c>
      <c r="S25" s="122">
        <v>214988</v>
      </c>
      <c r="T25" s="122">
        <f>+ROUND(Tableau330[[#This Row],[NET A PAYER]],0)-Tableau330[[#This Row],[MONTANT PAYE]]</f>
        <v>0</v>
      </c>
      <c r="U25" s="122"/>
      <c r="V25" s="123">
        <f>+Tableau330[[#This Row],[DELAI_PAIEMENT]]+Tableau330[[#This Row],[DATE ]]</f>
        <v>45679</v>
      </c>
      <c r="Z25" s="120"/>
    </row>
    <row r="26" spans="1:26">
      <c r="A26" s="83">
        <v>45679</v>
      </c>
      <c r="B26" s="83" t="str">
        <f>IF(ISBLANK(Tableau330[[#This Row],[DATE ]]),"",UPPER(PROPER(TEXT(Tableau330[[#This Row],[DATE ]],"mmmm yyyy"))))</f>
        <v>JANVIER 2025</v>
      </c>
      <c r="C26" s="83" t="s">
        <v>819</v>
      </c>
      <c r="D26" s="120" t="s">
        <v>1095</v>
      </c>
      <c r="E26" s="82" t="s">
        <v>872</v>
      </c>
      <c r="F26" s="120"/>
      <c r="H26" s="82" t="s">
        <v>1096</v>
      </c>
      <c r="J26" s="121"/>
      <c r="K26" s="121"/>
      <c r="L26" s="121"/>
      <c r="M26" s="122">
        <v>600000</v>
      </c>
      <c r="N26" s="122">
        <f>+IF(Tableau330[[#This Row],[CODE TVA]]="",0,ROUND(Tableau330[[#This Row],[MONTANT HT]]*0.18*Tableau330[[#This Row],[PRORATA D]],1))</f>
        <v>0</v>
      </c>
      <c r="O26" s="122">
        <f>+IFERROR(Tableau330[[#This Row],[MONTANT HT]]+Tableau330[[#This Row],[TVA]],0)</f>
        <v>600000</v>
      </c>
      <c r="P26" s="122"/>
      <c r="Q26" s="122"/>
      <c r="R26" s="122">
        <f>+Tableau330[[#This Row],[MONTANT TTC]]+Tableau330[[#This Row],[TIMBRE ]]+Tableau330[[#This Row],[AUTRES TAXES]]</f>
        <v>600000</v>
      </c>
      <c r="S26" s="122">
        <v>600000</v>
      </c>
      <c r="T26" s="122">
        <f>+ROUND(Tableau330[[#This Row],[NET A PAYER]],0)-Tableau330[[#This Row],[MONTANT PAYE]]</f>
        <v>0</v>
      </c>
      <c r="U26" s="122"/>
      <c r="V26" s="123">
        <f>+Tableau330[[#This Row],[DELAI_PAIEMENT]]+Tableau330[[#This Row],[DATE ]]</f>
        <v>45679</v>
      </c>
      <c r="Z26" s="120"/>
    </row>
    <row r="27" spans="1:26">
      <c r="A27" s="83">
        <v>45682</v>
      </c>
      <c r="B27" s="83" t="str">
        <f>IF(ISBLANK(Tableau330[[#This Row],[DATE ]]),"",UPPER(PROPER(TEXT(Tableau330[[#This Row],[DATE ]],"mmmm yyyy"))))</f>
        <v>JANVIER 2025</v>
      </c>
      <c r="C27" s="83" t="s">
        <v>819</v>
      </c>
      <c r="D27" s="120" t="s">
        <v>1098</v>
      </c>
      <c r="E27" s="82" t="s">
        <v>1099</v>
      </c>
      <c r="F27" s="120"/>
      <c r="H27" s="82" t="s">
        <v>1100</v>
      </c>
      <c r="J27" s="121"/>
      <c r="K27" s="121"/>
      <c r="L27" s="121"/>
      <c r="M27" s="122">
        <v>4000</v>
      </c>
      <c r="N27" s="122">
        <f>+IF(Tableau330[[#This Row],[CODE TVA]]="",0,ROUND(Tableau330[[#This Row],[MONTANT HT]]*0.18*Tableau330[[#This Row],[PRORATA D]],1))</f>
        <v>0</v>
      </c>
      <c r="O27" s="122">
        <f>+IFERROR(Tableau330[[#This Row],[MONTANT HT]]+Tableau330[[#This Row],[TVA]],0)</f>
        <v>4000</v>
      </c>
      <c r="P27" s="122"/>
      <c r="Q27" s="122"/>
      <c r="R27" s="122">
        <f>+Tableau330[[#This Row],[MONTANT TTC]]+Tableau330[[#This Row],[TIMBRE ]]+Tableau330[[#This Row],[AUTRES TAXES]]</f>
        <v>4000</v>
      </c>
      <c r="S27" s="122">
        <v>4000</v>
      </c>
      <c r="T27" s="122">
        <f>+ROUND(Tableau330[[#This Row],[NET A PAYER]],0)-Tableau330[[#This Row],[MONTANT PAYE]]</f>
        <v>0</v>
      </c>
      <c r="U27" s="122"/>
      <c r="V27" s="123">
        <f>+Tableau330[[#This Row],[DELAI_PAIEMENT]]+Tableau330[[#This Row],[DATE ]]</f>
        <v>45682</v>
      </c>
      <c r="Z27" s="120"/>
    </row>
    <row r="28" spans="1:26">
      <c r="A28" s="83">
        <v>45685</v>
      </c>
      <c r="B28" s="83" t="str">
        <f>IF(ISBLANK(Tableau330[[#This Row],[DATE ]]),"",UPPER(PROPER(TEXT(Tableau330[[#This Row],[DATE ]],"mmmm yyyy"))))</f>
        <v>JANVIER 2025</v>
      </c>
      <c r="C28" s="83" t="s">
        <v>824</v>
      </c>
      <c r="D28" s="120" t="s">
        <v>1076</v>
      </c>
      <c r="E28" s="82" t="s">
        <v>1077</v>
      </c>
      <c r="F28" s="120" t="s">
        <v>1078</v>
      </c>
      <c r="G28" s="82" t="s">
        <v>951</v>
      </c>
      <c r="H28" s="82" t="s">
        <v>1079</v>
      </c>
      <c r="J28" s="121"/>
      <c r="K28" s="121"/>
      <c r="L28" s="121"/>
      <c r="M28" s="122">
        <v>300000</v>
      </c>
      <c r="N28" s="122">
        <f>+IF(Tableau330[[#This Row],[CODE TVA]]="",0,ROUND(Tableau330[[#This Row],[MONTANT HT]]*0.18*Tableau330[[#This Row],[PRORATA D]],1))</f>
        <v>0</v>
      </c>
      <c r="O28" s="122">
        <f>+IFERROR(Tableau330[[#This Row],[MONTANT HT]]+Tableau330[[#This Row],[TVA]],0)</f>
        <v>300000</v>
      </c>
      <c r="P28" s="122"/>
      <c r="Q28" s="122"/>
      <c r="R28" s="122">
        <f>+Tableau330[[#This Row],[MONTANT TTC]]+Tableau330[[#This Row],[TIMBRE ]]+Tableau330[[#This Row],[AUTRES TAXES]]</f>
        <v>300000</v>
      </c>
      <c r="S28" s="122">
        <v>300000</v>
      </c>
      <c r="T28" s="122">
        <f>+ROUND(Tableau330[[#This Row],[NET A PAYER]],0)-Tableau330[[#This Row],[MONTANT PAYE]]</f>
        <v>0</v>
      </c>
      <c r="U28" s="122"/>
      <c r="V28" s="123">
        <f>+Tableau330[[#This Row],[DELAI_PAIEMENT]]+Tableau330[[#This Row],[DATE ]]</f>
        <v>45685</v>
      </c>
      <c r="Z28" s="120"/>
    </row>
    <row r="29" spans="1:26">
      <c r="A29" s="83">
        <v>45686</v>
      </c>
      <c r="B29" s="83" t="str">
        <f>IF(ISBLANK(Tableau330[[#This Row],[DATE ]]),"",UPPER(PROPER(TEXT(Tableau330[[#This Row],[DATE ]],"mmmm yyyy"))))</f>
        <v>JANVIER 2025</v>
      </c>
      <c r="C29" s="83" t="s">
        <v>824</v>
      </c>
      <c r="D29" s="120" t="s">
        <v>1083</v>
      </c>
      <c r="E29" s="82" t="s">
        <v>1011</v>
      </c>
      <c r="F29" s="120" t="s">
        <v>1012</v>
      </c>
      <c r="G29" s="82" t="s">
        <v>822</v>
      </c>
      <c r="H29" s="82" t="s">
        <v>1044</v>
      </c>
      <c r="I29" s="82" t="s">
        <v>12</v>
      </c>
      <c r="J29" s="121">
        <v>1</v>
      </c>
      <c r="K29" s="121"/>
      <c r="L29" s="121"/>
      <c r="M29" s="122">
        <v>-520551</v>
      </c>
      <c r="N29" s="122">
        <f>+IF(Tableau330[[#This Row],[CODE TVA]]="",0,ROUND(Tableau330[[#This Row],[MONTANT HT]]*0.18*Tableau330[[#This Row],[PRORATA D]],1))</f>
        <v>-93699.199999999997</v>
      </c>
      <c r="O29" s="122">
        <f>+IFERROR(Tableau330[[#This Row],[MONTANT HT]]+Tableau330[[#This Row],[TVA]],0)</f>
        <v>-614250.19999999995</v>
      </c>
      <c r="P29" s="122"/>
      <c r="Q29" s="122">
        <v>-30713</v>
      </c>
      <c r="R29" s="122">
        <f>+Tableau330[[#This Row],[MONTANT TTC]]+Tableau330[[#This Row],[TIMBRE ]]+Tableau330[[#This Row],[AUTRES TAXES]]</f>
        <v>-644963.19999999995</v>
      </c>
      <c r="S29" s="122">
        <v>-644963.17999999993</v>
      </c>
      <c r="T29" s="122">
        <f>+ROUND(Tableau330[[#This Row],[NET A PAYER]],0)-Tableau330[[#This Row],[MONTANT PAYE]]</f>
        <v>0.17999999993480742</v>
      </c>
      <c r="U29" s="122"/>
      <c r="V29" s="123">
        <f>+Tableau330[[#This Row],[DELAI_PAIEMENT]]+Tableau330[[#This Row],[DATE ]]</f>
        <v>45686</v>
      </c>
      <c r="Z29" s="120"/>
    </row>
    <row r="30" spans="1:26">
      <c r="A30" s="83">
        <v>45686</v>
      </c>
      <c r="B30" s="83" t="str">
        <f>IF(ISBLANK(Tableau330[[#This Row],[DATE ]]),"",UPPER(PROPER(TEXT(Tableau330[[#This Row],[DATE ]],"mmmm yyyy"))))</f>
        <v>JANVIER 2025</v>
      </c>
      <c r="C30" s="83" t="s">
        <v>824</v>
      </c>
      <c r="D30" s="120" t="s">
        <v>1085</v>
      </c>
      <c r="E30" s="82" t="s">
        <v>1011</v>
      </c>
      <c r="F30" s="120" t="s">
        <v>1012</v>
      </c>
      <c r="G30" s="82" t="s">
        <v>822</v>
      </c>
      <c r="H30" s="82" t="s">
        <v>1044</v>
      </c>
      <c r="I30" s="82" t="s">
        <v>12</v>
      </c>
      <c r="J30" s="121">
        <v>1</v>
      </c>
      <c r="K30" s="121"/>
      <c r="L30" s="121"/>
      <c r="M30" s="122">
        <v>521187</v>
      </c>
      <c r="N30" s="122">
        <f>+IF(Tableau330[[#This Row],[CODE TVA]]="",0,ROUND(Tableau330[[#This Row],[MONTANT HT]]*0.18*Tableau330[[#This Row],[PRORATA D]],1))</f>
        <v>93813.7</v>
      </c>
      <c r="O30" s="122">
        <f>+IFERROR(Tableau330[[#This Row],[MONTANT HT]]+Tableau330[[#This Row],[TVA]],0)</f>
        <v>615000.69999999995</v>
      </c>
      <c r="P30" s="122"/>
      <c r="Q30" s="122"/>
      <c r="R30" s="122">
        <f>+Tableau330[[#This Row],[MONTANT TTC]]+Tableau330[[#This Row],[TIMBRE ]]+Tableau330[[#This Row],[AUTRES TAXES]]</f>
        <v>615000.69999999995</v>
      </c>
      <c r="S30" s="122">
        <v>615000.66</v>
      </c>
      <c r="T30" s="122">
        <f>+ROUND(Tableau330[[#This Row],[NET A PAYER]],0)-Tableau330[[#This Row],[MONTANT PAYE]]</f>
        <v>0.33999999996740371</v>
      </c>
      <c r="U30" s="122"/>
      <c r="V30" s="123">
        <f>+Tableau330[[#This Row],[DELAI_PAIEMENT]]+Tableau330[[#This Row],[DATE ]]</f>
        <v>45686</v>
      </c>
      <c r="Z30" s="120"/>
    </row>
    <row r="31" spans="1:26">
      <c r="A31" s="83">
        <v>45686</v>
      </c>
      <c r="B31" s="83" t="str">
        <f>IF(ISBLANK(Tableau330[[#This Row],[DATE ]]),"",UPPER(PROPER(TEXT(Tableau330[[#This Row],[DATE ]],"mmmm yyyy"))))</f>
        <v>JANVIER 2025</v>
      </c>
      <c r="C31" s="83" t="s">
        <v>824</v>
      </c>
      <c r="D31" s="120" t="s">
        <v>1097</v>
      </c>
      <c r="E31" s="82" t="s">
        <v>1011</v>
      </c>
      <c r="F31" s="120"/>
      <c r="H31" s="82" t="s">
        <v>1044</v>
      </c>
      <c r="I31" s="82" t="s">
        <v>12</v>
      </c>
      <c r="J31" s="121">
        <v>1</v>
      </c>
      <c r="K31" s="121"/>
      <c r="L31" s="121"/>
      <c r="M31" s="122">
        <v>173729</v>
      </c>
      <c r="N31" s="122">
        <f>+IF(Tableau330[[#This Row],[CODE TVA]]="",0,ROUND(Tableau330[[#This Row],[MONTANT HT]]*0.18*Tableau330[[#This Row],[PRORATA D]],1))</f>
        <v>31271.200000000001</v>
      </c>
      <c r="O31" s="122">
        <f>+IFERROR(Tableau330[[#This Row],[MONTANT HT]]+Tableau330[[#This Row],[TVA]],0)</f>
        <v>205000.2</v>
      </c>
      <c r="P31" s="122"/>
      <c r="Q31" s="122"/>
      <c r="R31" s="122">
        <f>+Tableau330[[#This Row],[MONTANT TTC]]+Tableau330[[#This Row],[TIMBRE ]]+Tableau330[[#This Row],[AUTRES TAXES]]</f>
        <v>205000.2</v>
      </c>
      <c r="S31" s="122">
        <v>205000</v>
      </c>
      <c r="T31" s="122">
        <f>+ROUND(Tableau330[[#This Row],[NET A PAYER]],0)-Tableau330[[#This Row],[MONTANT PAYE]]</f>
        <v>0</v>
      </c>
      <c r="U31" s="122"/>
      <c r="V31" s="123">
        <f>+Tableau330[[#This Row],[DELAI_PAIEMENT]]+Tableau330[[#This Row],[DATE ]]</f>
        <v>45686</v>
      </c>
      <c r="Z31" s="120"/>
    </row>
    <row r="32" spans="1:26">
      <c r="A32" s="83">
        <v>45687</v>
      </c>
      <c r="B32" s="83" t="str">
        <f>IF(ISBLANK(Tableau330[[#This Row],[DATE ]]),"",UPPER(PROPER(TEXT(Tableau330[[#This Row],[DATE ]],"mmmm yyyy"))))</f>
        <v>JANVIER 2025</v>
      </c>
      <c r="C32" s="83" t="s">
        <v>824</v>
      </c>
      <c r="D32" s="120" t="s">
        <v>1082</v>
      </c>
      <c r="E32" s="82" t="s">
        <v>1011</v>
      </c>
      <c r="F32" s="120" t="s">
        <v>1012</v>
      </c>
      <c r="G32" s="82" t="s">
        <v>822</v>
      </c>
      <c r="H32" s="82" t="s">
        <v>1044</v>
      </c>
      <c r="I32" s="82" t="s">
        <v>12</v>
      </c>
      <c r="J32" s="121">
        <v>1</v>
      </c>
      <c r="K32" s="121"/>
      <c r="L32" s="121"/>
      <c r="M32" s="122">
        <v>347034</v>
      </c>
      <c r="N32" s="122">
        <f>+IF(Tableau330[[#This Row],[CODE TVA]]="",0,ROUND(Tableau330[[#This Row],[MONTANT HT]]*0.18*Tableau330[[#This Row],[PRORATA D]],1))</f>
        <v>62466.1</v>
      </c>
      <c r="O32" s="122">
        <f>+IFERROR(Tableau330[[#This Row],[MONTANT HT]]+Tableau330[[#This Row],[TVA]],0)</f>
        <v>409500.1</v>
      </c>
      <c r="P32" s="122">
        <v>500</v>
      </c>
      <c r="Q32" s="122"/>
      <c r="R32" s="122">
        <f>+Tableau330[[#This Row],[MONTANT TTC]]+Tableau330[[#This Row],[TIMBRE ]]+Tableau330[[#This Row],[AUTRES TAXES]]</f>
        <v>410000.1</v>
      </c>
      <c r="S32" s="122">
        <v>410000</v>
      </c>
      <c r="T32" s="122">
        <f>+ROUND(Tableau330[[#This Row],[NET A PAYER]],0)-Tableau330[[#This Row],[MONTANT PAYE]]</f>
        <v>0</v>
      </c>
      <c r="U32" s="122"/>
      <c r="V32" s="123">
        <f>+Tableau330[[#This Row],[DELAI_PAIEMENT]]+Tableau330[[#This Row],[DATE ]]</f>
        <v>45687</v>
      </c>
      <c r="Z32" s="120"/>
    </row>
    <row r="33" spans="1:26">
      <c r="A33" s="83">
        <v>45688</v>
      </c>
      <c r="B33" s="83" t="str">
        <f>IF(ISBLANK(Tableau330[[#This Row],[DATE ]]),"",UPPER(PROPER(TEXT(Tableau330[[#This Row],[DATE ]],"mmmm yyyy"))))</f>
        <v>JANVIER 2025</v>
      </c>
      <c r="C33" s="83" t="s">
        <v>824</v>
      </c>
      <c r="D33" s="120" t="s">
        <v>1051</v>
      </c>
      <c r="E33" s="82" t="s">
        <v>919</v>
      </c>
      <c r="F33" s="120" t="s">
        <v>920</v>
      </c>
      <c r="G33" s="82" t="s">
        <v>822</v>
      </c>
      <c r="H33" s="82" t="s">
        <v>921</v>
      </c>
      <c r="I33" s="82" t="s">
        <v>12</v>
      </c>
      <c r="J33" s="121">
        <v>1</v>
      </c>
      <c r="K33" s="121"/>
      <c r="L33" s="121"/>
      <c r="M33" s="122">
        <v>1322024</v>
      </c>
      <c r="N33" s="122">
        <f>+IF(Tableau330[[#This Row],[CODE TVA]]="",0,ROUND(Tableau330[[#This Row],[MONTANT HT]]*0.18*Tableau330[[#This Row],[PRORATA D]],1))</f>
        <v>237964.3</v>
      </c>
      <c r="O33" s="122">
        <f>+IFERROR(Tableau330[[#This Row],[MONTANT HT]]+Tableau330[[#This Row],[TVA]],0)</f>
        <v>1559988.3</v>
      </c>
      <c r="P33" s="122"/>
      <c r="Q33" s="122"/>
      <c r="R33" s="122">
        <f>+Tableau330[[#This Row],[MONTANT TTC]]+Tableau330[[#This Row],[TIMBRE ]]+Tableau330[[#This Row],[AUTRES TAXES]]</f>
        <v>1559988.3</v>
      </c>
      <c r="S33" s="122">
        <v>1559988</v>
      </c>
      <c r="T33" s="122">
        <f>+ROUND(Tableau330[[#This Row],[NET A PAYER]],0)-Tableau330[[#This Row],[MONTANT PAYE]]</f>
        <v>0</v>
      </c>
      <c r="U33" s="122"/>
      <c r="V33" s="123">
        <f>+Tableau330[[#This Row],[DELAI_PAIEMENT]]+Tableau330[[#This Row],[DATE ]]</f>
        <v>45688</v>
      </c>
      <c r="Z33" s="120"/>
    </row>
    <row r="34" spans="1:26">
      <c r="A34" s="83">
        <v>45691</v>
      </c>
      <c r="B34" s="83" t="str">
        <f>IF(ISBLANK(Tableau330[[#This Row],[DATE ]]),"",UPPER(PROPER(TEXT(Tableau330[[#This Row],[DATE ]],"mmmm yyyy"))))</f>
        <v>FÉVRIER 2025</v>
      </c>
      <c r="C34" s="83" t="s">
        <v>824</v>
      </c>
      <c r="D34" s="120" t="s">
        <v>1030</v>
      </c>
      <c r="E34" s="82" t="s">
        <v>1031</v>
      </c>
      <c r="F34" s="120" t="s">
        <v>1032</v>
      </c>
      <c r="G34" s="82" t="s">
        <v>951</v>
      </c>
      <c r="H34" s="82" t="s">
        <v>1033</v>
      </c>
      <c r="J34" s="121"/>
      <c r="K34" s="121"/>
      <c r="L34" s="121"/>
      <c r="M34" s="122">
        <v>150000</v>
      </c>
      <c r="N34" s="122">
        <f>+IF(Tableau330[[#This Row],[CODE TVA]]="",0,ROUND(Tableau330[[#This Row],[MONTANT HT]]*0.18*Tableau330[[#This Row],[PRORATA D]],1))</f>
        <v>0</v>
      </c>
      <c r="O34" s="122">
        <f>+IFERROR(Tableau330[[#This Row],[MONTANT HT]]+Tableau330[[#This Row],[TVA]],0)</f>
        <v>150000</v>
      </c>
      <c r="P34" s="122"/>
      <c r="Q34" s="122"/>
      <c r="R34" s="122">
        <f>+Tableau330[[#This Row],[MONTANT TTC]]+Tableau330[[#This Row],[TIMBRE ]]+Tableau330[[#This Row],[AUTRES TAXES]]</f>
        <v>150000</v>
      </c>
      <c r="S34" s="122">
        <v>150000</v>
      </c>
      <c r="T34" s="122">
        <f>+ROUND(Tableau330[[#This Row],[NET A PAYER]],0)-Tableau330[[#This Row],[MONTANT PAYE]]</f>
        <v>0</v>
      </c>
      <c r="U34" s="122"/>
      <c r="V34" s="123">
        <f>+Tableau330[[#This Row],[DELAI_PAIEMENT]]+Tableau330[[#This Row],[DATE ]]</f>
        <v>45691</v>
      </c>
      <c r="Z34" s="120"/>
    </row>
    <row r="35" spans="1:26">
      <c r="A35" s="83">
        <v>45691</v>
      </c>
      <c r="B35" s="83" t="str">
        <f>IF(ISBLANK(Tableau330[[#This Row],[DATE ]]),"",UPPER(PROPER(TEXT(Tableau330[[#This Row],[DATE ]],"mmmm yyyy"))))</f>
        <v>FÉVRIER 2025</v>
      </c>
      <c r="C35" s="83" t="s">
        <v>824</v>
      </c>
      <c r="D35" s="120" t="s">
        <v>1038</v>
      </c>
      <c r="E35" s="82" t="s">
        <v>832</v>
      </c>
      <c r="F35" s="120" t="s">
        <v>833</v>
      </c>
      <c r="H35" s="82" t="s">
        <v>1039</v>
      </c>
      <c r="I35" s="82" t="s">
        <v>12</v>
      </c>
      <c r="J35" s="124">
        <v>0.663754701965522</v>
      </c>
      <c r="K35" s="124"/>
      <c r="L35" s="124"/>
      <c r="M35" s="122">
        <f>9703+587</f>
        <v>10290</v>
      </c>
      <c r="N35" s="122">
        <f>+IF(Tableau330[[#This Row],[CODE TVA]]="",0,ROUND(Tableau330[[#This Row],[MONTANT HT]]*0.18*Tableau330[[#This Row],[PRORATA D]],1))</f>
        <v>1229.4000000000001</v>
      </c>
      <c r="O35" s="122">
        <f>+IFERROR(Tableau330[[#This Row],[MONTANT HT]]+Tableau330[[#This Row],[TVA]],0)</f>
        <v>11519.4</v>
      </c>
      <c r="P35" s="122"/>
      <c r="Q35" s="122"/>
      <c r="R35" s="122">
        <f>+Tableau330[[#This Row],[MONTANT TTC]]+Tableau330[[#This Row],[TIMBRE ]]+Tableau330[[#This Row],[AUTRES TAXES]]</f>
        <v>11519.4</v>
      </c>
      <c r="S35" s="122">
        <v>11519</v>
      </c>
      <c r="T35" s="122">
        <f>+ROUND(Tableau330[[#This Row],[NET A PAYER]],0)-Tableau330[[#This Row],[MONTANT PAYE]]</f>
        <v>0</v>
      </c>
      <c r="U35" s="122"/>
      <c r="V35" s="123">
        <f>+Tableau330[[#This Row],[DELAI_PAIEMENT]]+Tableau330[[#This Row],[DATE ]]</f>
        <v>45691</v>
      </c>
      <c r="Z35" s="120"/>
    </row>
    <row r="36" spans="1:26">
      <c r="A36" s="83">
        <v>45691</v>
      </c>
      <c r="B36" s="83" t="str">
        <f>IF(ISBLANK(Tableau330[[#This Row],[DATE ]]),"",UPPER(PROPER(TEXT(Tableau330[[#This Row],[DATE ]],"mmmm yyyy"))))</f>
        <v>FÉVRIER 2025</v>
      </c>
      <c r="C36" s="83" t="s">
        <v>824</v>
      </c>
      <c r="D36" s="120" t="s">
        <v>1050</v>
      </c>
      <c r="E36" s="82" t="s">
        <v>832</v>
      </c>
      <c r="F36" s="120" t="s">
        <v>833</v>
      </c>
      <c r="H36" s="82" t="s">
        <v>855</v>
      </c>
      <c r="J36" s="121"/>
      <c r="K36" s="121"/>
      <c r="L36" s="121"/>
      <c r="M36" s="122">
        <v>2500</v>
      </c>
      <c r="N36" s="122">
        <f>+IF(Tableau330[[#This Row],[CODE TVA]]="",0,ROUND(Tableau330[[#This Row],[MONTANT HT]]*0.18*Tableau330[[#This Row],[PRORATA D]],1))</f>
        <v>0</v>
      </c>
      <c r="O36" s="122">
        <f>+IFERROR(Tableau330[[#This Row],[MONTANT HT]]+Tableau330[[#This Row],[TVA]],0)</f>
        <v>2500</v>
      </c>
      <c r="P36" s="122"/>
      <c r="Q36" s="122"/>
      <c r="R36" s="122">
        <f>+Tableau330[[#This Row],[MONTANT TTC]]+Tableau330[[#This Row],[TIMBRE ]]+Tableau330[[#This Row],[AUTRES TAXES]]</f>
        <v>2500</v>
      </c>
      <c r="S36" s="122">
        <v>2500</v>
      </c>
      <c r="T36" s="122">
        <f>+ROUND(Tableau330[[#This Row],[NET A PAYER]],0)-Tableau330[[#This Row],[MONTANT PAYE]]</f>
        <v>0</v>
      </c>
      <c r="U36" s="122"/>
      <c r="V36" s="123">
        <f>+Tableau330[[#This Row],[DELAI_PAIEMENT]]+Tableau330[[#This Row],[DATE ]]</f>
        <v>45691</v>
      </c>
      <c r="Z36" s="120"/>
    </row>
    <row r="37" spans="1:26">
      <c r="A37" s="83">
        <v>45694</v>
      </c>
      <c r="B37" s="83" t="str">
        <f>IF(ISBLANK(Tableau330[[#This Row],[DATE ]]),"",UPPER(PROPER(TEXT(Tableau330[[#This Row],[DATE ]],"mmmm yyyy"))))</f>
        <v>FÉVRIER 2025</v>
      </c>
      <c r="C37" s="83" t="s">
        <v>824</v>
      </c>
      <c r="D37" s="120" t="s">
        <v>925</v>
      </c>
      <c r="E37" s="82" t="s">
        <v>926</v>
      </c>
      <c r="F37" s="120" t="s">
        <v>927</v>
      </c>
      <c r="H37" s="82" t="s">
        <v>928</v>
      </c>
      <c r="J37" s="121"/>
      <c r="K37" s="121"/>
      <c r="L37" s="121"/>
      <c r="M37" s="122">
        <v>10000</v>
      </c>
      <c r="N37" s="122">
        <f>+IF(Tableau330[[#This Row],[CODE TVA]]="",0,ROUND(Tableau330[[#This Row],[MONTANT HT]]*0.18*Tableau330[[#This Row],[PRORATA D]],1))</f>
        <v>0</v>
      </c>
      <c r="O37" s="122">
        <f>+IFERROR(Tableau330[[#This Row],[MONTANT HT]]+Tableau330[[#This Row],[TVA]],0)</f>
        <v>10000</v>
      </c>
      <c r="P37" s="122"/>
      <c r="Q37" s="122"/>
      <c r="R37" s="122">
        <f>+Tableau330[[#This Row],[MONTANT TTC]]+Tableau330[[#This Row],[TIMBRE ]]+Tableau330[[#This Row],[AUTRES TAXES]]</f>
        <v>10000</v>
      </c>
      <c r="S37" s="122">
        <v>10000</v>
      </c>
      <c r="T37" s="122">
        <f>+ROUND(Tableau330[[#This Row],[NET A PAYER]],0)-Tableau330[[#This Row],[MONTANT PAYE]]</f>
        <v>0</v>
      </c>
      <c r="U37" s="122"/>
      <c r="V37" s="123">
        <f>+Tableau330[[#This Row],[DELAI_PAIEMENT]]+Tableau330[[#This Row],[DATE ]]</f>
        <v>45694</v>
      </c>
      <c r="Z37" s="120"/>
    </row>
    <row r="38" spans="1:26">
      <c r="A38" s="83">
        <v>45695</v>
      </c>
      <c r="B38" s="83" t="str">
        <f>IF(ISBLANK(Tableau330[[#This Row],[DATE ]]),"",UPPER(PROPER(TEXT(Tableau330[[#This Row],[DATE ]],"mmmm yyyy"))))</f>
        <v>FÉVRIER 2025</v>
      </c>
      <c r="C38" s="83" t="s">
        <v>824</v>
      </c>
      <c r="D38" s="120" t="s">
        <v>929</v>
      </c>
      <c r="E38" s="82" t="s">
        <v>926</v>
      </c>
      <c r="F38" s="120" t="s">
        <v>927</v>
      </c>
      <c r="H38" s="82" t="s">
        <v>930</v>
      </c>
      <c r="J38" s="121"/>
      <c r="K38" s="121"/>
      <c r="L38" s="121"/>
      <c r="M38" s="122">
        <v>50000</v>
      </c>
      <c r="N38" s="122">
        <f>+IF(Tableau330[[#This Row],[CODE TVA]]="",0,ROUND(Tableau330[[#This Row],[MONTANT HT]]*0.18*Tableau330[[#This Row],[PRORATA D]],1))</f>
        <v>0</v>
      </c>
      <c r="O38" s="122">
        <f>+IFERROR(Tableau330[[#This Row],[MONTANT HT]]+Tableau330[[#This Row],[TVA]],0)</f>
        <v>50000</v>
      </c>
      <c r="P38" s="122"/>
      <c r="Q38" s="122"/>
      <c r="R38" s="122">
        <f>+Tableau330[[#This Row],[MONTANT TTC]]+Tableau330[[#This Row],[TIMBRE ]]+Tableau330[[#This Row],[AUTRES TAXES]]</f>
        <v>50000</v>
      </c>
      <c r="S38" s="122">
        <v>50000</v>
      </c>
      <c r="T38" s="122">
        <f>+ROUND(Tableau330[[#This Row],[NET A PAYER]],0)-Tableau330[[#This Row],[MONTANT PAYE]]</f>
        <v>0</v>
      </c>
      <c r="U38" s="122"/>
      <c r="V38" s="123">
        <f>+Tableau330[[#This Row],[DELAI_PAIEMENT]]+Tableau330[[#This Row],[DATE ]]</f>
        <v>45695</v>
      </c>
      <c r="Z38" s="120"/>
    </row>
    <row r="39" spans="1:26">
      <c r="A39" s="83">
        <v>45696</v>
      </c>
      <c r="B39" s="83" t="str">
        <f>IF(ISBLANK(Tableau330[[#This Row],[DATE ]]),"",UPPER(PROPER(TEXT(Tableau330[[#This Row],[DATE ]],"mmmm yyyy"))))</f>
        <v>FÉVRIER 2025</v>
      </c>
      <c r="C39" s="83" t="s">
        <v>824</v>
      </c>
      <c r="D39" s="120" t="s">
        <v>1052</v>
      </c>
      <c r="E39" s="82" t="s">
        <v>832</v>
      </c>
      <c r="F39" s="120" t="s">
        <v>833</v>
      </c>
      <c r="H39" s="82" t="s">
        <v>906</v>
      </c>
      <c r="I39" s="82" t="s">
        <v>12</v>
      </c>
      <c r="J39" s="121">
        <v>1</v>
      </c>
      <c r="K39" s="121"/>
      <c r="L39" s="121"/>
      <c r="M39" s="122">
        <v>68008</v>
      </c>
      <c r="N39" s="122">
        <f>+IF(Tableau330[[#This Row],[CODE TVA]]="",0,ROUND(Tableau330[[#This Row],[MONTANT HT]]*0.18*Tableau330[[#This Row],[PRORATA D]],1))</f>
        <v>12241.4</v>
      </c>
      <c r="O39" s="122">
        <f>+IFERROR(Tableau330[[#This Row],[MONTANT HT]]+Tableau330[[#This Row],[TVA]],0)</f>
        <v>80249.399999999994</v>
      </c>
      <c r="P39" s="122">
        <v>100</v>
      </c>
      <c r="Q39" s="122"/>
      <c r="R39" s="122">
        <f>+Tableau330[[#This Row],[MONTANT TTC]]+Tableau330[[#This Row],[TIMBRE ]]+Tableau330[[#This Row],[AUTRES TAXES]]</f>
        <v>80349.399999999994</v>
      </c>
      <c r="S39" s="122">
        <v>80349</v>
      </c>
      <c r="T39" s="122">
        <f>+ROUND(Tableau330[[#This Row],[NET A PAYER]],0)-Tableau330[[#This Row],[MONTANT PAYE]]</f>
        <v>0</v>
      </c>
      <c r="U39" s="122"/>
      <c r="V39" s="123">
        <f>+Tableau330[[#This Row],[DELAI_PAIEMENT]]+Tableau330[[#This Row],[DATE ]]</f>
        <v>45696</v>
      </c>
      <c r="Z39" s="120"/>
    </row>
    <row r="40" spans="1:26">
      <c r="A40" s="83">
        <v>45697</v>
      </c>
      <c r="B40" s="83" t="str">
        <f>IF(ISBLANK(Tableau330[[#This Row],[DATE ]]),"",UPPER(PROPER(TEXT(Tableau330[[#This Row],[DATE ]],"mmmm yyyy"))))</f>
        <v>FÉVRIER 2025</v>
      </c>
      <c r="C40" s="83" t="s">
        <v>824</v>
      </c>
      <c r="D40" s="120" t="s">
        <v>956</v>
      </c>
      <c r="E40" s="82" t="s">
        <v>893</v>
      </c>
      <c r="F40" s="120" t="s">
        <v>954</v>
      </c>
      <c r="G40" s="82" t="s">
        <v>895</v>
      </c>
      <c r="H40" s="82" t="s">
        <v>957</v>
      </c>
      <c r="J40" s="121"/>
      <c r="K40" s="121"/>
      <c r="L40" s="121"/>
      <c r="M40" s="122">
        <v>300000</v>
      </c>
      <c r="N40" s="122">
        <f>+IF(Tableau330[[#This Row],[CODE TVA]]="",0,ROUND(Tableau330[[#This Row],[MONTANT HT]]*0.18*Tableau330[[#This Row],[PRORATA D]],1))</f>
        <v>0</v>
      </c>
      <c r="O40" s="122">
        <f>+IFERROR(Tableau330[[#This Row],[MONTANT HT]]+Tableau330[[#This Row],[TVA]],0)</f>
        <v>300000</v>
      </c>
      <c r="P40" s="122"/>
      <c r="Q40" s="122"/>
      <c r="R40" s="122">
        <f>+Tableau330[[#This Row],[MONTANT TTC]]+Tableau330[[#This Row],[TIMBRE ]]+Tableau330[[#This Row],[AUTRES TAXES]]</f>
        <v>300000</v>
      </c>
      <c r="S40" s="122">
        <v>300000</v>
      </c>
      <c r="T40" s="122">
        <f>+ROUND(Tableau330[[#This Row],[NET A PAYER]],0)-Tableau330[[#This Row],[MONTANT PAYE]]</f>
        <v>0</v>
      </c>
      <c r="U40" s="122"/>
      <c r="V40" s="123">
        <f>+Tableau330[[#This Row],[DELAI_PAIEMENT]]+Tableau330[[#This Row],[DATE ]]</f>
        <v>45697</v>
      </c>
      <c r="Z40" s="120"/>
    </row>
    <row r="41" spans="1:26">
      <c r="A41" s="83">
        <v>45697</v>
      </c>
      <c r="B41" s="83" t="str">
        <f>IF(ISBLANK(Tableau330[[#This Row],[DATE ]]),"",UPPER(PROPER(TEXT(Tableau330[[#This Row],[DATE ]],"mmmm yyyy"))))</f>
        <v>FÉVRIER 2025</v>
      </c>
      <c r="C41" s="83" t="s">
        <v>824</v>
      </c>
      <c r="D41" s="120" t="s">
        <v>1048</v>
      </c>
      <c r="E41" s="82" t="s">
        <v>863</v>
      </c>
      <c r="F41" s="120" t="s">
        <v>864</v>
      </c>
      <c r="G41" s="82" t="s">
        <v>822</v>
      </c>
      <c r="H41" s="82" t="s">
        <v>1049</v>
      </c>
      <c r="J41" s="121"/>
      <c r="K41" s="121"/>
      <c r="L41" s="121"/>
      <c r="M41" s="122">
        <v>19000</v>
      </c>
      <c r="N41" s="122">
        <f>+IF(Tableau330[[#This Row],[CODE TVA]]="",0,ROUND(Tableau330[[#This Row],[MONTANT HT]]*0.18*Tableau330[[#This Row],[PRORATA D]],1))</f>
        <v>0</v>
      </c>
      <c r="O41" s="122">
        <f>+IFERROR(Tableau330[[#This Row],[MONTANT HT]]+Tableau330[[#This Row],[TVA]],0)</f>
        <v>19000</v>
      </c>
      <c r="P41" s="122"/>
      <c r="Q41" s="122"/>
      <c r="R41" s="122">
        <f>+Tableau330[[#This Row],[MONTANT TTC]]+Tableau330[[#This Row],[TIMBRE ]]+Tableau330[[#This Row],[AUTRES TAXES]]</f>
        <v>19000</v>
      </c>
      <c r="S41" s="122">
        <v>19000</v>
      </c>
      <c r="T41" s="122">
        <f>+ROUND(Tableau330[[#This Row],[NET A PAYER]],0)-Tableau330[[#This Row],[MONTANT PAYE]]</f>
        <v>0</v>
      </c>
      <c r="U41" s="122"/>
      <c r="V41" s="123">
        <f>+Tableau330[[#This Row],[DELAI_PAIEMENT]]+Tableau330[[#This Row],[DATE ]]</f>
        <v>45697</v>
      </c>
      <c r="Z41" s="120"/>
    </row>
    <row r="42" spans="1:26">
      <c r="A42" s="83">
        <v>45699</v>
      </c>
      <c r="B42" s="83" t="str">
        <f>IF(ISBLANK(Tableau330[[#This Row],[DATE ]]),"",UPPER(PROPER(TEXT(Tableau330[[#This Row],[DATE ]],"mmmm yyyy"))))</f>
        <v>FÉVRIER 2025</v>
      </c>
      <c r="C42" s="83" t="s">
        <v>824</v>
      </c>
      <c r="D42" s="120" t="s">
        <v>1047</v>
      </c>
      <c r="E42" s="82" t="s">
        <v>937</v>
      </c>
      <c r="F42" s="120" t="s">
        <v>938</v>
      </c>
      <c r="G42" s="82" t="s">
        <v>822</v>
      </c>
      <c r="H42" s="82" t="s">
        <v>939</v>
      </c>
      <c r="J42" s="121"/>
      <c r="K42" s="121"/>
      <c r="L42" s="121"/>
      <c r="M42" s="122">
        <v>455000</v>
      </c>
      <c r="N42" s="122">
        <f>+IF(Tableau330[[#This Row],[CODE TVA]]="",0,ROUND(Tableau330[[#This Row],[MONTANT HT]]*0.18*Tableau330[[#This Row],[PRORATA D]],1))</f>
        <v>0</v>
      </c>
      <c r="O42" s="122">
        <f>+IFERROR(Tableau330[[#This Row],[MONTANT HT]]+Tableau330[[#This Row],[TVA]],0)</f>
        <v>455000</v>
      </c>
      <c r="P42" s="122"/>
      <c r="Q42" s="122"/>
      <c r="R42" s="122">
        <f>+Tableau330[[#This Row],[MONTANT TTC]]+Tableau330[[#This Row],[TIMBRE ]]+Tableau330[[#This Row],[AUTRES TAXES]]</f>
        <v>455000</v>
      </c>
      <c r="S42" s="122">
        <v>455000</v>
      </c>
      <c r="T42" s="122">
        <f>+ROUND(Tableau330[[#This Row],[NET A PAYER]],0)-Tableau330[[#This Row],[MONTANT PAYE]]</f>
        <v>0</v>
      </c>
      <c r="U42" s="122"/>
      <c r="V42" s="123">
        <f>+Tableau330[[#This Row],[DELAI_PAIEMENT]]+Tableau330[[#This Row],[DATE ]]</f>
        <v>45699</v>
      </c>
      <c r="Z42" s="120"/>
    </row>
    <row r="43" spans="1:26">
      <c r="A43" s="83">
        <v>45700</v>
      </c>
      <c r="B43" s="83" t="str">
        <f>IF(ISBLANK(Tableau330[[#This Row],[DATE ]]),"",UPPER(PROPER(TEXT(Tableau330[[#This Row],[DATE ]],"mmmm yyyy"))))</f>
        <v>FÉVRIER 2025</v>
      </c>
      <c r="C43" s="83" t="s">
        <v>819</v>
      </c>
      <c r="D43" s="120" t="s">
        <v>998</v>
      </c>
      <c r="E43" s="82" t="s">
        <v>852</v>
      </c>
      <c r="F43" s="120"/>
      <c r="H43" s="82" t="s">
        <v>999</v>
      </c>
      <c r="J43" s="121"/>
      <c r="K43" s="121"/>
      <c r="L43" s="121"/>
      <c r="M43" s="122">
        <v>300000</v>
      </c>
      <c r="N43" s="122">
        <f>+IF(Tableau330[[#This Row],[CODE TVA]]="",0,ROUND(Tableau330[[#This Row],[MONTANT HT]]*0.18*Tableau330[[#This Row],[PRORATA D]],1))</f>
        <v>0</v>
      </c>
      <c r="O43" s="122">
        <f>+IFERROR(Tableau330[[#This Row],[MONTANT HT]]+Tableau330[[#This Row],[TVA]],0)</f>
        <v>300000</v>
      </c>
      <c r="P43" s="122"/>
      <c r="Q43" s="122"/>
      <c r="R43" s="122">
        <f>+Tableau330[[#This Row],[MONTANT TTC]]+Tableau330[[#This Row],[TIMBRE ]]+Tableau330[[#This Row],[AUTRES TAXES]]</f>
        <v>300000</v>
      </c>
      <c r="S43" s="122">
        <v>300000</v>
      </c>
      <c r="T43" s="122">
        <f>+ROUND(Tableau330[[#This Row],[NET A PAYER]],0)-Tableau330[[#This Row],[MONTANT PAYE]]</f>
        <v>0</v>
      </c>
      <c r="U43" s="122"/>
      <c r="V43" s="123">
        <f>+Tableau330[[#This Row],[DELAI_PAIEMENT]]+Tableau330[[#This Row],[DATE ]]</f>
        <v>45700</v>
      </c>
      <c r="Z43" s="120"/>
    </row>
    <row r="44" spans="1:26">
      <c r="A44" s="83">
        <v>45701</v>
      </c>
      <c r="B44" s="83" t="str">
        <f>IF(ISBLANK(Tableau330[[#This Row],[DATE ]]),"",UPPER(PROPER(TEXT(Tableau330[[#This Row],[DATE ]],"mmmm yyyy"))))</f>
        <v>FÉVRIER 2025</v>
      </c>
      <c r="C44" s="83" t="s">
        <v>824</v>
      </c>
      <c r="D44" s="120" t="s">
        <v>1043</v>
      </c>
      <c r="E44" s="82" t="s">
        <v>1011</v>
      </c>
      <c r="F44" s="120" t="s">
        <v>1012</v>
      </c>
      <c r="G44" s="82" t="s">
        <v>822</v>
      </c>
      <c r="H44" s="82" t="s">
        <v>1044</v>
      </c>
      <c r="I44" s="82" t="s">
        <v>12</v>
      </c>
      <c r="J44" s="121">
        <v>1</v>
      </c>
      <c r="K44" s="121"/>
      <c r="L44" s="121"/>
      <c r="M44" s="122">
        <v>236864</v>
      </c>
      <c r="N44" s="122">
        <f>+IF(Tableau330[[#This Row],[CODE TVA]]="",0,ROUND(Tableau330[[#This Row],[MONTANT HT]]*0.18*Tableau330[[#This Row],[PRORATA D]],1))</f>
        <v>42635.5</v>
      </c>
      <c r="O44" s="122">
        <f>+IFERROR(Tableau330[[#This Row],[MONTANT HT]]+Tableau330[[#This Row],[TVA]],0)</f>
        <v>279499.5</v>
      </c>
      <c r="P44" s="122">
        <v>500</v>
      </c>
      <c r="Q44" s="122"/>
      <c r="R44" s="122">
        <f>+Tableau330[[#This Row],[MONTANT TTC]]+Tableau330[[#This Row],[TIMBRE ]]+Tableau330[[#This Row],[AUTRES TAXES]]</f>
        <v>279999.5</v>
      </c>
      <c r="S44" s="122">
        <v>279999.52</v>
      </c>
      <c r="T44" s="122">
        <f>+ROUND(Tableau330[[#This Row],[NET A PAYER]],0)-Tableau330[[#This Row],[MONTANT PAYE]]</f>
        <v>0.47999999998137355</v>
      </c>
      <c r="U44" s="122"/>
      <c r="V44" s="123">
        <f>+Tableau330[[#This Row],[DELAI_PAIEMENT]]+Tableau330[[#This Row],[DATE ]]</f>
        <v>45701</v>
      </c>
      <c r="Z44" s="120"/>
    </row>
    <row r="45" spans="1:26">
      <c r="A45" s="83">
        <v>45705</v>
      </c>
      <c r="B45" s="83" t="str">
        <f>IF(ISBLANK(Tableau330[[#This Row],[DATE ]]),"",UPPER(PROPER(TEXT(Tableau330[[#This Row],[DATE ]],"mmmm yyyy"))))</f>
        <v>FÉVRIER 2025</v>
      </c>
      <c r="C45" s="83" t="s">
        <v>824</v>
      </c>
      <c r="D45" s="120" t="s">
        <v>1046</v>
      </c>
      <c r="E45" s="82" t="s">
        <v>1011</v>
      </c>
      <c r="F45" s="120" t="s">
        <v>1012</v>
      </c>
      <c r="G45" s="82" t="s">
        <v>822</v>
      </c>
      <c r="H45" s="82" t="s">
        <v>1044</v>
      </c>
      <c r="I45" s="82" t="s">
        <v>12</v>
      </c>
      <c r="J45" s="121">
        <v>1</v>
      </c>
      <c r="K45" s="121"/>
      <c r="L45" s="121"/>
      <c r="M45" s="122">
        <v>173305</v>
      </c>
      <c r="N45" s="122">
        <f>+IF(Tableau330[[#This Row],[CODE TVA]]="",0,ROUND(Tableau330[[#This Row],[MONTANT HT]]*0.18*Tableau330[[#This Row],[PRORATA D]],1))</f>
        <v>31194.9</v>
      </c>
      <c r="O45" s="122">
        <f>+IFERROR(Tableau330[[#This Row],[MONTANT HT]]+Tableau330[[#This Row],[TVA]],0)</f>
        <v>204499.9</v>
      </c>
      <c r="P45" s="122">
        <v>500</v>
      </c>
      <c r="Q45" s="122"/>
      <c r="R45" s="122">
        <f>+Tableau330[[#This Row],[MONTANT TTC]]+Tableau330[[#This Row],[TIMBRE ]]+Tableau330[[#This Row],[AUTRES TAXES]]</f>
        <v>204999.9</v>
      </c>
      <c r="S45" s="122">
        <v>204999.9</v>
      </c>
      <c r="T45" s="122">
        <f>+ROUND(Tableau330[[#This Row],[NET A PAYER]],0)-Tableau330[[#This Row],[MONTANT PAYE]]</f>
        <v>0.10000000000582077</v>
      </c>
      <c r="U45" s="122"/>
      <c r="V45" s="123">
        <f>+Tableau330[[#This Row],[DELAI_PAIEMENT]]+Tableau330[[#This Row],[DATE ]]</f>
        <v>45705</v>
      </c>
      <c r="Z45" s="120"/>
    </row>
    <row r="46" spans="1:26">
      <c r="A46" s="83">
        <v>45706</v>
      </c>
      <c r="B46" s="83" t="str">
        <f>IF(ISBLANK(Tableau330[[#This Row],[DATE ]]),"",UPPER(PROPER(TEXT(Tableau330[[#This Row],[DATE ]],"mmmm yyyy"))))</f>
        <v>FÉVRIER 2025</v>
      </c>
      <c r="C46" s="83" t="s">
        <v>824</v>
      </c>
      <c r="D46" s="120" t="s">
        <v>1040</v>
      </c>
      <c r="E46" s="82" t="s">
        <v>1041</v>
      </c>
      <c r="F46" s="120" t="s">
        <v>833</v>
      </c>
      <c r="H46" s="82" t="s">
        <v>909</v>
      </c>
      <c r="I46" s="82" t="s">
        <v>12</v>
      </c>
      <c r="J46" s="121"/>
      <c r="K46" s="121"/>
      <c r="L46" s="121"/>
      <c r="M46" s="122">
        <v>16600</v>
      </c>
      <c r="N46" s="122">
        <f>+IF(Tableau330[[#This Row],[CODE TVA]]="",0,ROUND(Tableau330[[#This Row],[MONTANT HT]]*0.18*Tableau330[[#This Row],[PRORATA D]],1))</f>
        <v>0</v>
      </c>
      <c r="O46" s="122">
        <f>+IFERROR(Tableau330[[#This Row],[MONTANT HT]]+Tableau330[[#This Row],[TVA]],0)</f>
        <v>16600</v>
      </c>
      <c r="P46" s="122"/>
      <c r="Q46" s="122"/>
      <c r="R46" s="122">
        <f>+Tableau330[[#This Row],[MONTANT TTC]]+Tableau330[[#This Row],[TIMBRE ]]+Tableau330[[#This Row],[AUTRES TAXES]]</f>
        <v>16600</v>
      </c>
      <c r="S46" s="122">
        <v>16600</v>
      </c>
      <c r="T46" s="122">
        <f>+ROUND(Tableau330[[#This Row],[NET A PAYER]],0)-Tableau330[[#This Row],[MONTANT PAYE]]</f>
        <v>0</v>
      </c>
      <c r="U46" s="122"/>
      <c r="V46" s="123">
        <f>+Tableau330[[#This Row],[DELAI_PAIEMENT]]+Tableau330[[#This Row],[DATE ]]</f>
        <v>45706</v>
      </c>
      <c r="Z46" s="120"/>
    </row>
    <row r="47" spans="1:26">
      <c r="A47" s="83">
        <v>45706</v>
      </c>
      <c r="B47" s="83" t="str">
        <f>IF(ISBLANK(Tableau330[[#This Row],[DATE ]]),"",UPPER(PROPER(TEXT(Tableau330[[#This Row],[DATE ]],"mmmm yyyy"))))</f>
        <v>FÉVRIER 2025</v>
      </c>
      <c r="C47" s="83" t="s">
        <v>824</v>
      </c>
      <c r="D47" s="120" t="s">
        <v>1042</v>
      </c>
      <c r="E47" s="82" t="s">
        <v>832</v>
      </c>
      <c r="F47" s="120" t="s">
        <v>833</v>
      </c>
      <c r="H47" s="82" t="s">
        <v>855</v>
      </c>
      <c r="I47" s="82" t="s">
        <v>12</v>
      </c>
      <c r="J47" s="121"/>
      <c r="K47" s="121"/>
      <c r="L47" s="121"/>
      <c r="M47" s="122">
        <v>18250</v>
      </c>
      <c r="N47" s="122">
        <f>+IF(Tableau330[[#This Row],[CODE TVA]]="",0,ROUND(Tableau330[[#This Row],[MONTANT HT]]*0.18*Tableau330[[#This Row],[PRORATA D]],1))</f>
        <v>0</v>
      </c>
      <c r="O47" s="122">
        <f>+IFERROR(Tableau330[[#This Row],[MONTANT HT]]+Tableau330[[#This Row],[TVA]],0)</f>
        <v>18250</v>
      </c>
      <c r="P47" s="122"/>
      <c r="Q47" s="122"/>
      <c r="R47" s="122">
        <f>+Tableau330[[#This Row],[MONTANT TTC]]+Tableau330[[#This Row],[TIMBRE ]]+Tableau330[[#This Row],[AUTRES TAXES]]</f>
        <v>18250</v>
      </c>
      <c r="S47" s="122">
        <v>18250</v>
      </c>
      <c r="T47" s="122">
        <f>+ROUND(Tableau330[[#This Row],[NET A PAYER]],0)-Tableau330[[#This Row],[MONTANT PAYE]]</f>
        <v>0</v>
      </c>
      <c r="U47" s="122"/>
      <c r="V47" s="123">
        <f>+Tableau330[[#This Row],[DELAI_PAIEMENT]]+Tableau330[[#This Row],[DATE ]]</f>
        <v>45706</v>
      </c>
      <c r="Z47" s="120"/>
    </row>
    <row r="48" spans="1:26">
      <c r="A48" s="83">
        <v>45706</v>
      </c>
      <c r="B48" s="83" t="str">
        <f>IF(ISBLANK(Tableau330[[#This Row],[DATE ]]),"",UPPER(PROPER(TEXT(Tableau330[[#This Row],[DATE ]],"mmmm yyyy"))))</f>
        <v>FÉVRIER 2025</v>
      </c>
      <c r="C48" s="83" t="s">
        <v>824</v>
      </c>
      <c r="D48" s="120" t="s">
        <v>1045</v>
      </c>
      <c r="E48" s="82" t="s">
        <v>832</v>
      </c>
      <c r="F48" s="120" t="s">
        <v>833</v>
      </c>
      <c r="G48" s="82" t="s">
        <v>822</v>
      </c>
      <c r="H48" s="82" t="s">
        <v>906</v>
      </c>
      <c r="I48" s="82" t="s">
        <v>12</v>
      </c>
      <c r="J48" s="125">
        <v>0.87060000000000004</v>
      </c>
      <c r="K48" s="125"/>
      <c r="L48" s="125"/>
      <c r="M48" s="122">
        <f>7407+1100</f>
        <v>8507</v>
      </c>
      <c r="N48" s="122">
        <f>+IF(Tableau330[[#This Row],[CODE TVA]]="",0,ROUND(Tableau330[[#This Row],[MONTANT HT]]*0.18*Tableau330[[#This Row],[PRORATA D]],1))</f>
        <v>1333.1</v>
      </c>
      <c r="O48" s="122">
        <f>+IFERROR(Tableau330[[#This Row],[MONTANT HT]]+Tableau330[[#This Row],[TVA]],0)</f>
        <v>9840.1</v>
      </c>
      <c r="P48" s="122">
        <v>100</v>
      </c>
      <c r="Q48" s="122"/>
      <c r="R48" s="122">
        <f>+Tableau330[[#This Row],[MONTANT TTC]]+Tableau330[[#This Row],[TIMBRE ]]+Tableau330[[#This Row],[AUTRES TAXES]]</f>
        <v>9940.1</v>
      </c>
      <c r="S48" s="122">
        <v>9940</v>
      </c>
      <c r="T48" s="122">
        <f>+ROUND(Tableau330[[#This Row],[NET A PAYER]],0)-Tableau330[[#This Row],[MONTANT PAYE]]</f>
        <v>0</v>
      </c>
      <c r="U48" s="122"/>
      <c r="V48" s="123">
        <f>+Tableau330[[#This Row],[DELAI_PAIEMENT]]+Tableau330[[#This Row],[DATE ]]</f>
        <v>45706</v>
      </c>
      <c r="Z48" s="120"/>
    </row>
    <row r="49" spans="1:26">
      <c r="A49" s="83">
        <v>45709</v>
      </c>
      <c r="B49" s="83" t="str">
        <f>IF(ISBLANK(Tableau330[[#This Row],[DATE ]]),"",UPPER(PROPER(TEXT(Tableau330[[#This Row],[DATE ]],"mmmm yyyy"))))</f>
        <v>FÉVRIER 2025</v>
      </c>
      <c r="C49" s="83" t="s">
        <v>824</v>
      </c>
      <c r="D49" s="120" t="s">
        <v>1036</v>
      </c>
      <c r="E49" s="82" t="s">
        <v>832</v>
      </c>
      <c r="F49" s="120" t="s">
        <v>833</v>
      </c>
      <c r="H49" s="82" t="s">
        <v>1037</v>
      </c>
      <c r="I49" s="82" t="s">
        <v>12</v>
      </c>
      <c r="J49" s="121">
        <v>1</v>
      </c>
      <c r="K49" s="121"/>
      <c r="L49" s="121"/>
      <c r="M49" s="122">
        <v>-4576.2700000000004</v>
      </c>
      <c r="N49" s="122">
        <f>+IF(Tableau330[[#This Row],[CODE TVA]]="",0,ROUND(Tableau330[[#This Row],[MONTANT HT]]*0.18*Tableau330[[#This Row],[PRORATA D]],1))</f>
        <v>-823.7</v>
      </c>
      <c r="O49" s="122">
        <f>+IFERROR(Tableau330[[#This Row],[MONTANT HT]]+Tableau330[[#This Row],[TVA]],0)</f>
        <v>-5399.97</v>
      </c>
      <c r="P49" s="122"/>
      <c r="Q49" s="122"/>
      <c r="R49" s="122">
        <f>+Tableau330[[#This Row],[MONTANT TTC]]+Tableau330[[#This Row],[TIMBRE ]]+Tableau330[[#This Row],[AUTRES TAXES]]</f>
        <v>-5399.97</v>
      </c>
      <c r="S49" s="122">
        <v>-5400</v>
      </c>
      <c r="T49" s="122">
        <f>+ROUND(Tableau330[[#This Row],[NET A PAYER]],0)-Tableau330[[#This Row],[MONTANT PAYE]]</f>
        <v>0</v>
      </c>
      <c r="U49" s="122"/>
      <c r="V49" s="123">
        <f>+Tableau330[[#This Row],[DELAI_PAIEMENT]]+Tableau330[[#This Row],[DATE ]]</f>
        <v>45709</v>
      </c>
      <c r="Z49" s="120"/>
    </row>
    <row r="50" spans="1:26">
      <c r="A50" s="83">
        <v>45712</v>
      </c>
      <c r="B50" s="83" t="str">
        <f>IF(ISBLANK(Tableau330[[#This Row],[DATE ]]),"",UPPER(PROPER(TEXT(Tableau330[[#This Row],[DATE ]],"mmmm yyyy"))))</f>
        <v>FÉVRIER 2025</v>
      </c>
      <c r="C50" s="83" t="s">
        <v>819</v>
      </c>
      <c r="D50" s="120" t="s">
        <v>897</v>
      </c>
      <c r="E50" s="82" t="s">
        <v>898</v>
      </c>
      <c r="F50" s="120" t="s">
        <v>899</v>
      </c>
      <c r="G50" s="82" t="s">
        <v>828</v>
      </c>
      <c r="H50" s="82" t="s">
        <v>900</v>
      </c>
      <c r="J50" s="121"/>
      <c r="K50" s="121"/>
      <c r="L50" s="121"/>
      <c r="M50" s="122">
        <v>15000</v>
      </c>
      <c r="N50" s="122">
        <f>+IF(Tableau330[[#This Row],[CODE TVA]]="",0,ROUND(Tableau330[[#This Row],[MONTANT HT]]*0.18*Tableau330[[#This Row],[PRORATA D]],1))</f>
        <v>0</v>
      </c>
      <c r="O50" s="122">
        <f>+IFERROR(Tableau330[[#This Row],[MONTANT HT]]+Tableau330[[#This Row],[TVA]],0)</f>
        <v>15000</v>
      </c>
      <c r="P50" s="122"/>
      <c r="Q50" s="122"/>
      <c r="R50" s="122">
        <f>+Tableau330[[#This Row],[MONTANT TTC]]+Tableau330[[#This Row],[TIMBRE ]]+Tableau330[[#This Row],[AUTRES TAXES]]</f>
        <v>15000</v>
      </c>
      <c r="S50" s="122">
        <v>15000</v>
      </c>
      <c r="T50" s="122">
        <f>+ROUND(Tableau330[[#This Row],[NET A PAYER]],0)-Tableau330[[#This Row],[MONTANT PAYE]]</f>
        <v>0</v>
      </c>
      <c r="U50" s="122"/>
      <c r="V50" s="123">
        <f>+Tableau330[[#This Row],[DELAI_PAIEMENT]]+Tableau330[[#This Row],[DATE ]]</f>
        <v>45712</v>
      </c>
      <c r="Z50" s="120"/>
    </row>
    <row r="51" spans="1:26">
      <c r="A51" s="83">
        <v>45716</v>
      </c>
      <c r="B51" s="83" t="str">
        <f>IF(ISBLANK(Tableau330[[#This Row],[DATE ]]),"",UPPER(PROPER(TEXT(Tableau330[[#This Row],[DATE ]],"mmmm yyyy"))))</f>
        <v>FÉVRIER 2025</v>
      </c>
      <c r="C51" s="83" t="s">
        <v>819</v>
      </c>
      <c r="D51" s="120" t="s">
        <v>877</v>
      </c>
      <c r="E51" s="82" t="s">
        <v>878</v>
      </c>
      <c r="F51" s="120"/>
      <c r="H51" s="82" t="s">
        <v>879</v>
      </c>
      <c r="J51" s="121"/>
      <c r="K51" s="121"/>
      <c r="L51" s="121"/>
      <c r="M51" s="122">
        <v>100000</v>
      </c>
      <c r="N51" s="122">
        <f>+IF(Tableau330[[#This Row],[CODE TVA]]="",0,ROUND(Tableau330[[#This Row],[MONTANT HT]]*0.18*Tableau330[[#This Row],[PRORATA D]],1))</f>
        <v>0</v>
      </c>
      <c r="O51" s="122">
        <f>+IFERROR(Tableau330[[#This Row],[MONTANT HT]]+Tableau330[[#This Row],[TVA]],0)</f>
        <v>100000</v>
      </c>
      <c r="P51" s="122"/>
      <c r="Q51" s="122"/>
      <c r="R51" s="122">
        <f>+Tableau330[[#This Row],[MONTANT TTC]]+Tableau330[[#This Row],[TIMBRE ]]+Tableau330[[#This Row],[AUTRES TAXES]]</f>
        <v>100000</v>
      </c>
      <c r="S51" s="122">
        <v>100000</v>
      </c>
      <c r="T51" s="122">
        <f>+ROUND(Tableau330[[#This Row],[NET A PAYER]],0)-Tableau330[[#This Row],[MONTANT PAYE]]</f>
        <v>0</v>
      </c>
      <c r="U51" s="122"/>
      <c r="V51" s="123">
        <f>+Tableau330[[#This Row],[DELAI_PAIEMENT]]+Tableau330[[#This Row],[DATE ]]</f>
        <v>45716</v>
      </c>
      <c r="Z51" s="120"/>
    </row>
    <row r="52" spans="1:26">
      <c r="A52" s="83">
        <v>45717</v>
      </c>
      <c r="B52" s="83" t="str">
        <f>IF(ISBLANK(Tableau330[[#This Row],[DATE ]]),"",UPPER(PROPER(TEXT(Tableau330[[#This Row],[DATE ]],"mmmm yyyy"))))</f>
        <v>MARS 2025</v>
      </c>
      <c r="C52" s="83" t="s">
        <v>819</v>
      </c>
      <c r="D52" s="120" t="s">
        <v>1024</v>
      </c>
      <c r="E52" s="82" t="s">
        <v>872</v>
      </c>
      <c r="F52" s="120" t="s">
        <v>873</v>
      </c>
      <c r="H52" s="82" t="s">
        <v>1025</v>
      </c>
      <c r="J52" s="121"/>
      <c r="K52" s="121"/>
      <c r="L52" s="121"/>
      <c r="M52" s="122">
        <v>300000</v>
      </c>
      <c r="N52" s="122">
        <f>+IF(Tableau330[[#This Row],[CODE TVA]]="",0,ROUND(Tableau330[[#This Row],[MONTANT HT]]*0.18*Tableau330[[#This Row],[PRORATA D]],1))</f>
        <v>0</v>
      </c>
      <c r="O52" s="122">
        <f>+IFERROR(Tableau330[[#This Row],[MONTANT HT]]+Tableau330[[#This Row],[TVA]],0)</f>
        <v>300000</v>
      </c>
      <c r="P52" s="122"/>
      <c r="Q52" s="122"/>
      <c r="R52" s="122">
        <f>+Tableau330[[#This Row],[MONTANT TTC]]+Tableau330[[#This Row],[TIMBRE ]]+Tableau330[[#This Row],[AUTRES TAXES]]</f>
        <v>300000</v>
      </c>
      <c r="S52" s="122">
        <v>300000</v>
      </c>
      <c r="T52" s="122">
        <f>+ROUND(Tableau330[[#This Row],[NET A PAYER]],0)-Tableau330[[#This Row],[MONTANT PAYE]]</f>
        <v>0</v>
      </c>
      <c r="U52" s="122"/>
      <c r="V52" s="123">
        <f>+Tableau330[[#This Row],[DELAI_PAIEMENT]]+Tableau330[[#This Row],[DATE ]]</f>
        <v>45717</v>
      </c>
      <c r="Z52" s="120"/>
    </row>
    <row r="53" spans="1:26">
      <c r="A53" s="83">
        <v>45719</v>
      </c>
      <c r="B53" s="83" t="str">
        <f>IF(ISBLANK(Tableau330[[#This Row],[DATE ]]),"",UPPER(PROPER(TEXT(Tableau330[[#This Row],[DATE ]],"mmmm yyyy"))))</f>
        <v>MARS 2025</v>
      </c>
      <c r="C53" s="83" t="s">
        <v>819</v>
      </c>
      <c r="D53" s="120" t="s">
        <v>1008</v>
      </c>
      <c r="E53" s="82" t="s">
        <v>852</v>
      </c>
      <c r="F53" s="120"/>
      <c r="H53" s="82" t="s">
        <v>1009</v>
      </c>
      <c r="J53" s="121"/>
      <c r="K53" s="121"/>
      <c r="L53" s="121"/>
      <c r="M53" s="122">
        <v>200000</v>
      </c>
      <c r="N53" s="122">
        <f>+IF(Tableau330[[#This Row],[CODE TVA]]="",0,ROUND(Tableau330[[#This Row],[MONTANT HT]]*0.18*Tableau330[[#This Row],[PRORATA D]],1))</f>
        <v>0</v>
      </c>
      <c r="O53" s="122">
        <f>+IFERROR(Tableau330[[#This Row],[MONTANT HT]]+Tableau330[[#This Row],[TVA]],0)</f>
        <v>200000</v>
      </c>
      <c r="P53" s="122"/>
      <c r="Q53" s="122"/>
      <c r="R53" s="122">
        <f>+Tableau330[[#This Row],[MONTANT TTC]]+Tableau330[[#This Row],[TIMBRE ]]+Tableau330[[#This Row],[AUTRES TAXES]]</f>
        <v>200000</v>
      </c>
      <c r="S53" s="122">
        <v>200000</v>
      </c>
      <c r="T53" s="122">
        <f>+ROUND(Tableau330[[#This Row],[NET A PAYER]],0)-Tableau330[[#This Row],[MONTANT PAYE]]</f>
        <v>0</v>
      </c>
      <c r="U53" s="122"/>
      <c r="V53" s="123">
        <f>+Tableau330[[#This Row],[DELAI_PAIEMENT]]+Tableau330[[#This Row],[DATE ]]</f>
        <v>45719</v>
      </c>
      <c r="Z53" s="120"/>
    </row>
    <row r="54" spans="1:26">
      <c r="A54" s="83">
        <v>45720</v>
      </c>
      <c r="B54" s="83" t="str">
        <f>IF(ISBLANK(Tableau330[[#This Row],[DATE ]]),"",UPPER(PROPER(TEXT(Tableau330[[#This Row],[DATE ]],"mmmm yyyy"))))</f>
        <v>MARS 2025</v>
      </c>
      <c r="C54" s="83" t="s">
        <v>824</v>
      </c>
      <c r="D54" s="120" t="s">
        <v>982</v>
      </c>
      <c r="E54" s="82" t="s">
        <v>904</v>
      </c>
      <c r="F54" s="120" t="s">
        <v>905</v>
      </c>
      <c r="G54" s="82" t="s">
        <v>822</v>
      </c>
      <c r="H54" s="82" t="s">
        <v>983</v>
      </c>
      <c r="I54" s="82" t="s">
        <v>12</v>
      </c>
      <c r="J54" s="121">
        <v>1</v>
      </c>
      <c r="K54" s="121"/>
      <c r="L54" s="121"/>
      <c r="M54" s="122">
        <v>14195</v>
      </c>
      <c r="N54" s="122">
        <f>+IF(Tableau330[[#This Row],[CODE TVA]]="",0,ROUND(Tableau330[[#This Row],[MONTANT HT]]*0.18*Tableau330[[#This Row],[PRORATA D]],1))</f>
        <v>2555.1</v>
      </c>
      <c r="O54" s="122">
        <f>+IFERROR(Tableau330[[#This Row],[MONTANT HT]]+Tableau330[[#This Row],[TVA]],0)</f>
        <v>16750.099999999999</v>
      </c>
      <c r="P54" s="122"/>
      <c r="Q54" s="122"/>
      <c r="R54" s="122">
        <f>+Tableau330[[#This Row],[MONTANT TTC]]+Tableau330[[#This Row],[TIMBRE ]]+Tableau330[[#This Row],[AUTRES TAXES]]</f>
        <v>16750.099999999999</v>
      </c>
      <c r="S54" s="122">
        <v>16750</v>
      </c>
      <c r="T54" s="122">
        <f>+ROUND(Tableau330[[#This Row],[NET A PAYER]],0)-Tableau330[[#This Row],[MONTANT PAYE]]</f>
        <v>0</v>
      </c>
      <c r="U54" s="122"/>
      <c r="V54" s="123">
        <f>+Tableau330[[#This Row],[DELAI_PAIEMENT]]+Tableau330[[#This Row],[DATE ]]</f>
        <v>45720</v>
      </c>
      <c r="Z54" s="120"/>
    </row>
    <row r="55" spans="1:26">
      <c r="A55" s="83">
        <v>45720</v>
      </c>
      <c r="B55" s="83" t="str">
        <f>IF(ISBLANK(Tableau330[[#This Row],[DATE ]]),"",UPPER(PROPER(TEXT(Tableau330[[#This Row],[DATE ]],"mmmm yyyy"))))</f>
        <v>MARS 2025</v>
      </c>
      <c r="C55" s="83" t="s">
        <v>824</v>
      </c>
      <c r="D55" s="120" t="s">
        <v>1026</v>
      </c>
      <c r="E55" s="82" t="s">
        <v>1027</v>
      </c>
      <c r="F55" s="120" t="s">
        <v>1028</v>
      </c>
      <c r="H55" s="82" t="s">
        <v>1029</v>
      </c>
      <c r="J55" s="121"/>
      <c r="K55" s="121"/>
      <c r="L55" s="121"/>
      <c r="M55" s="122">
        <v>605175</v>
      </c>
      <c r="N55" s="122">
        <f>+IF(Tableau330[[#This Row],[CODE TVA]]="",0,ROUND(Tableau330[[#This Row],[MONTANT HT]]*0.18*Tableau330[[#This Row],[PRORATA D]],1))</f>
        <v>0</v>
      </c>
      <c r="O55" s="122">
        <f>+IFERROR(Tableau330[[#This Row],[MONTANT HT]]+Tableau330[[#This Row],[TVA]],0)</f>
        <v>605175</v>
      </c>
      <c r="P55" s="122"/>
      <c r="Q55" s="122"/>
      <c r="R55" s="122">
        <f>+Tableau330[[#This Row],[MONTANT TTC]]+Tableau330[[#This Row],[TIMBRE ]]+Tableau330[[#This Row],[AUTRES TAXES]]</f>
        <v>605175</v>
      </c>
      <c r="S55" s="122">
        <v>605175</v>
      </c>
      <c r="T55" s="122">
        <f>+ROUND(Tableau330[[#This Row],[NET A PAYER]],0)-Tableau330[[#This Row],[MONTANT PAYE]]</f>
        <v>0</v>
      </c>
      <c r="U55" s="122"/>
      <c r="V55" s="123">
        <f>+Tableau330[[#This Row],[DELAI_PAIEMENT]]+Tableau330[[#This Row],[DATE ]]</f>
        <v>45720</v>
      </c>
      <c r="Z55" s="120"/>
    </row>
    <row r="56" spans="1:26">
      <c r="A56" s="83">
        <v>45720</v>
      </c>
      <c r="B56" s="83" t="str">
        <f>IF(ISBLANK(Tableau330[[#This Row],[DATE ]]),"",UPPER(PROPER(TEXT(Tableau330[[#This Row],[DATE ]],"mmmm yyyy"))))</f>
        <v>MARS 2025</v>
      </c>
      <c r="C56" s="83" t="s">
        <v>824</v>
      </c>
      <c r="D56" s="120" t="s">
        <v>1034</v>
      </c>
      <c r="E56" s="82" t="s">
        <v>898</v>
      </c>
      <c r="F56" s="120" t="s">
        <v>899</v>
      </c>
      <c r="G56" s="82" t="s">
        <v>895</v>
      </c>
      <c r="H56" s="82" t="s">
        <v>1035</v>
      </c>
      <c r="J56" s="121"/>
      <c r="K56" s="121"/>
      <c r="L56" s="121"/>
      <c r="M56" s="122">
        <v>30000</v>
      </c>
      <c r="N56" s="122">
        <f>+IF(Tableau330[[#This Row],[CODE TVA]]="",0,ROUND(Tableau330[[#This Row],[MONTANT HT]]*0.18*Tableau330[[#This Row],[PRORATA D]],1))</f>
        <v>0</v>
      </c>
      <c r="O56" s="122">
        <f>+IFERROR(Tableau330[[#This Row],[MONTANT HT]]+Tableau330[[#This Row],[TVA]],0)</f>
        <v>30000</v>
      </c>
      <c r="P56" s="122"/>
      <c r="Q56" s="122"/>
      <c r="R56" s="122">
        <f>+Tableau330[[#This Row],[MONTANT TTC]]+Tableau330[[#This Row],[TIMBRE ]]+Tableau330[[#This Row],[AUTRES TAXES]]</f>
        <v>30000</v>
      </c>
      <c r="S56" s="122">
        <v>30000</v>
      </c>
      <c r="T56" s="122">
        <f>+ROUND(Tableau330[[#This Row],[NET A PAYER]],0)-Tableau330[[#This Row],[MONTANT PAYE]]</f>
        <v>0</v>
      </c>
      <c r="U56" s="122"/>
      <c r="V56" s="123">
        <f>+Tableau330[[#This Row],[DELAI_PAIEMENT]]+Tableau330[[#This Row],[DATE ]]</f>
        <v>45720</v>
      </c>
      <c r="Z56" s="120"/>
    </row>
    <row r="57" spans="1:26">
      <c r="A57" s="83">
        <v>45721</v>
      </c>
      <c r="B57" s="83" t="str">
        <f>IF(ISBLANK(Tableau330[[#This Row],[DATE ]]),"",UPPER(PROPER(TEXT(Tableau330[[#This Row],[DATE ]],"mmmm yyyy"))))</f>
        <v>MARS 2025</v>
      </c>
      <c r="C57" s="83" t="s">
        <v>824</v>
      </c>
      <c r="D57" s="120" t="s">
        <v>984</v>
      </c>
      <c r="E57" s="82" t="s">
        <v>832</v>
      </c>
      <c r="F57" s="120" t="s">
        <v>833</v>
      </c>
      <c r="G57" s="82" t="s">
        <v>822</v>
      </c>
      <c r="H57" s="82" t="s">
        <v>985</v>
      </c>
      <c r="I57" s="82" t="s">
        <v>12</v>
      </c>
      <c r="J57" s="121">
        <v>1</v>
      </c>
      <c r="K57" s="121"/>
      <c r="L57" s="121"/>
      <c r="M57" s="122">
        <v>3220.34</v>
      </c>
      <c r="N57" s="122">
        <f>+IF(Tableau330[[#This Row],[CODE TVA]]="",0,ROUND(Tableau330[[#This Row],[MONTANT HT]]*0.18*Tableau330[[#This Row],[PRORATA D]],1))</f>
        <v>579.70000000000005</v>
      </c>
      <c r="O57" s="122">
        <f>+IFERROR(Tableau330[[#This Row],[MONTANT HT]]+Tableau330[[#This Row],[TVA]],0)</f>
        <v>3800.04</v>
      </c>
      <c r="P57" s="122"/>
      <c r="Q57" s="122"/>
      <c r="R57" s="122">
        <f>+Tableau330[[#This Row],[MONTANT TTC]]+Tableau330[[#This Row],[TIMBRE ]]+Tableau330[[#This Row],[AUTRES TAXES]]</f>
        <v>3800.04</v>
      </c>
      <c r="S57" s="122">
        <v>3800</v>
      </c>
      <c r="T57" s="122">
        <f>+ROUND(Tableau330[[#This Row],[NET A PAYER]],0)-Tableau330[[#This Row],[MONTANT PAYE]]</f>
        <v>0</v>
      </c>
      <c r="U57" s="122"/>
      <c r="V57" s="123">
        <f>+Tableau330[[#This Row],[DELAI_PAIEMENT]]+Tableau330[[#This Row],[DATE ]]</f>
        <v>45721</v>
      </c>
      <c r="Z57" s="120"/>
    </row>
    <row r="58" spans="1:26">
      <c r="A58" s="83">
        <v>45721</v>
      </c>
      <c r="B58" s="83" t="str">
        <f>IF(ISBLANK(Tableau330[[#This Row],[DATE ]]),"",UPPER(PROPER(TEXT(Tableau330[[#This Row],[DATE ]],"mmmm yyyy"))))</f>
        <v>MARS 2025</v>
      </c>
      <c r="C58" s="83" t="s">
        <v>824</v>
      </c>
      <c r="D58" s="120" t="s">
        <v>986</v>
      </c>
      <c r="E58" s="82" t="s">
        <v>987</v>
      </c>
      <c r="F58" s="120" t="s">
        <v>916</v>
      </c>
      <c r="H58" s="82" t="s">
        <v>988</v>
      </c>
      <c r="J58" s="121"/>
      <c r="K58" s="121"/>
      <c r="L58" s="121"/>
      <c r="M58" s="122">
        <v>15000</v>
      </c>
      <c r="N58" s="122">
        <f>+IF(Tableau330[[#This Row],[CODE TVA]]="",0,ROUND(Tableau330[[#This Row],[MONTANT HT]]*0.18*Tableau330[[#This Row],[PRORATA D]],1))</f>
        <v>0</v>
      </c>
      <c r="O58" s="122">
        <f>+IFERROR(Tableau330[[#This Row],[MONTANT HT]]+Tableau330[[#This Row],[TVA]],0)</f>
        <v>15000</v>
      </c>
      <c r="P58" s="122"/>
      <c r="Q58" s="122"/>
      <c r="R58" s="122">
        <f>+Tableau330[[#This Row],[MONTANT TTC]]+Tableau330[[#This Row],[TIMBRE ]]+Tableau330[[#This Row],[AUTRES TAXES]]</f>
        <v>15000</v>
      </c>
      <c r="S58" s="122">
        <v>15000</v>
      </c>
      <c r="T58" s="122">
        <f>+ROUND(Tableau330[[#This Row],[NET A PAYER]],0)-Tableau330[[#This Row],[MONTANT PAYE]]</f>
        <v>0</v>
      </c>
      <c r="U58" s="122"/>
      <c r="V58" s="123">
        <f>+Tableau330[[#This Row],[DELAI_PAIEMENT]]+Tableau330[[#This Row],[DATE ]]</f>
        <v>45721</v>
      </c>
      <c r="Z58" s="120"/>
    </row>
    <row r="59" spans="1:26">
      <c r="A59" s="83">
        <v>45721</v>
      </c>
      <c r="B59" s="83" t="str">
        <f>IF(ISBLANK(Tableau330[[#This Row],[DATE ]]),"",UPPER(PROPER(TEXT(Tableau330[[#This Row],[DATE ]],"mmmm yyyy"))))</f>
        <v>MARS 2025</v>
      </c>
      <c r="C59" s="83" t="s">
        <v>824</v>
      </c>
      <c r="D59" s="120" t="s">
        <v>989</v>
      </c>
      <c r="E59" s="82" t="s">
        <v>990</v>
      </c>
      <c r="F59" s="120" t="s">
        <v>991</v>
      </c>
      <c r="H59" s="82" t="s">
        <v>992</v>
      </c>
      <c r="J59" s="121"/>
      <c r="K59" s="121"/>
      <c r="L59" s="121"/>
      <c r="M59" s="122">
        <v>2255000</v>
      </c>
      <c r="N59" s="122">
        <f>+IF(Tableau330[[#This Row],[CODE TVA]]="",0,ROUND(Tableau330[[#This Row],[MONTANT HT]]*0.18*Tableau330[[#This Row],[PRORATA D]],1))</f>
        <v>0</v>
      </c>
      <c r="O59" s="122">
        <f>+IFERROR(Tableau330[[#This Row],[MONTANT HT]]+Tableau330[[#This Row],[TVA]],0)</f>
        <v>2255000</v>
      </c>
      <c r="P59" s="122"/>
      <c r="Q59" s="122"/>
      <c r="R59" s="122">
        <f>+Tableau330[[#This Row],[MONTANT TTC]]+Tableau330[[#This Row],[TIMBRE ]]+Tableau330[[#This Row],[AUTRES TAXES]]</f>
        <v>2255000</v>
      </c>
      <c r="S59" s="122">
        <v>2255000</v>
      </c>
      <c r="T59" s="122">
        <f>+ROUND(Tableau330[[#This Row],[NET A PAYER]],0)-Tableau330[[#This Row],[MONTANT PAYE]]</f>
        <v>0</v>
      </c>
      <c r="U59" s="122"/>
      <c r="V59" s="123">
        <f>+Tableau330[[#This Row],[DELAI_PAIEMENT]]+Tableau330[[#This Row],[DATE ]]</f>
        <v>45721</v>
      </c>
      <c r="Z59" s="120"/>
    </row>
    <row r="60" spans="1:26">
      <c r="A60" s="83">
        <v>45721</v>
      </c>
      <c r="B60" s="83" t="str">
        <f>IF(ISBLANK(Tableau330[[#This Row],[DATE ]]),"",UPPER(PROPER(TEXT(Tableau330[[#This Row],[DATE ]],"mmmm yyyy"))))</f>
        <v>MARS 2025</v>
      </c>
      <c r="C60" s="83" t="s">
        <v>824</v>
      </c>
      <c r="D60" s="120" t="s">
        <v>993</v>
      </c>
      <c r="E60" s="82" t="s">
        <v>832</v>
      </c>
      <c r="F60" s="120" t="s">
        <v>833</v>
      </c>
      <c r="H60" s="82" t="s">
        <v>994</v>
      </c>
      <c r="J60" s="121"/>
      <c r="K60" s="121"/>
      <c r="L60" s="121"/>
      <c r="M60" s="122">
        <v>121875</v>
      </c>
      <c r="N60" s="122">
        <f>+IF(Tableau330[[#This Row],[CODE TVA]]="",0,ROUND(Tableau330[[#This Row],[MONTANT HT]]*0.18*Tableau330[[#This Row],[PRORATA D]],1))</f>
        <v>0</v>
      </c>
      <c r="O60" s="122">
        <f>+IFERROR(Tableau330[[#This Row],[MONTANT HT]]+Tableau330[[#This Row],[TVA]],0)</f>
        <v>121875</v>
      </c>
      <c r="P60" s="122"/>
      <c r="Q60" s="122"/>
      <c r="R60" s="122">
        <f>+Tableau330[[#This Row],[MONTANT TTC]]+Tableau330[[#This Row],[TIMBRE ]]+Tableau330[[#This Row],[AUTRES TAXES]]</f>
        <v>121875</v>
      </c>
      <c r="S60" s="122">
        <v>121875</v>
      </c>
      <c r="T60" s="122">
        <f>+ROUND(Tableau330[[#This Row],[NET A PAYER]],0)-Tableau330[[#This Row],[MONTANT PAYE]]</f>
        <v>0</v>
      </c>
      <c r="U60" s="122"/>
      <c r="V60" s="123">
        <f>+Tableau330[[#This Row],[DELAI_PAIEMENT]]+Tableau330[[#This Row],[DATE ]]</f>
        <v>45721</v>
      </c>
      <c r="Z60" s="120"/>
    </row>
    <row r="61" spans="1:26">
      <c r="A61" s="83">
        <v>45721</v>
      </c>
      <c r="B61" s="83" t="str">
        <f>IF(ISBLANK(Tableau330[[#This Row],[DATE ]]),"",UPPER(PROPER(TEXT(Tableau330[[#This Row],[DATE ]],"mmmm yyyy"))))</f>
        <v>MARS 2025</v>
      </c>
      <c r="C61" s="83" t="s">
        <v>824</v>
      </c>
      <c r="D61" s="120" t="s">
        <v>1004</v>
      </c>
      <c r="E61" s="82" t="s">
        <v>1005</v>
      </c>
      <c r="F61" s="120" t="s">
        <v>1006</v>
      </c>
      <c r="H61" s="82" t="s">
        <v>1007</v>
      </c>
      <c r="I61" s="82" t="s">
        <v>12</v>
      </c>
      <c r="J61" s="121">
        <v>1</v>
      </c>
      <c r="K61" s="121"/>
      <c r="L61" s="121"/>
      <c r="M61" s="122">
        <f>132020+4421</f>
        <v>136441</v>
      </c>
      <c r="N61" s="122">
        <f>+IF(Tableau330[[#This Row],[CODE TVA]]="",0,ROUND(Tableau330[[#This Row],[MONTANT HT]]*0.18*Tableau330[[#This Row],[PRORATA D]],1))</f>
        <v>24559.4</v>
      </c>
      <c r="O61" s="122">
        <f>+IFERROR(Tableau330[[#This Row],[MONTANT HT]]+Tableau330[[#This Row],[TVA]],0)</f>
        <v>161000.4</v>
      </c>
      <c r="P61" s="122"/>
      <c r="Q61" s="122"/>
      <c r="R61" s="122">
        <f>+Tableau330[[#This Row],[MONTANT TTC]]+Tableau330[[#This Row],[TIMBRE ]]+Tableau330[[#This Row],[AUTRES TAXES]]</f>
        <v>161000.4</v>
      </c>
      <c r="S61" s="122">
        <v>161000</v>
      </c>
      <c r="T61" s="122">
        <f>+ROUND(Tableau330[[#This Row],[NET A PAYER]],0)-Tableau330[[#This Row],[MONTANT PAYE]]</f>
        <v>0</v>
      </c>
      <c r="U61" s="122"/>
      <c r="V61" s="123">
        <f>+Tableau330[[#This Row],[DELAI_PAIEMENT]]+Tableau330[[#This Row],[DATE ]]</f>
        <v>45721</v>
      </c>
      <c r="Z61" s="120"/>
    </row>
    <row r="62" spans="1:26">
      <c r="A62" s="83">
        <v>45721</v>
      </c>
      <c r="B62" s="83" t="str">
        <f>IF(ISBLANK(Tableau330[[#This Row],[DATE ]]),"",UPPER(PROPER(TEXT(Tableau330[[#This Row],[DATE ]],"mmmm yyyy"))))</f>
        <v>MARS 2025</v>
      </c>
      <c r="C62" s="83" t="s">
        <v>870</v>
      </c>
      <c r="D62" s="120" t="s">
        <v>1101</v>
      </c>
      <c r="E62" s="82" t="s">
        <v>832</v>
      </c>
      <c r="F62" s="120"/>
      <c r="H62" s="82" t="s">
        <v>1102</v>
      </c>
      <c r="J62" s="121"/>
      <c r="K62" s="121"/>
      <c r="L62" s="121"/>
      <c r="M62" s="122">
        <v>121875</v>
      </c>
      <c r="N62" s="122">
        <f>+IF(Tableau330[[#This Row],[CODE TVA]]="",0,ROUND(Tableau330[[#This Row],[MONTANT HT]]*0.18*Tableau330[[#This Row],[PRORATA D]],1))</f>
        <v>0</v>
      </c>
      <c r="O62" s="122">
        <f>+IFERROR(Tableau330[[#This Row],[MONTANT HT]]+Tableau330[[#This Row],[TVA]],0)</f>
        <v>121875</v>
      </c>
      <c r="P62" s="122"/>
      <c r="Q62" s="122"/>
      <c r="R62" s="122">
        <f>+Tableau330[[#This Row],[MONTANT TTC]]+Tableau330[[#This Row],[TIMBRE ]]+Tableau330[[#This Row],[AUTRES TAXES]]</f>
        <v>121875</v>
      </c>
      <c r="S62" s="122">
        <v>121875</v>
      </c>
      <c r="T62" s="122">
        <f>+ROUND(Tableau330[[#This Row],[NET A PAYER]],0)-Tableau330[[#This Row],[MONTANT PAYE]]</f>
        <v>0</v>
      </c>
      <c r="U62" s="122"/>
      <c r="V62" s="123">
        <f>+Tableau330[[#This Row],[DELAI_PAIEMENT]]+Tableau330[[#This Row],[DATE ]]</f>
        <v>45721</v>
      </c>
      <c r="Z62" s="120"/>
    </row>
    <row r="63" spans="1:26">
      <c r="A63" s="83">
        <v>45723</v>
      </c>
      <c r="B63" s="83" t="str">
        <f>IF(ISBLANK(Tableau330[[#This Row],[DATE ]]),"",UPPER(PROPER(TEXT(Tableau330[[#This Row],[DATE ]],"mmmm yyyy"))))</f>
        <v>MARS 2025</v>
      </c>
      <c r="C63" s="83" t="s">
        <v>819</v>
      </c>
      <c r="D63" s="120" t="s">
        <v>960</v>
      </c>
      <c r="E63" s="82" t="s">
        <v>961</v>
      </c>
      <c r="F63" s="120" t="s">
        <v>962</v>
      </c>
      <c r="G63" s="82" t="s">
        <v>822</v>
      </c>
      <c r="H63" s="82" t="s">
        <v>963</v>
      </c>
      <c r="I63" s="82" t="s">
        <v>12</v>
      </c>
      <c r="J63" s="121">
        <v>1</v>
      </c>
      <c r="K63" s="121"/>
      <c r="L63" s="121"/>
      <c r="M63" s="122">
        <v>104025</v>
      </c>
      <c r="N63" s="122">
        <f>+IF(Tableau330[[#This Row],[CODE TVA]]="",0,ROUND(Tableau330[[#This Row],[MONTANT HT]]*0.18*Tableau330[[#This Row],[PRORATA D]],1))</f>
        <v>18724.5</v>
      </c>
      <c r="O63" s="122">
        <f>+IFERROR(Tableau330[[#This Row],[MONTANT HT]]+Tableau330[[#This Row],[TVA]],0)</f>
        <v>122749.5</v>
      </c>
      <c r="P63" s="122"/>
      <c r="Q63" s="122"/>
      <c r="R63" s="122">
        <f>+Tableau330[[#This Row],[MONTANT TTC]]+Tableau330[[#This Row],[TIMBRE ]]+Tableau330[[#This Row],[AUTRES TAXES]]</f>
        <v>122749.5</v>
      </c>
      <c r="S63" s="122">
        <v>122749.5</v>
      </c>
      <c r="T63" s="122">
        <f>+ROUND(Tableau330[[#This Row],[NET A PAYER]],0)-Tableau330[[#This Row],[MONTANT PAYE]]</f>
        <v>0.5</v>
      </c>
      <c r="U63" s="122"/>
      <c r="V63" s="123">
        <f>+Tableau330[[#This Row],[DELAI_PAIEMENT]]+Tableau330[[#This Row],[DATE ]]</f>
        <v>45723</v>
      </c>
      <c r="Z63" s="120"/>
    </row>
    <row r="64" spans="1:26">
      <c r="A64" s="83">
        <v>45726</v>
      </c>
      <c r="B64" s="83" t="str">
        <f>IF(ISBLANK(Tableau330[[#This Row],[DATE ]]),"",UPPER(PROPER(TEXT(Tableau330[[#This Row],[DATE ]],"mmmm yyyy"))))</f>
        <v>MARS 2025</v>
      </c>
      <c r="C64" s="83" t="s">
        <v>824</v>
      </c>
      <c r="D64" s="120" t="s">
        <v>995</v>
      </c>
      <c r="E64" s="82" t="s">
        <v>937</v>
      </c>
      <c r="F64" s="120" t="s">
        <v>938</v>
      </c>
      <c r="H64" s="82" t="s">
        <v>939</v>
      </c>
      <c r="J64" s="121"/>
      <c r="K64" s="121"/>
      <c r="L64" s="121"/>
      <c r="M64" s="122">
        <v>455000</v>
      </c>
      <c r="N64" s="122">
        <f>+IF(Tableau330[[#This Row],[CODE TVA]]="",0,ROUND(Tableau330[[#This Row],[MONTANT HT]]*0.18*Tableau330[[#This Row],[PRORATA D]],1))</f>
        <v>0</v>
      </c>
      <c r="O64" s="122">
        <f>+IFERROR(Tableau330[[#This Row],[MONTANT HT]]+Tableau330[[#This Row],[TVA]],0)</f>
        <v>455000</v>
      </c>
      <c r="P64" s="122"/>
      <c r="Q64" s="122"/>
      <c r="R64" s="122">
        <f>+Tableau330[[#This Row],[MONTANT TTC]]+Tableau330[[#This Row],[TIMBRE ]]+Tableau330[[#This Row],[AUTRES TAXES]]</f>
        <v>455000</v>
      </c>
      <c r="S64" s="122">
        <v>455000</v>
      </c>
      <c r="T64" s="122">
        <f>+ROUND(Tableau330[[#This Row],[NET A PAYER]],0)-Tableau330[[#This Row],[MONTANT PAYE]]</f>
        <v>0</v>
      </c>
      <c r="U64" s="122"/>
      <c r="V64" s="123">
        <f>+Tableau330[[#This Row],[DELAI_PAIEMENT]]+Tableau330[[#This Row],[DATE ]]</f>
        <v>45726</v>
      </c>
      <c r="Z64" s="120"/>
    </row>
    <row r="65" spans="1:27">
      <c r="A65" s="83">
        <v>45733</v>
      </c>
      <c r="B65" s="83" t="str">
        <f>IF(ISBLANK(Tableau330[[#This Row],[DATE ]]),"",UPPER(PROPER(TEXT(Tableau330[[#This Row],[DATE ]],"mmmm yyyy"))))</f>
        <v>MARS 2025</v>
      </c>
      <c r="C65" s="83" t="s">
        <v>824</v>
      </c>
      <c r="D65" s="120" t="s">
        <v>1000</v>
      </c>
      <c r="E65" s="82" t="s">
        <v>1001</v>
      </c>
      <c r="F65" s="120" t="s">
        <v>1002</v>
      </c>
      <c r="H65" s="82" t="s">
        <v>1003</v>
      </c>
      <c r="I65" s="82" t="s">
        <v>12</v>
      </c>
      <c r="J65" s="121">
        <v>1</v>
      </c>
      <c r="K65" s="121"/>
      <c r="L65" s="121"/>
      <c r="M65" s="122">
        <v>675000</v>
      </c>
      <c r="N65" s="122">
        <f>+IF(Tableau330[[#This Row],[CODE TVA]]="",0,ROUND(Tableau330[[#This Row],[MONTANT HT]]*0.18*Tableau330[[#This Row],[PRORATA D]],1))</f>
        <v>121500</v>
      </c>
      <c r="O65" s="122">
        <f>+IFERROR(Tableau330[[#This Row],[MONTANT HT]]+Tableau330[[#This Row],[TVA]],0)</f>
        <v>796500</v>
      </c>
      <c r="P65" s="122"/>
      <c r="Q65" s="122"/>
      <c r="R65" s="122">
        <f>+Tableau330[[#This Row],[MONTANT TTC]]+Tableau330[[#This Row],[TIMBRE ]]+Tableau330[[#This Row],[AUTRES TAXES]]</f>
        <v>796500</v>
      </c>
      <c r="S65" s="122">
        <v>796500</v>
      </c>
      <c r="T65" s="122">
        <f>+ROUND(Tableau330[[#This Row],[NET A PAYER]],0)-Tableau330[[#This Row],[MONTANT PAYE]]</f>
        <v>0</v>
      </c>
      <c r="U65" s="122"/>
      <c r="V65" s="123">
        <f>+Tableau330[[#This Row],[DELAI_PAIEMENT]]+Tableau330[[#This Row],[DATE ]]</f>
        <v>45733</v>
      </c>
      <c r="Z65" s="120"/>
    </row>
    <row r="66" spans="1:27">
      <c r="A66" s="83">
        <v>45737</v>
      </c>
      <c r="B66" s="83" t="str">
        <f>IF(ISBLANK(Tableau330[[#This Row],[DATE ]]),"",UPPER(PROPER(TEXT(Tableau330[[#This Row],[DATE ]],"mmmm yyyy"))))</f>
        <v>MARS 2025</v>
      </c>
      <c r="C66" s="83" t="s">
        <v>819</v>
      </c>
      <c r="D66" s="120" t="s">
        <v>1216</v>
      </c>
      <c r="E66" s="82" t="s">
        <v>1217</v>
      </c>
      <c r="F66" s="120" t="s">
        <v>1218</v>
      </c>
      <c r="H66" s="82" t="s">
        <v>1219</v>
      </c>
      <c r="J66" s="121"/>
      <c r="K66" s="121"/>
      <c r="L66" s="121"/>
      <c r="M66" s="122">
        <v>31873000</v>
      </c>
      <c r="N66" s="122">
        <f>+IF(Tableau330[[#This Row],[CODE TVA]]="",0,ROUND(Tableau330[[#This Row],[MONTANT HT]]*0.18*Tableau330[[#This Row],[PRORATA D]],1))</f>
        <v>0</v>
      </c>
      <c r="O66" s="122">
        <f>+IFERROR(Tableau330[[#This Row],[MONTANT HT]]+Tableau330[[#This Row],[TVA]],0)</f>
        <v>31873000</v>
      </c>
      <c r="P66" s="122"/>
      <c r="Q66" s="122"/>
      <c r="R66" s="122">
        <f>+Tableau330[[#This Row],[MONTANT TTC]]+Tableau330[[#This Row],[TIMBRE ]]+Tableau330[[#This Row],[AUTRES TAXES]]</f>
        <v>31873000</v>
      </c>
      <c r="S66" s="122">
        <v>31873000</v>
      </c>
      <c r="T66" s="122">
        <f>+ROUND(Tableau330[[#This Row],[NET A PAYER]],0)-Tableau330[[#This Row],[MONTANT PAYE]]</f>
        <v>0</v>
      </c>
      <c r="U66" s="122"/>
      <c r="V66" s="123">
        <f>+Tableau330[[#This Row],[DELAI_PAIEMENT]]+Tableau330[[#This Row],[DATE ]]</f>
        <v>45737</v>
      </c>
      <c r="X66" s="82" t="s">
        <v>699</v>
      </c>
      <c r="Z66" s="120"/>
    </row>
    <row r="67" spans="1:27">
      <c r="A67" s="83">
        <v>45741</v>
      </c>
      <c r="B67" s="83" t="str">
        <f>IF(ISBLANK(Tableau330[[#This Row],[DATE ]]),"",UPPER(PROPER(TEXT(Tableau330[[#This Row],[DATE ]],"mmmm yyyy"))))</f>
        <v>MARS 2025</v>
      </c>
      <c r="C67" s="83" t="s">
        <v>824</v>
      </c>
      <c r="D67" s="120" t="s">
        <v>978</v>
      </c>
      <c r="E67" s="82" t="s">
        <v>979</v>
      </c>
      <c r="F67" s="120" t="s">
        <v>980</v>
      </c>
      <c r="G67" s="82" t="s">
        <v>822</v>
      </c>
      <c r="H67" s="82" t="s">
        <v>981</v>
      </c>
      <c r="I67" s="82" t="s">
        <v>12</v>
      </c>
      <c r="J67" s="121">
        <v>1</v>
      </c>
      <c r="K67" s="121"/>
      <c r="L67" s="121"/>
      <c r="M67" s="122">
        <v>10466102</v>
      </c>
      <c r="N67" s="122">
        <f>+IF(Tableau330[[#This Row],[CODE TVA]]="",0,ROUND(Tableau330[[#This Row],[MONTANT HT]]*0.18*Tableau330[[#This Row],[PRORATA D]],1))</f>
        <v>1883898.4</v>
      </c>
      <c r="O67" s="122">
        <f>+IFERROR(Tableau330[[#This Row],[MONTANT HT]]+Tableau330[[#This Row],[TVA]],0)</f>
        <v>12350000.4</v>
      </c>
      <c r="P67" s="122"/>
      <c r="Q67" s="122"/>
      <c r="R67" s="122">
        <f>+Tableau330[[#This Row],[MONTANT TTC]]+Tableau330[[#This Row],[TIMBRE ]]+Tableau330[[#This Row],[AUTRES TAXES]]</f>
        <v>12350000.4</v>
      </c>
      <c r="S67" s="122">
        <v>12350000</v>
      </c>
      <c r="T67" s="122">
        <f>+ROUND(Tableau330[[#This Row],[NET A PAYER]],0)-Tableau330[[#This Row],[MONTANT PAYE]]</f>
        <v>0</v>
      </c>
      <c r="U67" s="122"/>
      <c r="V67" s="123">
        <f>+Tableau330[[#This Row],[DELAI_PAIEMENT]]+Tableau330[[#This Row],[DATE ]]</f>
        <v>45741</v>
      </c>
      <c r="Z67" s="120"/>
      <c r="AA67" s="82" t="s">
        <v>700</v>
      </c>
    </row>
    <row r="68" spans="1:27">
      <c r="A68" s="83">
        <v>45745</v>
      </c>
      <c r="B68" s="83" t="str">
        <f>IF(ISBLANK(Tableau330[[#This Row],[DATE ]]),"",UPPER(PROPER(TEXT(Tableau330[[#This Row],[DATE ]],"mmmm yyyy"))))</f>
        <v>MARS 2025</v>
      </c>
      <c r="C68" s="83" t="s">
        <v>819</v>
      </c>
      <c r="D68" s="120" t="s">
        <v>877</v>
      </c>
      <c r="E68" s="82" t="s">
        <v>878</v>
      </c>
      <c r="F68" s="120"/>
      <c r="H68" s="82" t="s">
        <v>879</v>
      </c>
      <c r="J68" s="121"/>
      <c r="K68" s="121"/>
      <c r="L68" s="121"/>
      <c r="M68" s="122">
        <v>100000</v>
      </c>
      <c r="N68" s="122">
        <f>+IF(Tableau330[[#This Row],[CODE TVA]]="",0,ROUND(Tableau330[[#This Row],[MONTANT HT]]*0.18*Tableau330[[#This Row],[PRORATA D]],1))</f>
        <v>0</v>
      </c>
      <c r="O68" s="122">
        <f>+IFERROR(Tableau330[[#This Row],[MONTANT HT]]+Tableau330[[#This Row],[TVA]],0)</f>
        <v>100000</v>
      </c>
      <c r="P68" s="122"/>
      <c r="Q68" s="122"/>
      <c r="R68" s="122">
        <f>+Tableau330[[#This Row],[MONTANT TTC]]+Tableau330[[#This Row],[TIMBRE ]]+Tableau330[[#This Row],[AUTRES TAXES]]</f>
        <v>100000</v>
      </c>
      <c r="S68" s="122">
        <v>100000</v>
      </c>
      <c r="T68" s="122">
        <f>+ROUND(Tableau330[[#This Row],[NET A PAYER]],0)-Tableau330[[#This Row],[MONTANT PAYE]]</f>
        <v>0</v>
      </c>
      <c r="U68" s="122"/>
      <c r="V68" s="123">
        <f>+Tableau330[[#This Row],[DELAI_PAIEMENT]]+Tableau330[[#This Row],[DATE ]]</f>
        <v>45745</v>
      </c>
      <c r="Z68" s="120"/>
    </row>
    <row r="69" spans="1:27">
      <c r="A69" s="83">
        <v>45745</v>
      </c>
      <c r="B69" s="83" t="str">
        <f>IF(ISBLANK(Tableau330[[#This Row],[DATE ]]),"",UPPER(PROPER(TEXT(Tableau330[[#This Row],[DATE ]],"mmmm yyyy"))))</f>
        <v>MARS 2025</v>
      </c>
      <c r="C69" s="83" t="s">
        <v>824</v>
      </c>
      <c r="D69" s="120" t="s">
        <v>970</v>
      </c>
      <c r="E69" s="82" t="s">
        <v>971</v>
      </c>
      <c r="F69" s="120" t="s">
        <v>972</v>
      </c>
      <c r="G69" s="82" t="s">
        <v>822</v>
      </c>
      <c r="H69" s="82" t="s">
        <v>973</v>
      </c>
      <c r="I69" s="82" t="s">
        <v>12</v>
      </c>
      <c r="J69" s="121">
        <v>1</v>
      </c>
      <c r="K69" s="121"/>
      <c r="L69" s="121"/>
      <c r="M69" s="122">
        <v>26271186.440000001</v>
      </c>
      <c r="N69" s="122">
        <f>+IF(Tableau330[[#This Row],[CODE TVA]]="",0,ROUND(Tableau330[[#This Row],[MONTANT HT]]*0.18*Tableau330[[#This Row],[PRORATA D]],1))</f>
        <v>4728813.5999999996</v>
      </c>
      <c r="O69" s="122">
        <f>+IFERROR(Tableau330[[#This Row],[MONTANT HT]]+Tableau330[[#This Row],[TVA]],0)</f>
        <v>31000000.039999999</v>
      </c>
      <c r="P69" s="122"/>
      <c r="Q69" s="122"/>
      <c r="R69" s="122">
        <f>+Tableau330[[#This Row],[MONTANT TTC]]+Tableau330[[#This Row],[TIMBRE ]]+Tableau330[[#This Row],[AUTRES TAXES]]</f>
        <v>31000000.039999999</v>
      </c>
      <c r="S69" s="122">
        <v>30999999.999200001</v>
      </c>
      <c r="T69" s="122">
        <f>+ROUND(Tableau330[[#This Row],[NET A PAYER]],0)-Tableau330[[#This Row],[MONTANT PAYE]]</f>
        <v>7.9999864101409912E-4</v>
      </c>
      <c r="U69" s="122"/>
      <c r="V69" s="123">
        <f>+Tableau330[[#This Row],[DELAI_PAIEMENT]]+Tableau330[[#This Row],[DATE ]]</f>
        <v>45745</v>
      </c>
      <c r="Z69" s="120"/>
      <c r="AA69" s="82" t="s">
        <v>700</v>
      </c>
    </row>
    <row r="70" spans="1:27">
      <c r="A70" s="83">
        <v>45745</v>
      </c>
      <c r="B70" s="83" t="str">
        <f>IF(ISBLANK(Tableau330[[#This Row],[DATE ]]),"",UPPER(PROPER(TEXT(Tableau330[[#This Row],[DATE ]],"mmmm yyyy"))))</f>
        <v>MARS 2025</v>
      </c>
      <c r="C70" s="83" t="s">
        <v>824</v>
      </c>
      <c r="D70" s="120" t="s">
        <v>974</v>
      </c>
      <c r="E70" s="82" t="s">
        <v>971</v>
      </c>
      <c r="F70" s="120" t="s">
        <v>972</v>
      </c>
      <c r="G70" s="82" t="s">
        <v>822</v>
      </c>
      <c r="H70" s="82" t="s">
        <v>975</v>
      </c>
      <c r="I70" s="82" t="s">
        <v>12</v>
      </c>
      <c r="J70" s="121">
        <v>1</v>
      </c>
      <c r="K70" s="121"/>
      <c r="L70" s="121"/>
      <c r="M70" s="122">
        <v>26271186.440000001</v>
      </c>
      <c r="N70" s="122">
        <f>+IF(Tableau330[[#This Row],[CODE TVA]]="",0,ROUND(Tableau330[[#This Row],[MONTANT HT]]*0.18*Tableau330[[#This Row],[PRORATA D]],1))</f>
        <v>4728813.5999999996</v>
      </c>
      <c r="O70" s="122">
        <f>+IFERROR(Tableau330[[#This Row],[MONTANT HT]]+Tableau330[[#This Row],[TVA]],0)</f>
        <v>31000000.039999999</v>
      </c>
      <c r="P70" s="122"/>
      <c r="Q70" s="122"/>
      <c r="R70" s="122">
        <f>+Tableau330[[#This Row],[MONTANT TTC]]+Tableau330[[#This Row],[TIMBRE ]]+Tableau330[[#This Row],[AUTRES TAXES]]</f>
        <v>31000000.039999999</v>
      </c>
      <c r="S70" s="122">
        <v>30999999.999200001</v>
      </c>
      <c r="T70" s="122">
        <f>+ROUND(Tableau330[[#This Row],[NET A PAYER]],0)-Tableau330[[#This Row],[MONTANT PAYE]]</f>
        <v>7.9999864101409912E-4</v>
      </c>
      <c r="U70" s="122"/>
      <c r="V70" s="123">
        <f>+Tableau330[[#This Row],[DELAI_PAIEMENT]]+Tableau330[[#This Row],[DATE ]]</f>
        <v>45745</v>
      </c>
      <c r="Z70" s="120"/>
      <c r="AA70" s="82" t="s">
        <v>700</v>
      </c>
    </row>
    <row r="71" spans="1:27">
      <c r="A71" s="83">
        <v>45745</v>
      </c>
      <c r="B71" s="83" t="str">
        <f>IF(ISBLANK(Tableau330[[#This Row],[DATE ]]),"",UPPER(PROPER(TEXT(Tableau330[[#This Row],[DATE ]],"mmmm yyyy"))))</f>
        <v>MARS 2025</v>
      </c>
      <c r="C71" s="83" t="s">
        <v>824</v>
      </c>
      <c r="D71" s="120" t="s">
        <v>976</v>
      </c>
      <c r="E71" s="82" t="s">
        <v>971</v>
      </c>
      <c r="F71" s="120" t="s">
        <v>972</v>
      </c>
      <c r="G71" s="82" t="s">
        <v>822</v>
      </c>
      <c r="H71" s="82" t="s">
        <v>977</v>
      </c>
      <c r="I71" s="82" t="s">
        <v>12</v>
      </c>
      <c r="J71" s="121">
        <v>1</v>
      </c>
      <c r="K71" s="121"/>
      <c r="L71" s="121"/>
      <c r="M71" s="122">
        <v>13135593.220000001</v>
      </c>
      <c r="N71" s="122">
        <f>+IF(Tableau330[[#This Row],[CODE TVA]]="",0,ROUND(Tableau330[[#This Row],[MONTANT HT]]*0.18*Tableau330[[#This Row],[PRORATA D]],1))</f>
        <v>2364406.7999999998</v>
      </c>
      <c r="O71" s="122">
        <f>+IFERROR(Tableau330[[#This Row],[MONTANT HT]]+Tableau330[[#This Row],[TVA]],0)</f>
        <v>15500000.02</v>
      </c>
      <c r="P71" s="122"/>
      <c r="Q71" s="122"/>
      <c r="R71" s="122">
        <f>+Tableau330[[#This Row],[MONTANT TTC]]+Tableau330[[#This Row],[TIMBRE ]]+Tableau330[[#This Row],[AUTRES TAXES]]</f>
        <v>15500000.02</v>
      </c>
      <c r="S71" s="122">
        <v>15499999.999600001</v>
      </c>
      <c r="T71" s="122">
        <f>+ROUND(Tableau330[[#This Row],[NET A PAYER]],0)-Tableau330[[#This Row],[MONTANT PAYE]]</f>
        <v>3.9999932050704956E-4</v>
      </c>
      <c r="U71" s="122"/>
      <c r="V71" s="123">
        <f>+Tableau330[[#This Row],[DELAI_PAIEMENT]]+Tableau330[[#This Row],[DATE ]]</f>
        <v>45745</v>
      </c>
      <c r="Z71" s="120"/>
      <c r="AA71" s="82" t="s">
        <v>700</v>
      </c>
    </row>
    <row r="72" spans="1:27">
      <c r="A72" s="83">
        <v>45747</v>
      </c>
      <c r="B72" s="83" t="str">
        <f>IF(ISBLANK(Tableau330[[#This Row],[DATE ]]),"",UPPER(PROPER(TEXT(Tableau330[[#This Row],[DATE ]],"mmmm yyyy"))))</f>
        <v>MARS 2025</v>
      </c>
      <c r="C72" s="83" t="s">
        <v>824</v>
      </c>
      <c r="D72" s="120" t="s">
        <v>918</v>
      </c>
      <c r="E72" s="82" t="s">
        <v>919</v>
      </c>
      <c r="F72" s="120" t="s">
        <v>920</v>
      </c>
      <c r="H72" s="82" t="s">
        <v>921</v>
      </c>
      <c r="I72" s="82" t="s">
        <v>12</v>
      </c>
      <c r="J72" s="121">
        <v>1</v>
      </c>
      <c r="K72" s="121"/>
      <c r="L72" s="121"/>
      <c r="M72" s="122">
        <v>1983051</v>
      </c>
      <c r="N72" s="122">
        <f>+IF(Tableau330[[#This Row],[CODE TVA]]="",0,ROUND(Tableau330[[#This Row],[MONTANT HT]]*0.18*Tableau330[[#This Row],[PRORATA D]],1))</f>
        <v>356949.2</v>
      </c>
      <c r="O72" s="122">
        <f>+IFERROR(Tableau330[[#This Row],[MONTANT HT]]+Tableau330[[#This Row],[TVA]],0)</f>
        <v>2340000.2000000002</v>
      </c>
      <c r="P72" s="122"/>
      <c r="Q72" s="122"/>
      <c r="R72" s="122">
        <f>+Tableau330[[#This Row],[MONTANT TTC]]+Tableau330[[#This Row],[TIMBRE ]]+Tableau330[[#This Row],[AUTRES TAXES]]</f>
        <v>2340000.2000000002</v>
      </c>
      <c r="S72" s="122">
        <v>2340000</v>
      </c>
      <c r="T72" s="122">
        <f>+ROUND(Tableau330[[#This Row],[NET A PAYER]],0)-Tableau330[[#This Row],[MONTANT PAYE]]</f>
        <v>0</v>
      </c>
      <c r="U72" s="122"/>
      <c r="V72" s="123">
        <f>+Tableau330[[#This Row],[DELAI_PAIEMENT]]+Tableau330[[#This Row],[DATE ]]</f>
        <v>45747</v>
      </c>
      <c r="Z72" s="120"/>
    </row>
    <row r="73" spans="1:27">
      <c r="A73" s="83">
        <v>45749</v>
      </c>
      <c r="B73" s="83" t="str">
        <f>IF(ISBLANK(Tableau330[[#This Row],[DATE ]]),"",UPPER(PROPER(TEXT(Tableau330[[#This Row],[DATE ]],"mmmm yyyy"))))</f>
        <v>AVRIL 2025</v>
      </c>
      <c r="C73" s="83" t="s">
        <v>819</v>
      </c>
      <c r="D73" s="120" t="s">
        <v>958</v>
      </c>
      <c r="E73" s="82" t="s">
        <v>852</v>
      </c>
      <c r="F73" s="120"/>
      <c r="H73" s="82" t="s">
        <v>959</v>
      </c>
      <c r="J73" s="121"/>
      <c r="K73" s="121"/>
      <c r="L73" s="121"/>
      <c r="M73" s="122">
        <v>260000</v>
      </c>
      <c r="N73" s="122">
        <f>+IF(Tableau330[[#This Row],[CODE TVA]]="",0,ROUND(Tableau330[[#This Row],[MONTANT HT]]*0.18*Tableau330[[#This Row],[PRORATA D]],1))</f>
        <v>0</v>
      </c>
      <c r="O73" s="122">
        <f>+IFERROR(Tableau330[[#This Row],[MONTANT HT]]+Tableau330[[#This Row],[TVA]],0)</f>
        <v>260000</v>
      </c>
      <c r="P73" s="122"/>
      <c r="Q73" s="122"/>
      <c r="R73" s="122">
        <f>+Tableau330[[#This Row],[MONTANT TTC]]+Tableau330[[#This Row],[TIMBRE ]]+Tableau330[[#This Row],[AUTRES TAXES]]</f>
        <v>260000</v>
      </c>
      <c r="S73" s="122">
        <v>260000</v>
      </c>
      <c r="T73" s="122">
        <f>+ROUND(Tableau330[[#This Row],[NET A PAYER]],0)-Tableau330[[#This Row],[MONTANT PAYE]]</f>
        <v>0</v>
      </c>
      <c r="U73" s="122"/>
      <c r="V73" s="123">
        <f>+Tableau330[[#This Row],[DELAI_PAIEMENT]]+Tableau330[[#This Row],[DATE ]]</f>
        <v>45749</v>
      </c>
      <c r="Z73" s="120"/>
    </row>
    <row r="74" spans="1:27">
      <c r="A74" s="83">
        <v>45750</v>
      </c>
      <c r="B74" s="83" t="str">
        <f>IF(ISBLANK(Tableau330[[#This Row],[DATE ]]),"",UPPER(PROPER(TEXT(Tableau330[[#This Row],[DATE ]],"mmmm yyyy"))))</f>
        <v>AVRIL 2025</v>
      </c>
      <c r="C74" s="83" t="s">
        <v>819</v>
      </c>
      <c r="D74" s="120" t="s">
        <v>901</v>
      </c>
      <c r="E74" s="82" t="s">
        <v>872</v>
      </c>
      <c r="F74" s="120" t="s">
        <v>873</v>
      </c>
      <c r="H74" s="82" t="s">
        <v>902</v>
      </c>
      <c r="J74" s="121"/>
      <c r="K74" s="121"/>
      <c r="L74" s="121"/>
      <c r="M74" s="122">
        <v>300000</v>
      </c>
      <c r="N74" s="122">
        <f>+IF(Tableau330[[#This Row],[CODE TVA]]="",0,ROUND(Tableau330[[#This Row],[MONTANT HT]]*0.18*Tableau330[[#This Row],[PRORATA D]],1))</f>
        <v>0</v>
      </c>
      <c r="O74" s="122">
        <f>+IFERROR(Tableau330[[#This Row],[MONTANT HT]]+Tableau330[[#This Row],[TVA]],0)</f>
        <v>300000</v>
      </c>
      <c r="P74" s="122"/>
      <c r="Q74" s="122"/>
      <c r="R74" s="122">
        <f>+Tableau330[[#This Row],[MONTANT TTC]]+Tableau330[[#This Row],[TIMBRE ]]+Tableau330[[#This Row],[AUTRES TAXES]]</f>
        <v>300000</v>
      </c>
      <c r="S74" s="122">
        <v>300000</v>
      </c>
      <c r="T74" s="122">
        <f>+ROUND(Tableau330[[#This Row],[NET A PAYER]],0)-Tableau330[[#This Row],[MONTANT PAYE]]</f>
        <v>0</v>
      </c>
      <c r="U74" s="122"/>
      <c r="V74" s="123">
        <f>+Tableau330[[#This Row],[DELAI_PAIEMENT]]+Tableau330[[#This Row],[DATE ]]</f>
        <v>45750</v>
      </c>
      <c r="Z74" s="120"/>
    </row>
    <row r="75" spans="1:27">
      <c r="A75" s="83">
        <v>45754</v>
      </c>
      <c r="B75" s="83" t="str">
        <f>IF(ISBLANK(Tableau330[[#This Row],[DATE ]]),"",UPPER(PROPER(TEXT(Tableau330[[#This Row],[DATE ]],"mmmm yyyy"))))</f>
        <v>AVRIL 2025</v>
      </c>
      <c r="C75" s="83" t="s">
        <v>824</v>
      </c>
      <c r="D75" s="120" t="s">
        <v>964</v>
      </c>
      <c r="E75" s="82" t="s">
        <v>832</v>
      </c>
      <c r="F75" s="120" t="s">
        <v>833</v>
      </c>
      <c r="H75" s="82" t="s">
        <v>867</v>
      </c>
      <c r="I75" s="82" t="s">
        <v>12</v>
      </c>
      <c r="J75" s="125">
        <v>0.22900000000000001</v>
      </c>
      <c r="K75" s="125"/>
      <c r="L75" s="125"/>
      <c r="M75" s="122">
        <v>66127</v>
      </c>
      <c r="N75" s="122">
        <f>+IF(Tableau330[[#This Row],[CODE TVA]]="",0,ROUND(Tableau330[[#This Row],[MONTANT HT]]*0.18*Tableau330[[#This Row],[PRORATA D]],1))</f>
        <v>2725.8</v>
      </c>
      <c r="O75" s="122">
        <f>+IFERROR(Tableau330[[#This Row],[MONTANT HT]]+Tableau330[[#This Row],[TVA]],0)</f>
        <v>68852.800000000003</v>
      </c>
      <c r="P75" s="122"/>
      <c r="Q75" s="122"/>
      <c r="R75" s="122">
        <f>+Tableau330[[#This Row],[MONTANT TTC]]+Tableau330[[#This Row],[TIMBRE ]]+Tableau330[[#This Row],[AUTRES TAXES]]</f>
        <v>68852.800000000003</v>
      </c>
      <c r="S75" s="122">
        <v>68852.754939999999</v>
      </c>
      <c r="T75" s="122">
        <f>+ROUND(Tableau330[[#This Row],[NET A PAYER]],0)-Tableau330[[#This Row],[MONTANT PAYE]]</f>
        <v>0.24506000000110362</v>
      </c>
      <c r="U75" s="122"/>
      <c r="V75" s="123">
        <f>+Tableau330[[#This Row],[DELAI_PAIEMENT]]+Tableau330[[#This Row],[DATE ]]</f>
        <v>45754</v>
      </c>
      <c r="Z75" s="120"/>
    </row>
    <row r="76" spans="1:27">
      <c r="A76" s="83">
        <v>45754</v>
      </c>
      <c r="B76" s="83" t="str">
        <f>IF(ISBLANK(Tableau330[[#This Row],[DATE ]]),"",UPPER(PROPER(TEXT(Tableau330[[#This Row],[DATE ]],"mmmm yyyy"))))</f>
        <v>AVRIL 2025</v>
      </c>
      <c r="C76" s="83" t="s">
        <v>824</v>
      </c>
      <c r="D76" s="120" t="s">
        <v>967</v>
      </c>
      <c r="E76" s="82" t="s">
        <v>832</v>
      </c>
      <c r="F76" s="120" t="s">
        <v>833</v>
      </c>
      <c r="H76" s="82" t="s">
        <v>968</v>
      </c>
      <c r="I76" s="82" t="s">
        <v>12</v>
      </c>
      <c r="J76" s="124">
        <v>0.371</v>
      </c>
      <c r="K76" s="124"/>
      <c r="L76" s="124"/>
      <c r="M76" s="122">
        <f>9427.97+1069</f>
        <v>10496.97</v>
      </c>
      <c r="N76" s="122">
        <f>+IF(Tableau330[[#This Row],[CODE TVA]]="",0,ROUND(Tableau330[[#This Row],[MONTANT HT]]*0.18*Tableau330[[#This Row],[PRORATA D]],1))</f>
        <v>701</v>
      </c>
      <c r="O76" s="122">
        <f>+IFERROR(Tableau330[[#This Row],[MONTANT HT]]+Tableau330[[#This Row],[TVA]],0)</f>
        <v>11197.97</v>
      </c>
      <c r="P76" s="122"/>
      <c r="Q76" s="122"/>
      <c r="R76" s="122">
        <f>+Tableau330[[#This Row],[MONTANT TTC]]+Tableau330[[#This Row],[TIMBRE ]]+Tableau330[[#This Row],[AUTRES TAXES]]</f>
        <v>11197.97</v>
      </c>
      <c r="S76" s="122">
        <v>11197.9576566</v>
      </c>
      <c r="T76" s="122">
        <f>+ROUND(Tableau330[[#This Row],[NET A PAYER]],0)-Tableau330[[#This Row],[MONTANT PAYE]]</f>
        <v>4.234340000039083E-2</v>
      </c>
      <c r="U76" s="122"/>
      <c r="V76" s="123">
        <f>+Tableau330[[#This Row],[DELAI_PAIEMENT]]+Tableau330[[#This Row],[DATE ]]</f>
        <v>45754</v>
      </c>
      <c r="Z76" s="120"/>
    </row>
    <row r="77" spans="1:27">
      <c r="A77" s="83">
        <v>45754</v>
      </c>
      <c r="B77" s="83" t="str">
        <f>IF(ISBLANK(Tableau330[[#This Row],[DATE ]]),"",UPPER(PROPER(TEXT(Tableau330[[#This Row],[DATE ]],"mmmm yyyy"))))</f>
        <v>AVRIL 2025</v>
      </c>
      <c r="C77" s="83" t="s">
        <v>824</v>
      </c>
      <c r="D77" s="120" t="s">
        <v>967</v>
      </c>
      <c r="E77" s="82" t="s">
        <v>832</v>
      </c>
      <c r="F77" s="120" t="s">
        <v>833</v>
      </c>
      <c r="H77" s="82" t="s">
        <v>969</v>
      </c>
      <c r="I77" s="82" t="s">
        <v>12</v>
      </c>
      <c r="J77" s="121">
        <v>0.56999999999999995</v>
      </c>
      <c r="K77" s="121"/>
      <c r="L77" s="121"/>
      <c r="M77" s="122">
        <f>1949+137</f>
        <v>2086</v>
      </c>
      <c r="N77" s="122">
        <f>+IF(Tableau330[[#This Row],[CODE TVA]]="",0,ROUND(Tableau330[[#This Row],[MONTANT HT]]*0.18*Tableau330[[#This Row],[PRORATA D]],1))</f>
        <v>214</v>
      </c>
      <c r="O77" s="122">
        <f>+IFERROR(Tableau330[[#This Row],[MONTANT HT]]+Tableau330[[#This Row],[TVA]],0)</f>
        <v>2300</v>
      </c>
      <c r="P77" s="122"/>
      <c r="Q77" s="122"/>
      <c r="R77" s="122">
        <f>+Tableau330[[#This Row],[MONTANT TTC]]+Tableau330[[#This Row],[TIMBRE ]]+Tableau330[[#This Row],[AUTRES TAXES]]</f>
        <v>2300</v>
      </c>
      <c r="S77" s="122">
        <v>2300</v>
      </c>
      <c r="T77" s="122">
        <f>+ROUND(Tableau330[[#This Row],[NET A PAYER]],0)-Tableau330[[#This Row],[MONTANT PAYE]]</f>
        <v>0</v>
      </c>
      <c r="U77" s="122"/>
      <c r="V77" s="123">
        <f>+Tableau330[[#This Row],[DELAI_PAIEMENT]]+Tableau330[[#This Row],[DATE ]]</f>
        <v>45754</v>
      </c>
      <c r="Z77" s="120"/>
    </row>
    <row r="78" spans="1:27">
      <c r="A78" s="83">
        <v>45755</v>
      </c>
      <c r="B78" s="83" t="str">
        <f>IF(ISBLANK(Tableau330[[#This Row],[DATE ]]),"",UPPER(PROPER(TEXT(Tableau330[[#This Row],[DATE ]],"mmmm yyyy"))))</f>
        <v>AVRIL 2025</v>
      </c>
      <c r="C78" s="83" t="s">
        <v>824</v>
      </c>
      <c r="D78" s="120" t="s">
        <v>965</v>
      </c>
      <c r="E78" s="82" t="s">
        <v>904</v>
      </c>
      <c r="F78" s="120" t="s">
        <v>905</v>
      </c>
      <c r="G78" s="82" t="s">
        <v>822</v>
      </c>
      <c r="H78" s="82" t="s">
        <v>966</v>
      </c>
      <c r="I78" s="82" t="s">
        <v>12</v>
      </c>
      <c r="J78" s="121">
        <v>1</v>
      </c>
      <c r="K78" s="121"/>
      <c r="L78" s="121"/>
      <c r="M78" s="122">
        <v>15255</v>
      </c>
      <c r="N78" s="122">
        <f>+IF(Tableau330[[#This Row],[CODE TVA]]="",0,ROUND(Tableau330[[#This Row],[MONTANT HT]]*0.18*Tableau330[[#This Row],[PRORATA D]],1))</f>
        <v>2745.9</v>
      </c>
      <c r="O78" s="122">
        <f>+IFERROR(Tableau330[[#This Row],[MONTANT HT]]+Tableau330[[#This Row],[TVA]],0)</f>
        <v>18000.900000000001</v>
      </c>
      <c r="P78" s="122"/>
      <c r="Q78" s="122"/>
      <c r="R78" s="122">
        <f>+Tableau330[[#This Row],[MONTANT TTC]]+Tableau330[[#This Row],[TIMBRE ]]+Tableau330[[#This Row],[AUTRES TAXES]]</f>
        <v>18000.900000000001</v>
      </c>
      <c r="S78" s="122">
        <v>18000.900000000001</v>
      </c>
      <c r="T78" s="122">
        <f>+ROUND(Tableau330[[#This Row],[NET A PAYER]],0)-Tableau330[[#This Row],[MONTANT PAYE]]</f>
        <v>9.9999999998544808E-2</v>
      </c>
      <c r="U78" s="122"/>
      <c r="V78" s="123">
        <f>+Tableau330[[#This Row],[DELAI_PAIEMENT]]+Tableau330[[#This Row],[DATE ]]</f>
        <v>45755</v>
      </c>
      <c r="Z78" s="120"/>
    </row>
    <row r="79" spans="1:27">
      <c r="A79" s="83">
        <v>45757</v>
      </c>
      <c r="B79" s="83" t="str">
        <f>IF(ISBLANK(Tableau330[[#This Row],[DATE ]]),"",UPPER(PROPER(TEXT(Tableau330[[#This Row],[DATE ]],"mmmm yyyy"))))</f>
        <v>AVRIL 2025</v>
      </c>
      <c r="C79" s="83" t="s">
        <v>819</v>
      </c>
      <c r="D79" s="120" t="s">
        <v>940</v>
      </c>
      <c r="E79" s="82" t="s">
        <v>941</v>
      </c>
      <c r="F79" s="120" t="s">
        <v>942</v>
      </c>
      <c r="H79" s="82" t="s">
        <v>943</v>
      </c>
      <c r="J79" s="121"/>
      <c r="K79" s="121"/>
      <c r="L79" s="121"/>
      <c r="M79" s="122">
        <v>47000</v>
      </c>
      <c r="N79" s="122">
        <f>+IF(Tableau330[[#This Row],[CODE TVA]]="",0,ROUND(Tableau330[[#This Row],[MONTANT HT]]*0.18*Tableau330[[#This Row],[PRORATA D]],1))</f>
        <v>0</v>
      </c>
      <c r="O79" s="122">
        <f>+IFERROR(Tableau330[[#This Row],[MONTANT HT]]+Tableau330[[#This Row],[TVA]],0)</f>
        <v>47000</v>
      </c>
      <c r="P79" s="122"/>
      <c r="Q79" s="122"/>
      <c r="R79" s="122">
        <f>+Tableau330[[#This Row],[MONTANT TTC]]+Tableau330[[#This Row],[TIMBRE ]]+Tableau330[[#This Row],[AUTRES TAXES]]</f>
        <v>47000</v>
      </c>
      <c r="S79" s="122">
        <v>47000</v>
      </c>
      <c r="T79" s="122">
        <f>+ROUND(Tableau330[[#This Row],[NET A PAYER]],0)-Tableau330[[#This Row],[MONTANT PAYE]]</f>
        <v>0</v>
      </c>
      <c r="U79" s="122"/>
      <c r="V79" s="123">
        <f>+Tableau330[[#This Row],[DELAI_PAIEMENT]]+Tableau330[[#This Row],[DATE ]]</f>
        <v>45757</v>
      </c>
      <c r="Z79" s="120"/>
    </row>
    <row r="80" spans="1:27">
      <c r="A80" s="83">
        <v>45757</v>
      </c>
      <c r="B80" s="83" t="str">
        <f>IF(ISBLANK(Tableau330[[#This Row],[DATE ]]),"",UPPER(PROPER(TEXT(Tableau330[[#This Row],[DATE ]],"mmmm yyyy"))))</f>
        <v>AVRIL 2025</v>
      </c>
      <c r="C80" s="83" t="s">
        <v>824</v>
      </c>
      <c r="D80" s="120" t="s">
        <v>944</v>
      </c>
      <c r="E80" s="82" t="s">
        <v>945</v>
      </c>
      <c r="F80" s="120" t="s">
        <v>946</v>
      </c>
      <c r="G80" s="82" t="s">
        <v>895</v>
      </c>
      <c r="H80" s="82" t="s">
        <v>947</v>
      </c>
      <c r="J80" s="121"/>
      <c r="K80" s="121"/>
      <c r="L80" s="121"/>
      <c r="M80" s="122">
        <v>12010</v>
      </c>
      <c r="N80" s="122">
        <f>+IF(Tableau330[[#This Row],[CODE TVA]]="",0,ROUND(Tableau330[[#This Row],[MONTANT HT]]*0.18*Tableau330[[#This Row],[PRORATA D]],1))</f>
        <v>0</v>
      </c>
      <c r="O80" s="122">
        <f>+IFERROR(Tableau330[[#This Row],[MONTANT HT]]+Tableau330[[#This Row],[TVA]],0)</f>
        <v>12010</v>
      </c>
      <c r="P80" s="122"/>
      <c r="Q80" s="122"/>
      <c r="R80" s="122">
        <f>+Tableau330[[#This Row],[MONTANT TTC]]+Tableau330[[#This Row],[TIMBRE ]]+Tableau330[[#This Row],[AUTRES TAXES]]</f>
        <v>12010</v>
      </c>
      <c r="S80" s="122">
        <v>12010</v>
      </c>
      <c r="T80" s="122">
        <f>+ROUND(Tableau330[[#This Row],[NET A PAYER]],0)-Tableau330[[#This Row],[MONTANT PAYE]]</f>
        <v>0</v>
      </c>
      <c r="U80" s="122"/>
      <c r="V80" s="123">
        <f>+Tableau330[[#This Row],[DELAI_PAIEMENT]]+Tableau330[[#This Row],[DATE ]]</f>
        <v>45757</v>
      </c>
      <c r="Z80" s="120"/>
    </row>
    <row r="81" spans="1:26">
      <c r="A81" s="83">
        <v>45758</v>
      </c>
      <c r="B81" s="83" t="str">
        <f>IF(ISBLANK(Tableau330[[#This Row],[DATE ]]),"",UPPER(PROPER(TEXT(Tableau330[[#This Row],[DATE ]],"mmmm yyyy"))))</f>
        <v>AVRIL 2025</v>
      </c>
      <c r="C81" s="83" t="s">
        <v>824</v>
      </c>
      <c r="D81" s="120" t="s">
        <v>948</v>
      </c>
      <c r="E81" s="82" t="s">
        <v>949</v>
      </c>
      <c r="F81" s="120" t="s">
        <v>950</v>
      </c>
      <c r="G81" s="82" t="s">
        <v>951</v>
      </c>
      <c r="H81" s="82" t="s">
        <v>952</v>
      </c>
      <c r="J81" s="121"/>
      <c r="K81" s="121"/>
      <c r="L81" s="121"/>
      <c r="M81" s="122">
        <v>230000</v>
      </c>
      <c r="N81" s="122">
        <f>+IF(Tableau330[[#This Row],[CODE TVA]]="",0,ROUND(Tableau330[[#This Row],[MONTANT HT]]*0.18*Tableau330[[#This Row],[PRORATA D]],1))</f>
        <v>0</v>
      </c>
      <c r="O81" s="122">
        <f>+IFERROR(Tableau330[[#This Row],[MONTANT HT]]+Tableau330[[#This Row],[TVA]],0)</f>
        <v>230000</v>
      </c>
      <c r="P81" s="122"/>
      <c r="Q81" s="122"/>
      <c r="R81" s="122">
        <f>+Tableau330[[#This Row],[MONTANT TTC]]+Tableau330[[#This Row],[TIMBRE ]]+Tableau330[[#This Row],[AUTRES TAXES]]</f>
        <v>230000</v>
      </c>
      <c r="S81" s="122">
        <v>230000</v>
      </c>
      <c r="T81" s="122">
        <f>+ROUND(Tableau330[[#This Row],[NET A PAYER]],0)-Tableau330[[#This Row],[MONTANT PAYE]]</f>
        <v>0</v>
      </c>
      <c r="U81" s="122"/>
      <c r="V81" s="123">
        <f>+Tableau330[[#This Row],[DELAI_PAIEMENT]]+Tableau330[[#This Row],[DATE ]]</f>
        <v>45758</v>
      </c>
      <c r="Z81" s="120"/>
    </row>
    <row r="82" spans="1:26">
      <c r="A82" s="83">
        <v>45758</v>
      </c>
      <c r="B82" s="83" t="str">
        <f>IF(ISBLANK(Tableau330[[#This Row],[DATE ]]),"",UPPER(PROPER(TEXT(Tableau330[[#This Row],[DATE ]],"mmmm yyyy"))))</f>
        <v>AVRIL 2025</v>
      </c>
      <c r="C82" s="83" t="s">
        <v>824</v>
      </c>
      <c r="D82" s="120" t="s">
        <v>953</v>
      </c>
      <c r="E82" s="82" t="s">
        <v>893</v>
      </c>
      <c r="F82" s="120" t="s">
        <v>954</v>
      </c>
      <c r="G82" s="82" t="s">
        <v>895</v>
      </c>
      <c r="H82" s="82" t="s">
        <v>955</v>
      </c>
      <c r="J82" s="121"/>
      <c r="K82" s="121"/>
      <c r="L82" s="121"/>
      <c r="M82" s="122">
        <v>920000</v>
      </c>
      <c r="N82" s="122">
        <f>+IF(Tableau330[[#This Row],[CODE TVA]]="",0,ROUND(Tableau330[[#This Row],[MONTANT HT]]*0.18*Tableau330[[#This Row],[PRORATA D]],1))</f>
        <v>0</v>
      </c>
      <c r="O82" s="122">
        <f>+IFERROR(Tableau330[[#This Row],[MONTANT HT]]+Tableau330[[#This Row],[TVA]],0)</f>
        <v>920000</v>
      </c>
      <c r="P82" s="122"/>
      <c r="Q82" s="122"/>
      <c r="R82" s="122">
        <f>+Tableau330[[#This Row],[MONTANT TTC]]+Tableau330[[#This Row],[TIMBRE ]]+Tableau330[[#This Row],[AUTRES TAXES]]</f>
        <v>920000</v>
      </c>
      <c r="S82" s="122">
        <v>920000</v>
      </c>
      <c r="T82" s="122">
        <f>+ROUND(Tableau330[[#This Row],[NET A PAYER]],0)-Tableau330[[#This Row],[MONTANT PAYE]]</f>
        <v>0</v>
      </c>
      <c r="U82" s="122"/>
      <c r="V82" s="123">
        <f>+Tableau330[[#This Row],[DELAI_PAIEMENT]]+Tableau330[[#This Row],[DATE ]]</f>
        <v>45758</v>
      </c>
      <c r="Z82" s="120"/>
    </row>
    <row r="83" spans="1:26">
      <c r="A83" s="83">
        <v>45762</v>
      </c>
      <c r="B83" s="83" t="str">
        <f>IF(ISBLANK(Tableau330[[#This Row],[DATE ]]),"",UPPER(PROPER(TEXT(Tableau330[[#This Row],[DATE ]],"mmmm yyyy"))))</f>
        <v>AVRIL 2025</v>
      </c>
      <c r="C83" s="83" t="s">
        <v>824</v>
      </c>
      <c r="D83" s="120" t="s">
        <v>931</v>
      </c>
      <c r="E83" s="82" t="s">
        <v>893</v>
      </c>
      <c r="F83" s="120" t="s">
        <v>894</v>
      </c>
      <c r="H83" s="82" t="s">
        <v>932</v>
      </c>
      <c r="J83" s="121"/>
      <c r="K83" s="121"/>
      <c r="L83" s="121"/>
      <c r="M83" s="122">
        <v>295000</v>
      </c>
      <c r="N83" s="122">
        <f>+IF(Tableau330[[#This Row],[CODE TVA]]="",0,ROUND(Tableau330[[#This Row],[MONTANT HT]]*0.18*Tableau330[[#This Row],[PRORATA D]],1))</f>
        <v>0</v>
      </c>
      <c r="O83" s="122">
        <f>+IFERROR(Tableau330[[#This Row],[MONTANT HT]]+Tableau330[[#This Row],[TVA]],0)</f>
        <v>295000</v>
      </c>
      <c r="P83" s="122"/>
      <c r="Q83" s="122"/>
      <c r="R83" s="122">
        <f>+Tableau330[[#This Row],[MONTANT TTC]]+Tableau330[[#This Row],[TIMBRE ]]+Tableau330[[#This Row],[AUTRES TAXES]]</f>
        <v>295000</v>
      </c>
      <c r="S83" s="122">
        <v>295000</v>
      </c>
      <c r="T83" s="122">
        <f>+ROUND(Tableau330[[#This Row],[NET A PAYER]],0)-Tableau330[[#This Row],[MONTANT PAYE]]</f>
        <v>0</v>
      </c>
      <c r="U83" s="122"/>
      <c r="V83" s="123">
        <f>+Tableau330[[#This Row],[DELAI_PAIEMENT]]+Tableau330[[#This Row],[DATE ]]</f>
        <v>45762</v>
      </c>
      <c r="Z83" s="120"/>
    </row>
    <row r="84" spans="1:26">
      <c r="A84" s="83">
        <v>45768</v>
      </c>
      <c r="B84" s="83" t="str">
        <f>IF(ISBLANK(Tableau330[[#This Row],[DATE ]]),"",UPPER(PROPER(TEXT(Tableau330[[#This Row],[DATE ]],"mmmm yyyy"))))</f>
        <v>AVRIL 2025</v>
      </c>
      <c r="C84" s="83" t="s">
        <v>819</v>
      </c>
      <c r="D84" s="120" t="s">
        <v>934</v>
      </c>
      <c r="E84" s="82" t="s">
        <v>852</v>
      </c>
      <c r="F84" s="120"/>
      <c r="H84" s="82" t="s">
        <v>935</v>
      </c>
      <c r="J84" s="121"/>
      <c r="K84" s="121"/>
      <c r="L84" s="121"/>
      <c r="M84" s="122">
        <v>535000</v>
      </c>
      <c r="N84" s="122">
        <f>+IF(Tableau330[[#This Row],[CODE TVA]]="",0,ROUND(Tableau330[[#This Row],[MONTANT HT]]*0.18*Tableau330[[#This Row],[PRORATA D]],1))</f>
        <v>0</v>
      </c>
      <c r="O84" s="122">
        <f>+IFERROR(Tableau330[[#This Row],[MONTANT HT]]+Tableau330[[#This Row],[TVA]],0)</f>
        <v>535000</v>
      </c>
      <c r="P84" s="122"/>
      <c r="Q84" s="122"/>
      <c r="R84" s="122">
        <f>+Tableau330[[#This Row],[MONTANT TTC]]+Tableau330[[#This Row],[TIMBRE ]]+Tableau330[[#This Row],[AUTRES TAXES]]</f>
        <v>535000</v>
      </c>
      <c r="S84" s="122">
        <v>535000</v>
      </c>
      <c r="T84" s="122">
        <f>+ROUND(Tableau330[[#This Row],[NET A PAYER]],0)-Tableau330[[#This Row],[MONTANT PAYE]]</f>
        <v>0</v>
      </c>
      <c r="U84" s="122"/>
      <c r="V84" s="123">
        <f>+Tableau330[[#This Row],[DELAI_PAIEMENT]]+Tableau330[[#This Row],[DATE ]]</f>
        <v>45768</v>
      </c>
      <c r="Z84" s="120"/>
    </row>
    <row r="85" spans="1:26">
      <c r="A85" s="83">
        <v>45770</v>
      </c>
      <c r="B85" s="83" t="str">
        <f>IF(ISBLANK(Tableau330[[#This Row],[DATE ]]),"",UPPER(PROPER(TEXT(Tableau330[[#This Row],[DATE ]],"mmmm yyyy"))))</f>
        <v>AVRIL 2025</v>
      </c>
      <c r="C85" s="83" t="s">
        <v>824</v>
      </c>
      <c r="D85" s="120" t="s">
        <v>936</v>
      </c>
      <c r="E85" s="82" t="s">
        <v>937</v>
      </c>
      <c r="F85" s="120" t="s">
        <v>938</v>
      </c>
      <c r="H85" s="82" t="s">
        <v>939</v>
      </c>
      <c r="J85" s="121"/>
      <c r="K85" s="121"/>
      <c r="L85" s="121"/>
      <c r="M85" s="122">
        <v>455000</v>
      </c>
      <c r="N85" s="122">
        <f>+IF(Tableau330[[#This Row],[CODE TVA]]="",0,ROUND(Tableau330[[#This Row],[MONTANT HT]]*0.18*Tableau330[[#This Row],[PRORATA D]],1))</f>
        <v>0</v>
      </c>
      <c r="O85" s="122">
        <f>+IFERROR(Tableau330[[#This Row],[MONTANT HT]]+Tableau330[[#This Row],[TVA]],0)</f>
        <v>455000</v>
      </c>
      <c r="P85" s="122"/>
      <c r="Q85" s="122"/>
      <c r="R85" s="122">
        <f>+Tableau330[[#This Row],[MONTANT TTC]]+Tableau330[[#This Row],[TIMBRE ]]+Tableau330[[#This Row],[AUTRES TAXES]]</f>
        <v>455000</v>
      </c>
      <c r="S85" s="122">
        <v>455000</v>
      </c>
      <c r="T85" s="122">
        <f>+ROUND(Tableau330[[#This Row],[NET A PAYER]],0)-Tableau330[[#This Row],[MONTANT PAYE]]</f>
        <v>0</v>
      </c>
      <c r="U85" s="122"/>
      <c r="V85" s="123">
        <f>+Tableau330[[#This Row],[DELAI_PAIEMENT]]+Tableau330[[#This Row],[DATE ]]</f>
        <v>45770</v>
      </c>
      <c r="Z85" s="120"/>
    </row>
    <row r="86" spans="1:26">
      <c r="A86" s="83">
        <v>45773</v>
      </c>
      <c r="B86" s="83" t="str">
        <f>IF(ISBLANK(Tableau330[[#This Row],[DATE ]]),"",UPPER(PROPER(TEXT(Tableau330[[#This Row],[DATE ]],"mmmm yyyy"))))</f>
        <v>AVRIL 2025</v>
      </c>
      <c r="C86" s="83" t="s">
        <v>824</v>
      </c>
      <c r="D86" s="120" t="s">
        <v>933</v>
      </c>
      <c r="E86" s="82" t="s">
        <v>832</v>
      </c>
      <c r="F86" s="120" t="s">
        <v>833</v>
      </c>
      <c r="H86" s="82" t="s">
        <v>855</v>
      </c>
      <c r="J86" s="121"/>
      <c r="K86" s="121"/>
      <c r="L86" s="121"/>
      <c r="M86" s="122">
        <v>6250</v>
      </c>
      <c r="N86" s="122">
        <f>+IF(Tableau330[[#This Row],[CODE TVA]]="",0,ROUND(Tableau330[[#This Row],[MONTANT HT]]*0.18*Tableau330[[#This Row],[PRORATA D]],1))</f>
        <v>0</v>
      </c>
      <c r="O86" s="122">
        <f>+IFERROR(Tableau330[[#This Row],[MONTANT HT]]+Tableau330[[#This Row],[TVA]],0)</f>
        <v>6250</v>
      </c>
      <c r="P86" s="122"/>
      <c r="Q86" s="122"/>
      <c r="R86" s="122">
        <f>+Tableau330[[#This Row],[MONTANT TTC]]+Tableau330[[#This Row],[TIMBRE ]]+Tableau330[[#This Row],[AUTRES TAXES]]</f>
        <v>6250</v>
      </c>
      <c r="S86" s="122">
        <v>6250</v>
      </c>
      <c r="T86" s="122">
        <f>+ROUND(Tableau330[[#This Row],[NET A PAYER]],0)-Tableau330[[#This Row],[MONTANT PAYE]]</f>
        <v>0</v>
      </c>
      <c r="U86" s="122"/>
      <c r="V86" s="123">
        <f>+Tableau330[[#This Row],[DELAI_PAIEMENT]]+Tableau330[[#This Row],[DATE ]]</f>
        <v>45773</v>
      </c>
      <c r="Z86" s="120"/>
    </row>
    <row r="87" spans="1:26">
      <c r="A87" s="83">
        <v>45779</v>
      </c>
      <c r="B87" s="83" t="str">
        <f>IF(ISBLANK(Tableau330[[#This Row],[DATE ]]),"",UPPER(PROPER(TEXT(Tableau330[[#This Row],[DATE ]],"mmmm yyyy"))))</f>
        <v>MAI 2025</v>
      </c>
      <c r="C87" s="83" t="s">
        <v>824</v>
      </c>
      <c r="D87" s="120" t="s">
        <v>910</v>
      </c>
      <c r="E87" s="82" t="s">
        <v>832</v>
      </c>
      <c r="F87" s="120" t="s">
        <v>833</v>
      </c>
      <c r="H87" s="82" t="s">
        <v>911</v>
      </c>
      <c r="J87" s="121">
        <v>0</v>
      </c>
      <c r="K87" s="121"/>
      <c r="L87" s="121"/>
      <c r="M87" s="122">
        <v>5975</v>
      </c>
      <c r="N87" s="122">
        <f>+IF(Tableau330[[#This Row],[CODE TVA]]="",0,ROUND(Tableau330[[#This Row],[MONTANT HT]]*0.18*Tableau330[[#This Row],[PRORATA D]],1))</f>
        <v>0</v>
      </c>
      <c r="O87" s="122">
        <f>+IFERROR(Tableau330[[#This Row],[MONTANT HT]]+Tableau330[[#This Row],[TVA]],0)</f>
        <v>5975</v>
      </c>
      <c r="P87" s="122"/>
      <c r="Q87" s="122"/>
      <c r="R87" s="122">
        <f>+Tableau330[[#This Row],[MONTANT TTC]]+Tableau330[[#This Row],[TIMBRE ]]+Tableau330[[#This Row],[AUTRES TAXES]]</f>
        <v>5975</v>
      </c>
      <c r="S87" s="122">
        <v>5975</v>
      </c>
      <c r="T87" s="122">
        <f>+ROUND(Tableau330[[#This Row],[NET A PAYER]],0)-Tableau330[[#This Row],[MONTANT PAYE]]</f>
        <v>0</v>
      </c>
      <c r="U87" s="122"/>
      <c r="V87" s="123">
        <f>+Tableau330[[#This Row],[DELAI_PAIEMENT]]+Tableau330[[#This Row],[DATE ]]</f>
        <v>45779</v>
      </c>
      <c r="Z87" s="120"/>
    </row>
    <row r="88" spans="1:26">
      <c r="A88" s="83">
        <v>45780</v>
      </c>
      <c r="B88" s="83" t="str">
        <f>IF(ISBLANK(Tableau330[[#This Row],[DATE ]]),"",UPPER(PROPER(TEXT(Tableau330[[#This Row],[DATE ]],"mmmm yyyy"))))</f>
        <v>MAI 2025</v>
      </c>
      <c r="C88" s="83" t="s">
        <v>819</v>
      </c>
      <c r="D88" s="120" t="s">
        <v>892</v>
      </c>
      <c r="E88" s="82" t="s">
        <v>893</v>
      </c>
      <c r="F88" s="120" t="s">
        <v>894</v>
      </c>
      <c r="G88" s="82" t="s">
        <v>895</v>
      </c>
      <c r="H88" s="82" t="s">
        <v>896</v>
      </c>
      <c r="J88" s="121"/>
      <c r="K88" s="121"/>
      <c r="L88" s="121"/>
      <c r="M88" s="122">
        <v>480000</v>
      </c>
      <c r="N88" s="122">
        <f>+IF(Tableau330[[#This Row],[CODE TVA]]="",0,ROUND(Tableau330[[#This Row],[MONTANT HT]]*0.18*Tableau330[[#This Row],[PRORATA D]],1))</f>
        <v>0</v>
      </c>
      <c r="O88" s="122">
        <f>+IFERROR(Tableau330[[#This Row],[MONTANT HT]]+Tableau330[[#This Row],[TVA]],0)</f>
        <v>480000</v>
      </c>
      <c r="P88" s="122"/>
      <c r="Q88" s="122"/>
      <c r="R88" s="122">
        <f>+Tableau330[[#This Row],[MONTANT TTC]]+Tableau330[[#This Row],[TIMBRE ]]+Tableau330[[#This Row],[AUTRES TAXES]]</f>
        <v>480000</v>
      </c>
      <c r="S88" s="122">
        <v>480000</v>
      </c>
      <c r="T88" s="122">
        <f>+ROUND(Tableau330[[#This Row],[NET A PAYER]],0)-Tableau330[[#This Row],[MONTANT PAYE]]</f>
        <v>0</v>
      </c>
      <c r="U88" s="122"/>
      <c r="V88" s="123">
        <f>+Tableau330[[#This Row],[DELAI_PAIEMENT]]+Tableau330[[#This Row],[DATE ]]</f>
        <v>45780</v>
      </c>
      <c r="Z88" s="120"/>
    </row>
    <row r="89" spans="1:26">
      <c r="A89" s="83">
        <v>45782</v>
      </c>
      <c r="B89" s="83" t="str">
        <f>IF(ISBLANK(Tableau330[[#This Row],[DATE ]]),"",UPPER(PROPER(TEXT(Tableau330[[#This Row],[DATE ]],"mmmm yyyy"))))</f>
        <v>MAI 2025</v>
      </c>
      <c r="C89" s="83" t="s">
        <v>819</v>
      </c>
      <c r="D89" s="120" t="s">
        <v>914</v>
      </c>
      <c r="E89" s="82" t="s">
        <v>915</v>
      </c>
      <c r="F89" s="120" t="s">
        <v>916</v>
      </c>
      <c r="H89" s="82" t="s">
        <v>917</v>
      </c>
      <c r="J89" s="121"/>
      <c r="K89" s="121"/>
      <c r="L89" s="121"/>
      <c r="M89" s="122">
        <v>63000</v>
      </c>
      <c r="N89" s="122">
        <f>+IF(Tableau330[[#This Row],[CODE TVA]]="",0,ROUND(Tableau330[[#This Row],[MONTANT HT]]*0.18*Tableau330[[#This Row],[PRORATA D]],1))</f>
        <v>0</v>
      </c>
      <c r="O89" s="122">
        <f>+IFERROR(Tableau330[[#This Row],[MONTANT HT]]+Tableau330[[#This Row],[TVA]],0)</f>
        <v>63000</v>
      </c>
      <c r="P89" s="122"/>
      <c r="Q89" s="122"/>
      <c r="R89" s="122">
        <f>+Tableau330[[#This Row],[MONTANT TTC]]+Tableau330[[#This Row],[TIMBRE ]]+Tableau330[[#This Row],[AUTRES TAXES]]</f>
        <v>63000</v>
      </c>
      <c r="S89" s="122">
        <v>63000</v>
      </c>
      <c r="T89" s="122">
        <f>+ROUND(Tableau330[[#This Row],[NET A PAYER]],0)-Tableau330[[#This Row],[MONTANT PAYE]]</f>
        <v>0</v>
      </c>
      <c r="U89" s="122"/>
      <c r="V89" s="123">
        <f>+Tableau330[[#This Row],[DELAI_PAIEMENT]]+Tableau330[[#This Row],[DATE ]]</f>
        <v>45782</v>
      </c>
      <c r="Z89" s="120"/>
    </row>
    <row r="90" spans="1:26">
      <c r="A90" s="83">
        <v>45783</v>
      </c>
      <c r="B90" s="83" t="str">
        <f>IF(ISBLANK(Tableau330[[#This Row],[DATE ]]),"",UPPER(PROPER(TEXT(Tableau330[[#This Row],[DATE ]],"mmmm yyyy"))))</f>
        <v>MAI 2025</v>
      </c>
      <c r="C90" s="83" t="s">
        <v>824</v>
      </c>
      <c r="D90" s="120" t="s">
        <v>912</v>
      </c>
      <c r="E90" s="82" t="s">
        <v>832</v>
      </c>
      <c r="F90" s="120" t="s">
        <v>833</v>
      </c>
      <c r="H90" s="82" t="s">
        <v>867</v>
      </c>
      <c r="J90" s="121"/>
      <c r="K90" s="121"/>
      <c r="L90" s="121"/>
      <c r="M90" s="122">
        <v>68250</v>
      </c>
      <c r="N90" s="122">
        <f>+IF(Tableau330[[#This Row],[CODE TVA]]="",0,ROUND(Tableau330[[#This Row],[MONTANT HT]]*0.18*Tableau330[[#This Row],[PRORATA D]],1))</f>
        <v>0</v>
      </c>
      <c r="O90" s="122">
        <f>+IFERROR(Tableau330[[#This Row],[MONTANT HT]]+Tableau330[[#This Row],[TVA]],0)</f>
        <v>68250</v>
      </c>
      <c r="P90" s="122"/>
      <c r="Q90" s="122"/>
      <c r="R90" s="122">
        <f>+Tableau330[[#This Row],[MONTANT TTC]]+Tableau330[[#This Row],[TIMBRE ]]+Tableau330[[#This Row],[AUTRES TAXES]]</f>
        <v>68250</v>
      </c>
      <c r="S90" s="122">
        <v>68250</v>
      </c>
      <c r="T90" s="122">
        <f>+ROUND(Tableau330[[#This Row],[NET A PAYER]],0)-Tableau330[[#This Row],[MONTANT PAYE]]</f>
        <v>0</v>
      </c>
      <c r="U90" s="122"/>
      <c r="V90" s="123">
        <f>+Tableau330[[#This Row],[DELAI_PAIEMENT]]+Tableau330[[#This Row],[DATE ]]</f>
        <v>45783</v>
      </c>
      <c r="Z90" s="120"/>
    </row>
    <row r="91" spans="1:26">
      <c r="A91" s="83">
        <v>45783</v>
      </c>
      <c r="B91" s="83" t="str">
        <f>IF(ISBLANK(Tableau330[[#This Row],[DATE ]]),"",UPPER(PROPER(TEXT(Tableau330[[#This Row],[DATE ]],"mmmm yyyy"))))</f>
        <v>MAI 2025</v>
      </c>
      <c r="C91" s="83" t="s">
        <v>824</v>
      </c>
      <c r="D91" s="120" t="s">
        <v>913</v>
      </c>
      <c r="E91" s="82" t="s">
        <v>863</v>
      </c>
      <c r="F91" s="120" t="s">
        <v>864</v>
      </c>
      <c r="H91" s="82" t="s">
        <v>865</v>
      </c>
      <c r="J91" s="121"/>
      <c r="K91" s="121"/>
      <c r="L91" s="121"/>
      <c r="M91" s="122">
        <v>26000</v>
      </c>
      <c r="N91" s="122">
        <f>+IF(Tableau330[[#This Row],[CODE TVA]]="",0,ROUND(Tableau330[[#This Row],[MONTANT HT]]*0.18*Tableau330[[#This Row],[PRORATA D]],1))</f>
        <v>0</v>
      </c>
      <c r="O91" s="122">
        <f>+IFERROR(Tableau330[[#This Row],[MONTANT HT]]+Tableau330[[#This Row],[TVA]],0)</f>
        <v>26000</v>
      </c>
      <c r="P91" s="122"/>
      <c r="Q91" s="122"/>
      <c r="R91" s="122">
        <f>+Tableau330[[#This Row],[MONTANT TTC]]+Tableau330[[#This Row],[TIMBRE ]]+Tableau330[[#This Row],[AUTRES TAXES]]</f>
        <v>26000</v>
      </c>
      <c r="S91" s="122">
        <v>26000</v>
      </c>
      <c r="T91" s="122">
        <f>+ROUND(Tableau330[[#This Row],[NET A PAYER]],0)-Tableau330[[#This Row],[MONTANT PAYE]]</f>
        <v>0</v>
      </c>
      <c r="U91" s="122"/>
      <c r="V91" s="123">
        <f>+Tableau330[[#This Row],[DELAI_PAIEMENT]]+Tableau330[[#This Row],[DATE ]]</f>
        <v>45783</v>
      </c>
      <c r="Z91" s="120"/>
    </row>
    <row r="92" spans="1:26">
      <c r="A92" s="83">
        <v>45783</v>
      </c>
      <c r="B92" s="83" t="str">
        <f>IF(ISBLANK(Tableau330[[#This Row],[DATE ]]),"",UPPER(PROPER(TEXT(Tableau330[[#This Row],[DATE ]],"mmmm yyyy"))))</f>
        <v>MAI 2025</v>
      </c>
      <c r="C92" s="83" t="s">
        <v>824</v>
      </c>
      <c r="D92" s="120" t="s">
        <v>1296</v>
      </c>
      <c r="E92" s="82" t="s">
        <v>1056</v>
      </c>
      <c r="F92" s="120" t="s">
        <v>1057</v>
      </c>
      <c r="G92" s="82" t="s">
        <v>822</v>
      </c>
      <c r="H92" s="82" t="s">
        <v>1297</v>
      </c>
      <c r="I92" s="82" t="s">
        <v>12</v>
      </c>
      <c r="J92" s="121">
        <v>1</v>
      </c>
      <c r="K92" s="121"/>
      <c r="L92" s="121"/>
      <c r="M92" s="122">
        <v>440875</v>
      </c>
      <c r="N92" s="122">
        <f>+IF(Tableau330[[#This Row],[CODE TVA]]="",0,ROUND(Tableau330[[#This Row],[MONTANT HT]]*0.18*Tableau330[[#This Row],[PRORATA D]],1))</f>
        <v>79357.5</v>
      </c>
      <c r="O92" s="122">
        <f>+IFERROR(Tableau330[[#This Row],[MONTANT HT]]+Tableau330[[#This Row],[TVA]],0)</f>
        <v>520232.5</v>
      </c>
      <c r="P92" s="122"/>
      <c r="Q92" s="122"/>
      <c r="R92" s="122">
        <f>+Tableau330[[#This Row],[MONTANT TTC]]+Tableau330[[#This Row],[TIMBRE ]]+Tableau330[[#This Row],[AUTRES TAXES]]</f>
        <v>520232.5</v>
      </c>
      <c r="S92" s="122"/>
      <c r="T92" s="122">
        <f>+ROUND(Tableau330[[#This Row],[NET A PAYER]],0)-Tableau330[[#This Row],[MONTANT PAYE]]</f>
        <v>520233</v>
      </c>
      <c r="U92" s="122"/>
      <c r="V92" s="123">
        <f>+Tableau330[[#This Row],[DELAI_PAIEMENT]]+Tableau330[[#This Row],[DATE ]]</f>
        <v>45783</v>
      </c>
      <c r="X92" s="82" t="s">
        <v>699</v>
      </c>
      <c r="Z92" s="120"/>
    </row>
    <row r="93" spans="1:26">
      <c r="A93" s="83">
        <v>45790</v>
      </c>
      <c r="B93" s="83" t="str">
        <f>IF(ISBLANK(Tableau330[[#This Row],[DATE ]]),"",UPPER(PROPER(TEXT(Tableau330[[#This Row],[DATE ]],"mmmm yyyy"))))</f>
        <v>MAI 2025</v>
      </c>
      <c r="C93" s="83" t="s">
        <v>819</v>
      </c>
      <c r="D93" s="120" t="s">
        <v>1213</v>
      </c>
      <c r="E93" s="82" t="s">
        <v>1214</v>
      </c>
      <c r="F93" s="120"/>
      <c r="H93" s="82" t="s">
        <v>1215</v>
      </c>
      <c r="J93" s="121"/>
      <c r="K93" s="121"/>
      <c r="L93" s="121"/>
      <c r="M93" s="122">
        <v>5037260</v>
      </c>
      <c r="N93" s="122">
        <f>+IF(Tableau330[[#This Row],[CODE TVA]]="",0,ROUND(Tableau330[[#This Row],[MONTANT HT]]*0.18*Tableau330[[#This Row],[PRORATA D]],1))</f>
        <v>0</v>
      </c>
      <c r="O93" s="122">
        <f>+IFERROR(Tableau330[[#This Row],[MONTANT HT]]+Tableau330[[#This Row],[TVA]],0)</f>
        <v>5037260</v>
      </c>
      <c r="P93" s="122"/>
      <c r="Q93" s="122"/>
      <c r="R93" s="122">
        <f>+Tableau330[[#This Row],[MONTANT TTC]]+Tableau330[[#This Row],[TIMBRE ]]+Tableau330[[#This Row],[AUTRES TAXES]]</f>
        <v>5037260</v>
      </c>
      <c r="S93" s="122">
        <v>5037260</v>
      </c>
      <c r="T93" s="122">
        <f>+ROUND(Tableau330[[#This Row],[NET A PAYER]],0)-Tableau330[[#This Row],[MONTANT PAYE]]</f>
        <v>0</v>
      </c>
      <c r="U93" s="122"/>
      <c r="V93" s="123">
        <f>+Tableau330[[#This Row],[DELAI_PAIEMENT]]+Tableau330[[#This Row],[DATE ]]</f>
        <v>45790</v>
      </c>
      <c r="X93" s="82" t="s">
        <v>699</v>
      </c>
      <c r="Z93" s="120"/>
    </row>
    <row r="94" spans="1:26">
      <c r="A94" s="83">
        <v>45791</v>
      </c>
      <c r="B94" s="83" t="str">
        <f>IF(ISBLANK(Tableau330[[#This Row],[DATE ]]),"",UPPER(PROPER(TEXT(Tableau330[[#This Row],[DATE ]],"mmmm yyyy"))))</f>
        <v>MAI 2025</v>
      </c>
      <c r="C94" s="83" t="s">
        <v>819</v>
      </c>
      <c r="D94" s="120"/>
      <c r="E94" s="82" t="s">
        <v>885</v>
      </c>
      <c r="F94" s="120"/>
      <c r="H94" s="82" t="s">
        <v>886</v>
      </c>
      <c r="J94" s="121"/>
      <c r="K94" s="121"/>
      <c r="L94" s="121"/>
      <c r="M94" s="122">
        <v>1010000</v>
      </c>
      <c r="N94" s="122">
        <f>+IF(Tableau330[[#This Row],[CODE TVA]]="",0,ROUND(Tableau330[[#This Row],[MONTANT HT]]*0.18*Tableau330[[#This Row],[PRORATA D]],1))</f>
        <v>0</v>
      </c>
      <c r="O94" s="122">
        <f>+IFERROR(Tableau330[[#This Row],[MONTANT HT]]+Tableau330[[#This Row],[TVA]],0)</f>
        <v>1010000</v>
      </c>
      <c r="P94" s="122"/>
      <c r="Q94" s="122"/>
      <c r="R94" s="122">
        <f>+Tableau330[[#This Row],[MONTANT TTC]]+Tableau330[[#This Row],[TIMBRE ]]+Tableau330[[#This Row],[AUTRES TAXES]]</f>
        <v>1010000</v>
      </c>
      <c r="S94" s="122">
        <v>1010000</v>
      </c>
      <c r="T94" s="122">
        <f>+ROUND(Tableau330[[#This Row],[NET A PAYER]],0)-Tableau330[[#This Row],[MONTANT PAYE]]</f>
        <v>0</v>
      </c>
      <c r="U94" s="122"/>
      <c r="V94" s="123">
        <f>+Tableau330[[#This Row],[DELAI_PAIEMENT]]+Tableau330[[#This Row],[DATE ]]</f>
        <v>45791</v>
      </c>
      <c r="Z94" s="120"/>
    </row>
    <row r="95" spans="1:26">
      <c r="A95" s="83">
        <v>45793</v>
      </c>
      <c r="B95" s="83" t="str">
        <f>IF(ISBLANK(Tableau330[[#This Row],[DATE ]]),"",UPPER(PROPER(TEXT(Tableau330[[#This Row],[DATE ]],"mmmm yyyy"))))</f>
        <v>MAI 2025</v>
      </c>
      <c r="C95" s="83" t="s">
        <v>819</v>
      </c>
      <c r="D95" s="120" t="s">
        <v>923</v>
      </c>
      <c r="E95" s="82" t="s">
        <v>872</v>
      </c>
      <c r="F95" s="120" t="s">
        <v>873</v>
      </c>
      <c r="H95" s="82" t="s">
        <v>924</v>
      </c>
      <c r="J95" s="121"/>
      <c r="K95" s="121"/>
      <c r="L95" s="121"/>
      <c r="M95" s="122">
        <v>300000</v>
      </c>
      <c r="N95" s="122">
        <f>+IF(Tableau330[[#This Row],[CODE TVA]]="",0,ROUND(Tableau330[[#This Row],[MONTANT HT]]*0.18*Tableau330[[#This Row],[PRORATA D]],1))</f>
        <v>0</v>
      </c>
      <c r="O95" s="122">
        <f>+IFERROR(Tableau330[[#This Row],[MONTANT HT]]+Tableau330[[#This Row],[TVA]],0)</f>
        <v>300000</v>
      </c>
      <c r="P95" s="122"/>
      <c r="Q95" s="122"/>
      <c r="R95" s="122">
        <f>+Tableau330[[#This Row],[MONTANT TTC]]+Tableau330[[#This Row],[TIMBRE ]]+Tableau330[[#This Row],[AUTRES TAXES]]</f>
        <v>300000</v>
      </c>
      <c r="S95" s="122">
        <v>300000</v>
      </c>
      <c r="T95" s="122">
        <f>+ROUND(Tableau330[[#This Row],[NET A PAYER]],0)-Tableau330[[#This Row],[MONTANT PAYE]]</f>
        <v>0</v>
      </c>
      <c r="U95" s="122"/>
      <c r="V95" s="123">
        <f>+Tableau330[[#This Row],[DELAI_PAIEMENT]]+Tableau330[[#This Row],[DATE ]]</f>
        <v>45793</v>
      </c>
      <c r="Z95" s="120"/>
    </row>
    <row r="96" spans="1:26">
      <c r="A96" s="83">
        <v>45794</v>
      </c>
      <c r="B96" s="83" t="str">
        <f>IF(ISBLANK(Tableau330[[#This Row],[DATE ]]),"",UPPER(PROPER(TEXT(Tableau330[[#This Row],[DATE ]],"mmmm yyyy"))))</f>
        <v>MAI 2025</v>
      </c>
      <c r="C96" s="83" t="s">
        <v>819</v>
      </c>
      <c r="D96" s="120" t="s">
        <v>887</v>
      </c>
      <c r="E96" s="82" t="s">
        <v>888</v>
      </c>
      <c r="F96" s="120"/>
      <c r="H96" s="82" t="s">
        <v>889</v>
      </c>
      <c r="J96" s="121"/>
      <c r="K96" s="121"/>
      <c r="L96" s="121"/>
      <c r="M96" s="122">
        <v>17000</v>
      </c>
      <c r="N96" s="122">
        <f>+IF(Tableau330[[#This Row],[CODE TVA]]="",0,ROUND(Tableau330[[#This Row],[MONTANT HT]]*0.18*Tableau330[[#This Row],[PRORATA D]],1))</f>
        <v>0</v>
      </c>
      <c r="O96" s="122">
        <f>+IFERROR(Tableau330[[#This Row],[MONTANT HT]]+Tableau330[[#This Row],[TVA]],0)</f>
        <v>17000</v>
      </c>
      <c r="P96" s="122"/>
      <c r="Q96" s="122"/>
      <c r="R96" s="122">
        <f>+Tableau330[[#This Row],[MONTANT TTC]]+Tableau330[[#This Row],[TIMBRE ]]+Tableau330[[#This Row],[AUTRES TAXES]]</f>
        <v>17000</v>
      </c>
      <c r="S96" s="122">
        <v>17000</v>
      </c>
      <c r="T96" s="122">
        <f>+ROUND(Tableau330[[#This Row],[NET A PAYER]],0)-Tableau330[[#This Row],[MONTANT PAYE]]</f>
        <v>0</v>
      </c>
      <c r="U96" s="122"/>
      <c r="V96" s="123">
        <f>+Tableau330[[#This Row],[DELAI_PAIEMENT]]+Tableau330[[#This Row],[DATE ]]</f>
        <v>45794</v>
      </c>
      <c r="Z96" s="120"/>
    </row>
    <row r="97" spans="1:26">
      <c r="A97" s="83">
        <v>45794</v>
      </c>
      <c r="B97" s="83" t="str">
        <f>IF(ISBLANK(Tableau330[[#This Row],[DATE ]]),"",UPPER(PROPER(TEXT(Tableau330[[#This Row],[DATE ]],"mmmm yyyy"))))</f>
        <v>MAI 2025</v>
      </c>
      <c r="C97" s="83" t="s">
        <v>819</v>
      </c>
      <c r="D97" s="120" t="s">
        <v>890</v>
      </c>
      <c r="E97" s="82" t="s">
        <v>852</v>
      </c>
      <c r="F97" s="120"/>
      <c r="H97" s="82" t="s">
        <v>891</v>
      </c>
      <c r="J97" s="121"/>
      <c r="K97" s="121"/>
      <c r="L97" s="121"/>
      <c r="M97" s="122">
        <v>255000</v>
      </c>
      <c r="N97" s="122">
        <f>+IF(Tableau330[[#This Row],[CODE TVA]]="",0,ROUND(Tableau330[[#This Row],[MONTANT HT]]*0.18*Tableau330[[#This Row],[PRORATA D]],1))</f>
        <v>0</v>
      </c>
      <c r="O97" s="122">
        <f>+IFERROR(Tableau330[[#This Row],[MONTANT HT]]+Tableau330[[#This Row],[TVA]],0)</f>
        <v>255000</v>
      </c>
      <c r="P97" s="122"/>
      <c r="Q97" s="122"/>
      <c r="R97" s="122">
        <f>+Tableau330[[#This Row],[MONTANT TTC]]+Tableau330[[#This Row],[TIMBRE ]]+Tableau330[[#This Row],[AUTRES TAXES]]</f>
        <v>255000</v>
      </c>
      <c r="S97" s="122">
        <v>255000</v>
      </c>
      <c r="T97" s="122">
        <f>+ROUND(Tableau330[[#This Row],[NET A PAYER]],0)-Tableau330[[#This Row],[MONTANT PAYE]]</f>
        <v>0</v>
      </c>
      <c r="U97" s="122"/>
      <c r="V97" s="123">
        <f>+Tableau330[[#This Row],[DELAI_PAIEMENT]]+Tableau330[[#This Row],[DATE ]]</f>
        <v>45794</v>
      </c>
      <c r="Z97" s="120"/>
    </row>
    <row r="98" spans="1:26">
      <c r="A98" s="83">
        <v>45798</v>
      </c>
      <c r="B98" s="83" t="str">
        <f>IF(ISBLANK(Tableau330[[#This Row],[DATE ]]),"",UPPER(PROPER(TEXT(Tableau330[[#This Row],[DATE ]],"mmmm yyyy"))))</f>
        <v>MAI 2025</v>
      </c>
      <c r="C98" s="83" t="s">
        <v>836</v>
      </c>
      <c r="D98" s="120" t="s">
        <v>880</v>
      </c>
      <c r="E98" s="82" t="s">
        <v>881</v>
      </c>
      <c r="F98" s="120" t="s">
        <v>882</v>
      </c>
      <c r="G98" s="82" t="s">
        <v>883</v>
      </c>
      <c r="H98" s="82" t="s">
        <v>884</v>
      </c>
      <c r="J98" s="121"/>
      <c r="K98" s="121"/>
      <c r="L98" s="121"/>
      <c r="M98" s="122">
        <v>1760000</v>
      </c>
      <c r="N98" s="122">
        <f>+IF(Tableau330[[#This Row],[CODE TVA]]="",0,ROUND(Tableau330[[#This Row],[MONTANT HT]]*0.18*Tableau330[[#This Row],[PRORATA D]],1))</f>
        <v>0</v>
      </c>
      <c r="O98" s="122">
        <f>+IFERROR(Tableau330[[#This Row],[MONTANT HT]]+Tableau330[[#This Row],[TVA]],0)</f>
        <v>1760000</v>
      </c>
      <c r="P98" s="122"/>
      <c r="Q98" s="122"/>
      <c r="R98" s="122">
        <f>+Tableau330[[#This Row],[MONTANT TTC]]+Tableau330[[#This Row],[TIMBRE ]]+Tableau330[[#This Row],[AUTRES TAXES]]</f>
        <v>1760000</v>
      </c>
      <c r="S98" s="122">
        <v>1760000</v>
      </c>
      <c r="T98" s="122">
        <f>+ROUND(Tableau330[[#This Row],[NET A PAYER]],0)-Tableau330[[#This Row],[MONTANT PAYE]]</f>
        <v>0</v>
      </c>
      <c r="U98" s="122"/>
      <c r="V98" s="123">
        <f>+Tableau330[[#This Row],[DELAI_PAIEMENT]]+Tableau330[[#This Row],[DATE ]]</f>
        <v>45798</v>
      </c>
      <c r="Z98" s="120"/>
    </row>
    <row r="99" spans="1:26">
      <c r="A99" s="83">
        <v>45798</v>
      </c>
      <c r="B99" s="83" t="str">
        <f>IF(ISBLANK(Tableau330[[#This Row],[DATE ]]),"",UPPER(PROPER(TEXT(Tableau330[[#This Row],[DATE ]],"mmmm yyyy"))))</f>
        <v>MAI 2025</v>
      </c>
      <c r="C99" s="83" t="s">
        <v>836</v>
      </c>
      <c r="D99" s="120" t="s">
        <v>1335</v>
      </c>
      <c r="E99" s="82" t="s">
        <v>881</v>
      </c>
      <c r="F99" s="120" t="s">
        <v>882</v>
      </c>
      <c r="H99" s="82" t="s">
        <v>1336</v>
      </c>
      <c r="J99" s="121"/>
      <c r="K99" s="121"/>
      <c r="L99" s="121"/>
      <c r="M99" s="122">
        <v>1760000</v>
      </c>
      <c r="N99" s="122">
        <f>+IF(Tableau330[[#This Row],[CODE TVA]]="",0,ROUND(Tableau330[[#This Row],[MONTANT HT]]*0.18*Tableau330[[#This Row],[PRORATA D]],1))</f>
        <v>0</v>
      </c>
      <c r="O99" s="122">
        <f>+IFERROR(Tableau330[[#This Row],[MONTANT HT]]+Tableau330[[#This Row],[TVA]],0)</f>
        <v>1760000</v>
      </c>
      <c r="P99" s="122"/>
      <c r="Q99" s="122"/>
      <c r="R99" s="122">
        <f>+Tableau330[[#This Row],[MONTANT TTC]]+Tableau330[[#This Row],[TIMBRE ]]+Tableau330[[#This Row],[AUTRES TAXES]]</f>
        <v>1760000</v>
      </c>
      <c r="S99" s="122">
        <v>1000000</v>
      </c>
      <c r="T99" s="122">
        <f>+ROUND(Tableau330[[#This Row],[NET A PAYER]],0)-Tableau330[[#This Row],[MONTANT PAYE]]</f>
        <v>760000</v>
      </c>
      <c r="U99" s="122"/>
      <c r="V99" s="123">
        <f>+Tableau330[[#This Row],[DELAI_PAIEMENT]]+Tableau330[[#This Row],[DATE ]]</f>
        <v>45798</v>
      </c>
      <c r="X99" s="82" t="s">
        <v>1338</v>
      </c>
      <c r="Y99" s="82" t="s">
        <v>617</v>
      </c>
      <c r="Z99" s="120" t="s">
        <v>1342</v>
      </c>
    </row>
    <row r="100" spans="1:26">
      <c r="A100" s="83">
        <v>45799</v>
      </c>
      <c r="B100" s="83" t="str">
        <f>IF(ISBLANK(Tableau330[[#This Row],[DATE ]]),"",UPPER(PROPER(TEXT(Tableau330[[#This Row],[DATE ]],"mmmm yyyy"))))</f>
        <v>MAI 2025</v>
      </c>
      <c r="C100" s="83" t="s">
        <v>824</v>
      </c>
      <c r="D100" s="120" t="s">
        <v>903</v>
      </c>
      <c r="E100" s="82" t="s">
        <v>904</v>
      </c>
      <c r="F100" s="120" t="s">
        <v>905</v>
      </c>
      <c r="H100" s="82" t="s">
        <v>906</v>
      </c>
      <c r="I100" s="82" t="s">
        <v>12</v>
      </c>
      <c r="J100" s="121">
        <v>1</v>
      </c>
      <c r="K100" s="121"/>
      <c r="L100" s="121"/>
      <c r="M100" s="122">
        <v>30339</v>
      </c>
      <c r="N100" s="122">
        <f>+IF(Tableau330[[#This Row],[CODE TVA]]="",0,ROUND(Tableau330[[#This Row],[MONTANT HT]]*0.18*Tableau330[[#This Row],[PRORATA D]],1))</f>
        <v>5461</v>
      </c>
      <c r="O100" s="122">
        <f>+IFERROR(Tableau330[[#This Row],[MONTANT HT]]+Tableau330[[#This Row],[TVA]],0)</f>
        <v>35800</v>
      </c>
      <c r="P100" s="122"/>
      <c r="Q100" s="122"/>
      <c r="R100" s="122">
        <f>+Tableau330[[#This Row],[MONTANT TTC]]+Tableau330[[#This Row],[TIMBRE ]]+Tableau330[[#This Row],[AUTRES TAXES]]</f>
        <v>35800</v>
      </c>
      <c r="S100" s="122">
        <v>35800</v>
      </c>
      <c r="T100" s="122">
        <f>+ROUND(Tableau330[[#This Row],[NET A PAYER]],0)-Tableau330[[#This Row],[MONTANT PAYE]]</f>
        <v>0</v>
      </c>
      <c r="U100" s="122"/>
      <c r="V100" s="123">
        <f>+Tableau330[[#This Row],[DELAI_PAIEMENT]]+Tableau330[[#This Row],[DATE ]]</f>
        <v>45799</v>
      </c>
      <c r="Z100" s="120"/>
    </row>
    <row r="101" spans="1:26">
      <c r="A101" s="83">
        <v>45799</v>
      </c>
      <c r="B101" s="83" t="str">
        <f>IF(ISBLANK(Tableau330[[#This Row],[DATE ]]),"",UPPER(PROPER(TEXT(Tableau330[[#This Row],[DATE ]],"mmmm yyyy"))))</f>
        <v>MAI 2025</v>
      </c>
      <c r="C101" s="83" t="s">
        <v>824</v>
      </c>
      <c r="D101" s="120" t="s">
        <v>907</v>
      </c>
      <c r="E101" s="82" t="s">
        <v>908</v>
      </c>
      <c r="F101" s="120" t="s">
        <v>833</v>
      </c>
      <c r="H101" s="82" t="s">
        <v>909</v>
      </c>
      <c r="J101" s="121"/>
      <c r="K101" s="121"/>
      <c r="L101" s="121"/>
      <c r="M101" s="122">
        <v>44800</v>
      </c>
      <c r="N101" s="122">
        <f>+IF(Tableau330[[#This Row],[CODE TVA]]="",0,ROUND(Tableau330[[#This Row],[MONTANT HT]]*0.18*Tableau330[[#This Row],[PRORATA D]],1))</f>
        <v>0</v>
      </c>
      <c r="O101" s="122">
        <f>+IFERROR(Tableau330[[#This Row],[MONTANT HT]]+Tableau330[[#This Row],[TVA]],0)</f>
        <v>44800</v>
      </c>
      <c r="P101" s="122"/>
      <c r="Q101" s="122"/>
      <c r="R101" s="122">
        <f>+Tableau330[[#This Row],[MONTANT TTC]]+Tableau330[[#This Row],[TIMBRE ]]+Tableau330[[#This Row],[AUTRES TAXES]]</f>
        <v>44800</v>
      </c>
      <c r="S101" s="122">
        <v>44800</v>
      </c>
      <c r="T101" s="122">
        <f>+ROUND(Tableau330[[#This Row],[NET A PAYER]],0)-Tableau330[[#This Row],[MONTANT PAYE]]</f>
        <v>0</v>
      </c>
      <c r="U101" s="122"/>
      <c r="V101" s="123">
        <f>+Tableau330[[#This Row],[DELAI_PAIEMENT]]+Tableau330[[#This Row],[DATE ]]</f>
        <v>45799</v>
      </c>
      <c r="Z101" s="120"/>
    </row>
    <row r="102" spans="1:26">
      <c r="A102" s="83">
        <v>45805</v>
      </c>
      <c r="B102" s="83" t="str">
        <f>IF(ISBLANK(Tableau330[[#This Row],[DATE ]]),"",UPPER(PROPER(TEXT(Tableau330[[#This Row],[DATE ]],"mmmm yyyy"))))</f>
        <v>MAI 2025</v>
      </c>
      <c r="C102" s="126" t="s">
        <v>819</v>
      </c>
      <c r="D102" s="120" t="s">
        <v>877</v>
      </c>
      <c r="E102" s="82" t="s">
        <v>878</v>
      </c>
      <c r="F102" s="120"/>
      <c r="H102" s="82" t="s">
        <v>879</v>
      </c>
      <c r="J102" s="121"/>
      <c r="K102" s="121"/>
      <c r="L102" s="121"/>
      <c r="M102" s="122">
        <v>100000</v>
      </c>
      <c r="N102" s="122">
        <f>+IF(Tableau330[[#This Row],[CODE TVA]]="",0,ROUND(Tableau330[[#This Row],[MONTANT HT]]*0.18*Tableau330[[#This Row],[PRORATA D]],1))</f>
        <v>0</v>
      </c>
      <c r="O102" s="122">
        <f>+IFERROR(Tableau330[[#This Row],[MONTANT HT]]+Tableau330[[#This Row],[TVA]],0)</f>
        <v>100000</v>
      </c>
      <c r="P102" s="122"/>
      <c r="Q102" s="122"/>
      <c r="R102" s="122">
        <f>+Tableau330[[#This Row],[MONTANT TTC]]+Tableau330[[#This Row],[TIMBRE ]]+Tableau330[[#This Row],[AUTRES TAXES]]</f>
        <v>100000</v>
      </c>
      <c r="S102" s="122">
        <v>100000</v>
      </c>
      <c r="T102" s="122">
        <f>+ROUND(Tableau330[[#This Row],[NET A PAYER]],0)-Tableau330[[#This Row],[MONTANT PAYE]]</f>
        <v>0</v>
      </c>
      <c r="U102" s="122"/>
      <c r="V102" s="123">
        <f>+Tableau330[[#This Row],[DELAI_PAIEMENT]]+Tableau330[[#This Row],[DATE ]]</f>
        <v>45805</v>
      </c>
      <c r="Z102" s="120"/>
    </row>
    <row r="103" spans="1:26">
      <c r="A103" s="83">
        <v>45805</v>
      </c>
      <c r="B103" s="83" t="str">
        <f>IF(ISBLANK(Tableau330[[#This Row],[DATE ]]),"",UPPER(PROPER(TEXT(Tableau330[[#This Row],[DATE ]],"mmmm yyyy"))))</f>
        <v>MAI 2025</v>
      </c>
      <c r="C103" s="83" t="s">
        <v>819</v>
      </c>
      <c r="D103" s="120" t="s">
        <v>877</v>
      </c>
      <c r="E103" s="82" t="s">
        <v>878</v>
      </c>
      <c r="F103" s="120"/>
      <c r="H103" s="82" t="s">
        <v>879</v>
      </c>
      <c r="J103" s="121"/>
      <c r="K103" s="121"/>
      <c r="L103" s="121"/>
      <c r="M103" s="122">
        <v>100000</v>
      </c>
      <c r="N103" s="122">
        <f>+IF(Tableau330[[#This Row],[CODE TVA]]="",0,ROUND(Tableau330[[#This Row],[MONTANT HT]]*0.18*Tableau330[[#This Row],[PRORATA D]],1))</f>
        <v>0</v>
      </c>
      <c r="O103" s="122">
        <f>+IFERROR(Tableau330[[#This Row],[MONTANT HT]]+Tableau330[[#This Row],[TVA]],0)</f>
        <v>100000</v>
      </c>
      <c r="P103" s="122"/>
      <c r="Q103" s="122"/>
      <c r="R103" s="122">
        <f>+Tableau330[[#This Row],[MONTANT TTC]]+Tableau330[[#This Row],[TIMBRE ]]+Tableau330[[#This Row],[AUTRES TAXES]]</f>
        <v>100000</v>
      </c>
      <c r="S103" s="122">
        <v>100000</v>
      </c>
      <c r="T103" s="122">
        <f>+ROUND(Tableau330[[#This Row],[NET A PAYER]],0)-Tableau330[[#This Row],[MONTANT PAYE]]</f>
        <v>0</v>
      </c>
      <c r="U103" s="122"/>
      <c r="V103" s="123">
        <f>+Tableau330[[#This Row],[DELAI_PAIEMENT]]+Tableau330[[#This Row],[DATE ]]</f>
        <v>45805</v>
      </c>
      <c r="Z103" s="120"/>
    </row>
    <row r="104" spans="1:26">
      <c r="A104" s="83">
        <v>45809</v>
      </c>
      <c r="B104" s="83" t="str">
        <f>IF(ISBLANK(Tableau330[[#This Row],[DATE ]]),"",UPPER(PROPER(TEXT(Tableau330[[#This Row],[DATE ]],"mmmm yyyy"))))</f>
        <v>JUIN 2025</v>
      </c>
      <c r="C104" s="83" t="s">
        <v>819</v>
      </c>
      <c r="D104" s="120" t="s">
        <v>922</v>
      </c>
      <c r="E104" s="82" t="s">
        <v>872</v>
      </c>
      <c r="F104" s="120" t="s">
        <v>873</v>
      </c>
      <c r="H104" s="82" t="s">
        <v>874</v>
      </c>
      <c r="J104" s="121"/>
      <c r="K104" s="121"/>
      <c r="L104" s="121"/>
      <c r="M104" s="122">
        <v>300000</v>
      </c>
      <c r="N104" s="122">
        <f>+IF(Tableau330[[#This Row],[CODE TVA]]="",0,ROUND(Tableau330[[#This Row],[MONTANT HT]]*0.18*Tableau330[[#This Row],[PRORATA D]],1))</f>
        <v>0</v>
      </c>
      <c r="O104" s="122">
        <f>+IFERROR(Tableau330[[#This Row],[MONTANT HT]]+Tableau330[[#This Row],[TVA]],0)</f>
        <v>300000</v>
      </c>
      <c r="P104" s="122"/>
      <c r="Q104" s="122"/>
      <c r="R104" s="122">
        <f>+Tableau330[[#This Row],[MONTANT TTC]]+Tableau330[[#This Row],[TIMBRE ]]+Tableau330[[#This Row],[AUTRES TAXES]]</f>
        <v>300000</v>
      </c>
      <c r="S104" s="122">
        <v>300000</v>
      </c>
      <c r="T104" s="122">
        <f>+ROUND(Tableau330[[#This Row],[NET A PAYER]],0)-Tableau330[[#This Row],[MONTANT PAYE]]</f>
        <v>0</v>
      </c>
      <c r="U104" s="122"/>
      <c r="V104" s="123">
        <f>+Tableau330[[#This Row],[DELAI_PAIEMENT]]+Tableau330[[#This Row],[DATE ]]</f>
        <v>45809</v>
      </c>
      <c r="Z104" s="120"/>
    </row>
    <row r="105" spans="1:26">
      <c r="A105" s="83">
        <v>45810</v>
      </c>
      <c r="B105" s="83" t="str">
        <f>IF(ISBLANK(Tableau330[[#This Row],[DATE ]]),"",UPPER(PROPER(TEXT(Tableau330[[#This Row],[DATE ]],"mmmm yyyy"))))</f>
        <v>JUIN 2025</v>
      </c>
      <c r="C105" s="83" t="s">
        <v>824</v>
      </c>
      <c r="D105" s="120" t="s">
        <v>854</v>
      </c>
      <c r="E105" s="82" t="s">
        <v>832</v>
      </c>
      <c r="F105" s="120" t="s">
        <v>833</v>
      </c>
      <c r="H105" s="82" t="s">
        <v>855</v>
      </c>
      <c r="I105" s="82" t="s">
        <v>12</v>
      </c>
      <c r="J105" s="121">
        <v>1</v>
      </c>
      <c r="K105" s="121"/>
      <c r="L105" s="121"/>
      <c r="M105" s="122">
        <v>1949.15</v>
      </c>
      <c r="N105" s="122">
        <f>+IF(Tableau330[[#This Row],[CODE TVA]]="",0,ROUND(Tableau330[[#This Row],[MONTANT HT]]*0.18*Tableau330[[#This Row],[PRORATA D]],1))</f>
        <v>350.8</v>
      </c>
      <c r="O105" s="122">
        <f>+IFERROR(Tableau330[[#This Row],[MONTANT HT]]+Tableau330[[#This Row],[TVA]],0)</f>
        <v>2299.9500000000003</v>
      </c>
      <c r="P105" s="122"/>
      <c r="Q105" s="122"/>
      <c r="R105" s="122">
        <f>+Tableau330[[#This Row],[MONTANT TTC]]+Tableau330[[#This Row],[TIMBRE ]]+Tableau330[[#This Row],[AUTRES TAXES]]</f>
        <v>2299.9500000000003</v>
      </c>
      <c r="S105" s="122">
        <v>2299.9970000000003</v>
      </c>
      <c r="T105" s="122">
        <f>+ROUND(Tableau330[[#This Row],[NET A PAYER]],0)-Tableau330[[#This Row],[MONTANT PAYE]]</f>
        <v>2.9999999997016857E-3</v>
      </c>
      <c r="U105" s="122"/>
      <c r="V105" s="123">
        <f>+Tableau330[[#This Row],[DELAI_PAIEMENT]]+Tableau330[[#This Row],[DATE ]]</f>
        <v>45810</v>
      </c>
      <c r="W105" s="127"/>
      <c r="Z105" s="120"/>
    </row>
    <row r="106" spans="1:26">
      <c r="A106" s="83">
        <v>45812</v>
      </c>
      <c r="B106" s="83" t="str">
        <f>IF(ISBLANK(Tableau330[[#This Row],[DATE ]]),"",UPPER(PROPER(TEXT(Tableau330[[#This Row],[DATE ]],"mmmm yyyy"))))</f>
        <v>JUIN 2025</v>
      </c>
      <c r="C106" s="83" t="s">
        <v>819</v>
      </c>
      <c r="D106" s="120" t="s">
        <v>820</v>
      </c>
      <c r="E106" s="82" t="s">
        <v>821</v>
      </c>
      <c r="F106" s="120"/>
      <c r="G106" s="82" t="s">
        <v>822</v>
      </c>
      <c r="H106" s="82" t="s">
        <v>823</v>
      </c>
      <c r="J106" s="121">
        <v>1</v>
      </c>
      <c r="K106" s="121"/>
      <c r="L106" s="121"/>
      <c r="M106" s="122">
        <v>50000</v>
      </c>
      <c r="N106" s="122">
        <f>+IF(Tableau330[[#This Row],[CODE TVA]]="",0,ROUND(Tableau330[[#This Row],[MONTANT HT]]*0.18*Tableau330[[#This Row],[PRORATA D]],1))</f>
        <v>0</v>
      </c>
      <c r="O106" s="122">
        <f>+IFERROR(Tableau330[[#This Row],[MONTANT HT]]+Tableau330[[#This Row],[TVA]],0)</f>
        <v>50000</v>
      </c>
      <c r="P106" s="122"/>
      <c r="Q106" s="122"/>
      <c r="R106" s="122">
        <f>+Tableau330[[#This Row],[MONTANT TTC]]+Tableau330[[#This Row],[TIMBRE ]]+Tableau330[[#This Row],[AUTRES TAXES]]</f>
        <v>50000</v>
      </c>
      <c r="S106" s="122">
        <v>50000</v>
      </c>
      <c r="T106" s="122">
        <f>+ROUND(Tableau330[[#This Row],[NET A PAYER]],0)-Tableau330[[#This Row],[MONTANT PAYE]]</f>
        <v>0</v>
      </c>
      <c r="U106" s="122"/>
      <c r="V106" s="123">
        <f>+Tableau330[[#This Row],[DELAI_PAIEMENT]]+Tableau330[[#This Row],[DATE ]]</f>
        <v>45812</v>
      </c>
      <c r="Z106" s="120"/>
    </row>
    <row r="107" spans="1:26">
      <c r="A107" s="83">
        <v>45813</v>
      </c>
      <c r="B107" s="83" t="str">
        <f>IF(ISBLANK(Tableau330[[#This Row],[DATE ]]),"",UPPER(PROPER(TEXT(Tableau330[[#This Row],[DATE ]],"mmmm yyyy"))))</f>
        <v>JUIN 2025</v>
      </c>
      <c r="C107" s="83" t="s">
        <v>824</v>
      </c>
      <c r="D107" s="120" t="s">
        <v>862</v>
      </c>
      <c r="E107" s="82" t="s">
        <v>863</v>
      </c>
      <c r="F107" s="120" t="s">
        <v>864</v>
      </c>
      <c r="G107" s="82" t="s">
        <v>822</v>
      </c>
      <c r="H107" s="82" t="s">
        <v>865</v>
      </c>
      <c r="J107" s="121">
        <v>1</v>
      </c>
      <c r="K107" s="121"/>
      <c r="L107" s="121"/>
      <c r="M107" s="122">
        <v>26000</v>
      </c>
      <c r="N107" s="122">
        <f>+IF(Tableau330[[#This Row],[CODE TVA]]="",0,ROUND(Tableau330[[#This Row],[MONTANT HT]]*0.18*Tableau330[[#This Row],[PRORATA D]],1))</f>
        <v>0</v>
      </c>
      <c r="O107" s="122">
        <f>+IFERROR(Tableau330[[#This Row],[MONTANT HT]]+Tableau330[[#This Row],[TVA]],0)</f>
        <v>26000</v>
      </c>
      <c r="P107" s="122"/>
      <c r="Q107" s="122"/>
      <c r="R107" s="122">
        <f>+Tableau330[[#This Row],[MONTANT TTC]]+Tableau330[[#This Row],[TIMBRE ]]+Tableau330[[#This Row],[AUTRES TAXES]]</f>
        <v>26000</v>
      </c>
      <c r="S107" s="122">
        <v>26000</v>
      </c>
      <c r="T107" s="122">
        <f>+ROUND(Tableau330[[#This Row],[NET A PAYER]],0)-Tableau330[[#This Row],[MONTANT PAYE]]</f>
        <v>0</v>
      </c>
      <c r="U107" s="122"/>
      <c r="V107" s="123">
        <f>+Tableau330[[#This Row],[DELAI_PAIEMENT]]+Tableau330[[#This Row],[DATE ]]</f>
        <v>45813</v>
      </c>
      <c r="Z107" s="120"/>
    </row>
    <row r="108" spans="1:26">
      <c r="A108" s="83">
        <v>45813</v>
      </c>
      <c r="B108" s="83" t="str">
        <f>IF(ISBLANK(Tableau330[[#This Row],[DATE ]]),"",UPPER(PROPER(TEXT(Tableau330[[#This Row],[DATE ]],"mmmm yyyy"))))</f>
        <v>JUIN 2025</v>
      </c>
      <c r="C108" s="83" t="s">
        <v>824</v>
      </c>
      <c r="D108" s="120" t="s">
        <v>866</v>
      </c>
      <c r="E108" s="82" t="s">
        <v>832</v>
      </c>
      <c r="F108" s="120" t="s">
        <v>833</v>
      </c>
      <c r="H108" s="82" t="s">
        <v>867</v>
      </c>
      <c r="I108" s="82" t="s">
        <v>12</v>
      </c>
      <c r="J108" s="128">
        <v>0.24540000000000001</v>
      </c>
      <c r="K108" s="128"/>
      <c r="L108" s="128"/>
      <c r="M108" s="122">
        <v>63208</v>
      </c>
      <c r="N108" s="122">
        <f>+IF(Tableau330[[#This Row],[CODE TVA]]="",0,ROUND(Tableau330[[#This Row],[MONTANT HT]]*0.18*Tableau330[[#This Row],[PRORATA D]],1))</f>
        <v>2792</v>
      </c>
      <c r="O108" s="122">
        <f>+IFERROR(Tableau330[[#This Row],[MONTANT HT]]+Tableau330[[#This Row],[TVA]],0)</f>
        <v>66000</v>
      </c>
      <c r="P108" s="122"/>
      <c r="Q108" s="122"/>
      <c r="R108" s="122">
        <f>+Tableau330[[#This Row],[MONTANT TTC]]+Tableau330[[#This Row],[TIMBRE ]]+Tableau330[[#This Row],[AUTRES TAXES]]</f>
        <v>66000</v>
      </c>
      <c r="S108" s="122">
        <v>66000</v>
      </c>
      <c r="T108" s="122">
        <f>+ROUND(Tableau330[[#This Row],[NET A PAYER]],0)-Tableau330[[#This Row],[MONTANT PAYE]]</f>
        <v>0</v>
      </c>
      <c r="U108" s="122"/>
      <c r="V108" s="123">
        <f>+Tableau330[[#This Row],[DELAI_PAIEMENT]]+Tableau330[[#This Row],[DATE ]]</f>
        <v>45813</v>
      </c>
      <c r="Z108" s="120"/>
    </row>
    <row r="109" spans="1:26">
      <c r="A109" s="83">
        <v>45818</v>
      </c>
      <c r="B109" s="83" t="str">
        <f>IF(ISBLANK(Tableau330[[#This Row],[DATE ]]),"",UPPER(PROPER(TEXT(Tableau330[[#This Row],[DATE ]],"mmmm yyyy"))))</f>
        <v>JUIN 2025</v>
      </c>
      <c r="C109" s="83" t="s">
        <v>819</v>
      </c>
      <c r="D109" s="120" t="s">
        <v>851</v>
      </c>
      <c r="E109" s="82" t="s">
        <v>852</v>
      </c>
      <c r="F109" s="120"/>
      <c r="H109" s="82" t="s">
        <v>853</v>
      </c>
      <c r="J109" s="121"/>
      <c r="K109" s="121"/>
      <c r="L109" s="121"/>
      <c r="M109" s="122">
        <v>230000</v>
      </c>
      <c r="N109" s="122">
        <f>+IF(Tableau330[[#This Row],[CODE TVA]]="",0,ROUND(Tableau330[[#This Row],[MONTANT HT]]*0.18*Tableau330[[#This Row],[PRORATA D]],1))</f>
        <v>0</v>
      </c>
      <c r="O109" s="122">
        <f>+IFERROR(Tableau330[[#This Row],[MONTANT HT]]+Tableau330[[#This Row],[TVA]],0)</f>
        <v>230000</v>
      </c>
      <c r="P109" s="122"/>
      <c r="Q109" s="122"/>
      <c r="R109" s="122">
        <f>+Tableau330[[#This Row],[MONTANT TTC]]+Tableau330[[#This Row],[TIMBRE ]]+Tableau330[[#This Row],[AUTRES TAXES]]</f>
        <v>230000</v>
      </c>
      <c r="S109" s="122">
        <v>230000</v>
      </c>
      <c r="T109" s="122">
        <f>+ROUND(Tableau330[[#This Row],[NET A PAYER]],0)-Tableau330[[#This Row],[MONTANT PAYE]]</f>
        <v>0</v>
      </c>
      <c r="U109" s="122"/>
      <c r="V109" s="123">
        <f>+Tableau330[[#This Row],[DELAI_PAIEMENT]]+Tableau330[[#This Row],[DATE ]]</f>
        <v>45818</v>
      </c>
      <c r="Z109" s="120"/>
    </row>
    <row r="110" spans="1:26">
      <c r="A110" s="83">
        <v>45818</v>
      </c>
      <c r="B110" s="83" t="str">
        <f>IF(ISBLANK(Tableau330[[#This Row],[DATE ]]),"",UPPER(PROPER(TEXT(Tableau330[[#This Row],[DATE ]],"mmmm yyyy"))))</f>
        <v>JUIN 2025</v>
      </c>
      <c r="C110" s="83" t="s">
        <v>824</v>
      </c>
      <c r="D110" s="120" t="s">
        <v>868</v>
      </c>
      <c r="E110" s="82" t="s">
        <v>832</v>
      </c>
      <c r="F110" s="120" t="s">
        <v>833</v>
      </c>
      <c r="G110" s="82" t="s">
        <v>822</v>
      </c>
      <c r="H110" s="82" t="s">
        <v>869</v>
      </c>
      <c r="I110" s="82" t="s">
        <v>12</v>
      </c>
      <c r="J110" s="121">
        <v>1</v>
      </c>
      <c r="K110" s="121"/>
      <c r="L110" s="121"/>
      <c r="M110" s="122">
        <v>14406.78</v>
      </c>
      <c r="N110" s="122">
        <f>+IF(Tableau330[[#This Row],[CODE TVA]]="",0,ROUND(Tableau330[[#This Row],[MONTANT HT]]*0.18*Tableau330[[#This Row],[PRORATA D]],1))</f>
        <v>2593.1999999999998</v>
      </c>
      <c r="O110" s="122">
        <f>+IFERROR(Tableau330[[#This Row],[MONTANT HT]]+Tableau330[[#This Row],[TVA]],0)</f>
        <v>16999.98</v>
      </c>
      <c r="P110" s="122"/>
      <c r="Q110" s="122"/>
      <c r="R110" s="122">
        <f>+Tableau330[[#This Row],[MONTANT TTC]]+Tableau330[[#This Row],[TIMBRE ]]+Tableau330[[#This Row],[AUTRES TAXES]]</f>
        <v>16999.98</v>
      </c>
      <c r="S110" s="122">
        <v>17000</v>
      </c>
      <c r="T110" s="122">
        <f>+ROUND(Tableau330[[#This Row],[NET A PAYER]],0)-Tableau330[[#This Row],[MONTANT PAYE]]</f>
        <v>0</v>
      </c>
      <c r="U110" s="122"/>
      <c r="V110" s="123">
        <f>+Tableau330[[#This Row],[DELAI_PAIEMENT]]+Tableau330[[#This Row],[DATE ]]</f>
        <v>45818</v>
      </c>
      <c r="Z110" s="120"/>
    </row>
    <row r="111" spans="1:26">
      <c r="A111" s="83">
        <v>45821</v>
      </c>
      <c r="B111" s="83" t="str">
        <f>IF(ISBLANK(Tableau330[[#This Row],[DATE ]]),"",UPPER(PROPER(TEXT(Tableau330[[#This Row],[DATE ]],"mmmm yyyy"))))</f>
        <v>JUIN 2025</v>
      </c>
      <c r="C111" s="83" t="s">
        <v>870</v>
      </c>
      <c r="D111" s="120" t="s">
        <v>871</v>
      </c>
      <c r="E111" s="82" t="s">
        <v>872</v>
      </c>
      <c r="F111" s="120" t="s">
        <v>873</v>
      </c>
      <c r="H111" s="82" t="s">
        <v>874</v>
      </c>
      <c r="J111" s="121"/>
      <c r="K111" s="121"/>
      <c r="L111" s="121"/>
      <c r="M111" s="122">
        <v>300000</v>
      </c>
      <c r="N111" s="122">
        <f>+IF(Tableau330[[#This Row],[CODE TVA]]="",0,ROUND(Tableau330[[#This Row],[MONTANT HT]]*0.18*Tableau330[[#This Row],[PRORATA D]],1))</f>
        <v>0</v>
      </c>
      <c r="O111" s="122">
        <f>+IFERROR(Tableau330[[#This Row],[MONTANT HT]]+Tableau330[[#This Row],[TVA]],0)</f>
        <v>300000</v>
      </c>
      <c r="P111" s="122"/>
      <c r="Q111" s="122"/>
      <c r="R111" s="122">
        <f>+Tableau330[[#This Row],[MONTANT TTC]]+Tableau330[[#This Row],[TIMBRE ]]+Tableau330[[#This Row],[AUTRES TAXES]]</f>
        <v>300000</v>
      </c>
      <c r="S111" s="122">
        <v>300000</v>
      </c>
      <c r="T111" s="122">
        <f>+ROUND(Tableau330[[#This Row],[NET A PAYER]],0)-Tableau330[[#This Row],[MONTANT PAYE]]</f>
        <v>0</v>
      </c>
      <c r="U111" s="122"/>
      <c r="V111" s="123">
        <f>+Tableau330[[#This Row],[DELAI_PAIEMENT]]+Tableau330[[#This Row],[DATE ]]</f>
        <v>45821</v>
      </c>
      <c r="Z111" s="120"/>
    </row>
    <row r="112" spans="1:26">
      <c r="A112" s="83">
        <v>45824</v>
      </c>
      <c r="B112" s="83" t="str">
        <f>IF(ISBLANK(Tableau330[[#This Row],[DATE ]]),"",UPPER(PROPER(TEXT(Tableau330[[#This Row],[DATE ]],"mmmm yyyy"))))</f>
        <v>JUIN 2025</v>
      </c>
      <c r="C112" s="83" t="s">
        <v>824</v>
      </c>
      <c r="D112" s="120" t="s">
        <v>856</v>
      </c>
      <c r="E112" s="82" t="s">
        <v>857</v>
      </c>
      <c r="F112" s="120" t="s">
        <v>858</v>
      </c>
      <c r="G112" s="82" t="s">
        <v>822</v>
      </c>
      <c r="H112" s="82" t="s">
        <v>859</v>
      </c>
      <c r="I112" s="82" t="s">
        <v>12</v>
      </c>
      <c r="J112" s="121">
        <v>1</v>
      </c>
      <c r="K112" s="121"/>
      <c r="L112" s="121"/>
      <c r="M112" s="122">
        <v>1228814</v>
      </c>
      <c r="N112" s="122">
        <f>+IF(Tableau330[[#This Row],[CODE TVA]]="",0,ROUND(Tableau330[[#This Row],[MONTANT HT]]*0.18*Tableau330[[#This Row],[PRORATA D]],1))</f>
        <v>221186.5</v>
      </c>
      <c r="O112" s="122">
        <f>+IFERROR(Tableau330[[#This Row],[MONTANT HT]]+Tableau330[[#This Row],[TVA]],0)</f>
        <v>1450000.5</v>
      </c>
      <c r="P112" s="122"/>
      <c r="Q112" s="122"/>
      <c r="R112" s="122">
        <f>+Tableau330[[#This Row],[MONTANT TTC]]+Tableau330[[#This Row],[TIMBRE ]]+Tableau330[[#This Row],[AUTRES TAXES]]</f>
        <v>1450000.5</v>
      </c>
      <c r="S112" s="122">
        <v>1450000.52</v>
      </c>
      <c r="T112" s="122">
        <f>+ROUND(Tableau330[[#This Row],[NET A PAYER]],0)-Tableau330[[#This Row],[MONTANT PAYE]]</f>
        <v>0.47999999998137355</v>
      </c>
      <c r="U112" s="122"/>
      <c r="V112" s="123">
        <f>+Tableau330[[#This Row],[DELAI_PAIEMENT]]+Tableau330[[#This Row],[DATE ]]</f>
        <v>45824</v>
      </c>
      <c r="Z112" s="120"/>
    </row>
    <row r="113" spans="1:27">
      <c r="A113" s="83">
        <v>45825</v>
      </c>
      <c r="B113" s="83" t="str">
        <f>IF(ISBLANK(Tableau330[[#This Row],[DATE ]]),"",UPPER(PROPER(TEXT(Tableau330[[#This Row],[DATE ]],"mmmm yyyy"))))</f>
        <v>JUIN 2025</v>
      </c>
      <c r="C113" s="83" t="s">
        <v>824</v>
      </c>
      <c r="D113" s="120" t="s">
        <v>825</v>
      </c>
      <c r="E113" s="82" t="s">
        <v>826</v>
      </c>
      <c r="F113" s="120" t="s">
        <v>827</v>
      </c>
      <c r="G113" s="82" t="s">
        <v>828</v>
      </c>
      <c r="H113" s="82" t="s">
        <v>829</v>
      </c>
      <c r="I113" s="82" t="s">
        <v>12</v>
      </c>
      <c r="J113" s="121">
        <v>1</v>
      </c>
      <c r="K113" s="121"/>
      <c r="L113" s="121"/>
      <c r="M113" s="122">
        <v>8475</v>
      </c>
      <c r="N113" s="122">
        <f>+IF(Tableau330[[#This Row],[CODE TVA]]="",0,ROUND(Tableau330[[#This Row],[MONTANT HT]]*0.18*Tableau330[[#This Row],[PRORATA D]],1))</f>
        <v>1525.5</v>
      </c>
      <c r="O113" s="122">
        <f>+IFERROR(Tableau330[[#This Row],[MONTANT HT]]+Tableau330[[#This Row],[TVA]],0)</f>
        <v>10000.5</v>
      </c>
      <c r="P113" s="122"/>
      <c r="Q113" s="122"/>
      <c r="R113" s="122">
        <f>+Tableau330[[#This Row],[MONTANT TTC]]+Tableau330[[#This Row],[TIMBRE ]]+Tableau330[[#This Row],[AUTRES TAXES]]</f>
        <v>10000.5</v>
      </c>
      <c r="S113" s="122">
        <v>10001</v>
      </c>
      <c r="T113" s="122">
        <f>+ROUND(Tableau330[[#This Row],[NET A PAYER]],0)-Tableau330[[#This Row],[MONTANT PAYE]]</f>
        <v>0</v>
      </c>
      <c r="U113" s="122"/>
      <c r="V113" s="123">
        <f>+Tableau330[[#This Row],[DELAI_PAIEMENT]]+Tableau330[[#This Row],[DATE ]]</f>
        <v>45825</v>
      </c>
      <c r="W113" s="82" t="s">
        <v>830</v>
      </c>
      <c r="Z113" s="120"/>
    </row>
    <row r="114" spans="1:27">
      <c r="A114" s="83">
        <v>45825</v>
      </c>
      <c r="B114" s="83" t="str">
        <f>IF(ISBLANK(Tableau330[[#This Row],[DATE ]]),"",UPPER(PROPER(TEXT(Tableau330[[#This Row],[DATE ]],"mmmm yyyy"))))</f>
        <v>JUIN 2025</v>
      </c>
      <c r="C114" s="83" t="s">
        <v>824</v>
      </c>
      <c r="D114" s="120" t="s">
        <v>831</v>
      </c>
      <c r="E114" s="82" t="s">
        <v>832</v>
      </c>
      <c r="F114" s="120" t="s">
        <v>833</v>
      </c>
      <c r="H114" s="82" t="s">
        <v>834</v>
      </c>
      <c r="I114" s="82" t="s">
        <v>12</v>
      </c>
      <c r="J114" s="121">
        <v>1</v>
      </c>
      <c r="K114" s="121"/>
      <c r="L114" s="121"/>
      <c r="M114" s="122">
        <v>11504.66</v>
      </c>
      <c r="N114" s="122">
        <f>+IF(Tableau330[[#This Row],[CODE TVA]]="",0,ROUND(Tableau330[[#This Row],[MONTANT HT]]*0.18*Tableau330[[#This Row],[PRORATA D]],1))</f>
        <v>2070.8000000000002</v>
      </c>
      <c r="O114" s="122">
        <f>+IFERROR(Tableau330[[#This Row],[MONTANT HT]]+Tableau330[[#This Row],[TVA]],0)</f>
        <v>13575.46</v>
      </c>
      <c r="P114" s="122"/>
      <c r="Q114" s="122"/>
      <c r="R114" s="122">
        <f>+Tableau330[[#This Row],[MONTANT TTC]]+Tableau330[[#This Row],[TIMBRE ]]+Tableau330[[#This Row],[AUTRES TAXES]]</f>
        <v>13575.46</v>
      </c>
      <c r="S114" s="122">
        <v>13575</v>
      </c>
      <c r="T114" s="122">
        <f>+ROUND(Tableau330[[#This Row],[NET A PAYER]],0)-Tableau330[[#This Row],[MONTANT PAYE]]</f>
        <v>0</v>
      </c>
      <c r="U114" s="122"/>
      <c r="V114" s="123">
        <f>+Tableau330[[#This Row],[DELAI_PAIEMENT]]+Tableau330[[#This Row],[DATE ]]</f>
        <v>45825</v>
      </c>
      <c r="W114" s="82" t="s">
        <v>835</v>
      </c>
      <c r="Z114" s="120"/>
    </row>
    <row r="115" spans="1:27">
      <c r="A115" s="83">
        <v>45826</v>
      </c>
      <c r="B115" s="83" t="str">
        <f>IF(ISBLANK(Tableau330[[#This Row],[DATE ]]),"",UPPER(PROPER(TEXT(Tableau330[[#This Row],[DATE ]],"mmmm yyyy"))))</f>
        <v>JUIN 2025</v>
      </c>
      <c r="C115" s="83" t="s">
        <v>824</v>
      </c>
      <c r="D115" s="120" t="s">
        <v>860</v>
      </c>
      <c r="E115" s="82" t="s">
        <v>857</v>
      </c>
      <c r="F115" s="120" t="s">
        <v>858</v>
      </c>
      <c r="G115" s="82" t="s">
        <v>822</v>
      </c>
      <c r="H115" s="82" t="s">
        <v>861</v>
      </c>
      <c r="I115" s="82" t="s">
        <v>12</v>
      </c>
      <c r="J115" s="121">
        <v>1</v>
      </c>
      <c r="K115" s="121"/>
      <c r="L115" s="121"/>
      <c r="M115" s="122">
        <v>65254</v>
      </c>
      <c r="N115" s="122">
        <f>+IF(Tableau330[[#This Row],[CODE TVA]]="",0,ROUND(Tableau330[[#This Row],[MONTANT HT]]*0.18*Tableau330[[#This Row],[PRORATA D]],1))</f>
        <v>11745.7</v>
      </c>
      <c r="O115" s="122">
        <f>+IFERROR(Tableau330[[#This Row],[MONTANT HT]]+Tableau330[[#This Row],[TVA]],0)</f>
        <v>76999.7</v>
      </c>
      <c r="P115" s="122"/>
      <c r="Q115" s="122"/>
      <c r="R115" s="122">
        <f>+Tableau330[[#This Row],[MONTANT TTC]]+Tableau330[[#This Row],[TIMBRE ]]+Tableau330[[#This Row],[AUTRES TAXES]]</f>
        <v>76999.7</v>
      </c>
      <c r="S115" s="122">
        <v>76999.72</v>
      </c>
      <c r="T115" s="122">
        <f>+ROUND(Tableau330[[#This Row],[NET A PAYER]],0)-Tableau330[[#This Row],[MONTANT PAYE]]</f>
        <v>0.27999999999883585</v>
      </c>
      <c r="U115" s="122"/>
      <c r="V115" s="123">
        <f>+Tableau330[[#This Row],[DELAI_PAIEMENT]]+Tableau330[[#This Row],[DATE ]]</f>
        <v>45826</v>
      </c>
      <c r="Z115" s="120"/>
    </row>
    <row r="116" spans="1:27">
      <c r="A116" s="83">
        <v>45833</v>
      </c>
      <c r="B116" s="83" t="str">
        <f>IF(ISBLANK(Tableau330[[#This Row],[DATE ]]),"",UPPER(PROPER(TEXT(Tableau330[[#This Row],[DATE ]],"mmmm yyyy"))))</f>
        <v>JUIN 2025</v>
      </c>
      <c r="C116" s="83" t="s">
        <v>836</v>
      </c>
      <c r="D116" s="120" t="s">
        <v>837</v>
      </c>
      <c r="E116" s="82" t="s">
        <v>1299</v>
      </c>
      <c r="F116" s="120" t="s">
        <v>838</v>
      </c>
      <c r="G116" s="82" t="s">
        <v>828</v>
      </c>
      <c r="H116" s="82" t="s">
        <v>839</v>
      </c>
      <c r="I116" s="82" t="s">
        <v>12</v>
      </c>
      <c r="J116" s="121">
        <v>1</v>
      </c>
      <c r="K116" s="121"/>
      <c r="L116" s="121"/>
      <c r="M116" s="122">
        <v>286000</v>
      </c>
      <c r="N116" s="122">
        <f>+IF(Tableau330[[#This Row],[CODE TVA]]="",0,ROUND(Tableau330[[#This Row],[MONTANT HT]]*0.18*Tableau330[[#This Row],[PRORATA D]],1))</f>
        <v>51480</v>
      </c>
      <c r="O116" s="122">
        <f>+IFERROR(Tableau330[[#This Row],[MONTANT HT]]+Tableau330[[#This Row],[TVA]],0)</f>
        <v>337480</v>
      </c>
      <c r="P116" s="122"/>
      <c r="Q116" s="122"/>
      <c r="R116" s="122">
        <f>+Tableau330[[#This Row],[MONTANT TTC]]+Tableau330[[#This Row],[TIMBRE ]]+Tableau330[[#This Row],[AUTRES TAXES]]</f>
        <v>337480</v>
      </c>
      <c r="S116" s="122">
        <v>286000</v>
      </c>
      <c r="T116" s="122">
        <f>+ROUND(Tableau330[[#This Row],[NET A PAYER]],0)-Tableau330[[#This Row],[MONTANT PAYE]]</f>
        <v>51480</v>
      </c>
      <c r="U116" s="122"/>
      <c r="V116" s="123">
        <f>+Tableau330[[#This Row],[DELAI_PAIEMENT]]+Tableau330[[#This Row],[DATE ]]</f>
        <v>45833</v>
      </c>
      <c r="Z116" s="120"/>
      <c r="AA116" s="82" t="s">
        <v>840</v>
      </c>
    </row>
    <row r="117" spans="1:27">
      <c r="A117" s="83">
        <v>45833</v>
      </c>
      <c r="B117" s="83" t="str">
        <f>IF(ISBLANK(Tableau330[[#This Row],[DATE ]]),"",UPPER(PROPER(TEXT(Tableau330[[#This Row],[DATE ]],"mmmm yyyy"))))</f>
        <v>JUIN 2025</v>
      </c>
      <c r="C117" s="83" t="s">
        <v>824</v>
      </c>
      <c r="D117" s="120" t="s">
        <v>841</v>
      </c>
      <c r="E117" s="82" t="s">
        <v>832</v>
      </c>
      <c r="F117" s="120" t="s">
        <v>833</v>
      </c>
      <c r="H117" s="82" t="s">
        <v>842</v>
      </c>
      <c r="I117" s="82" t="s">
        <v>12</v>
      </c>
      <c r="J117" s="121">
        <v>1</v>
      </c>
      <c r="K117" s="121"/>
      <c r="L117" s="121"/>
      <c r="M117" s="122">
        <v>3283.9</v>
      </c>
      <c r="N117" s="122">
        <f>+IF(Tableau330[[#This Row],[CODE TVA]]="",0,ROUND(Tableau330[[#This Row],[MONTANT HT]]*0.18*Tableau330[[#This Row],[PRORATA D]],1))</f>
        <v>591.1</v>
      </c>
      <c r="O117" s="122">
        <f>+IFERROR(Tableau330[[#This Row],[MONTANT HT]]+Tableau330[[#This Row],[TVA]],0)</f>
        <v>3875</v>
      </c>
      <c r="P117" s="122"/>
      <c r="Q117" s="122"/>
      <c r="R117" s="122">
        <f>+Tableau330[[#This Row],[MONTANT TTC]]+Tableau330[[#This Row],[TIMBRE ]]+Tableau330[[#This Row],[AUTRES TAXES]]</f>
        <v>3875</v>
      </c>
      <c r="S117" s="122">
        <v>3875</v>
      </c>
      <c r="T117" s="122">
        <f>+ROUND(Tableau330[[#This Row],[NET A PAYER]],0)-Tableau330[[#This Row],[MONTANT PAYE]]</f>
        <v>0</v>
      </c>
      <c r="U117" s="122"/>
      <c r="V117" s="123">
        <f>+Tableau330[[#This Row],[DELAI_PAIEMENT]]+Tableau330[[#This Row],[DATE ]]</f>
        <v>45833</v>
      </c>
      <c r="Z117" s="120"/>
    </row>
    <row r="118" spans="1:27">
      <c r="A118" s="83">
        <v>45833</v>
      </c>
      <c r="B118" s="83" t="str">
        <f>IF(ISBLANK(Tableau330[[#This Row],[DATE ]]),"",UPPER(PROPER(TEXT(Tableau330[[#This Row],[DATE ]],"mmmm yyyy"))))</f>
        <v>JUIN 2025</v>
      </c>
      <c r="C118" s="83" t="s">
        <v>824</v>
      </c>
      <c r="D118" s="120" t="s">
        <v>847</v>
      </c>
      <c r="E118" s="82" t="s">
        <v>848</v>
      </c>
      <c r="F118" s="120" t="s">
        <v>849</v>
      </c>
      <c r="H118" s="82" t="s">
        <v>850</v>
      </c>
      <c r="J118" s="121"/>
      <c r="K118" s="121"/>
      <c r="L118" s="121"/>
      <c r="M118" s="122">
        <v>60000</v>
      </c>
      <c r="N118" s="122">
        <f>+IF(Tableau330[[#This Row],[CODE TVA]]="",0,ROUND(Tableau330[[#This Row],[MONTANT HT]]*0.18*Tableau330[[#This Row],[PRORATA D]],1))</f>
        <v>0</v>
      </c>
      <c r="O118" s="122">
        <f>+IFERROR(Tableau330[[#This Row],[MONTANT HT]]+Tableau330[[#This Row],[TVA]],0)</f>
        <v>60000</v>
      </c>
      <c r="P118" s="122"/>
      <c r="Q118" s="122"/>
      <c r="R118" s="122">
        <f>+Tableau330[[#This Row],[MONTANT TTC]]+Tableau330[[#This Row],[TIMBRE ]]+Tableau330[[#This Row],[AUTRES TAXES]]</f>
        <v>60000</v>
      </c>
      <c r="S118" s="122">
        <v>60000</v>
      </c>
      <c r="T118" s="122">
        <f>+ROUND(Tableau330[[#This Row],[NET A PAYER]],0)-Tableau330[[#This Row],[MONTANT PAYE]]</f>
        <v>0</v>
      </c>
      <c r="U118" s="122"/>
      <c r="V118" s="123">
        <f>+Tableau330[[#This Row],[DELAI_PAIEMENT]]+Tableau330[[#This Row],[DATE ]]</f>
        <v>45833</v>
      </c>
      <c r="Z118" s="120"/>
    </row>
    <row r="119" spans="1:27">
      <c r="A119" s="83">
        <v>45836</v>
      </c>
      <c r="B119" s="83" t="str">
        <f>IF(ISBLANK(Tableau330[[#This Row],[DATE ]]),"",UPPER(PROPER(TEXT(Tableau330[[#This Row],[DATE ]],"mmmm yyyy"))))</f>
        <v>JUIN 2025</v>
      </c>
      <c r="C119" s="83" t="s">
        <v>1187</v>
      </c>
      <c r="D119" s="120" t="s">
        <v>877</v>
      </c>
      <c r="E119" s="82" t="s">
        <v>878</v>
      </c>
      <c r="F119" s="120"/>
      <c r="H119" s="82" t="s">
        <v>1439</v>
      </c>
      <c r="J119" s="121"/>
      <c r="K119" s="121"/>
      <c r="L119" s="121"/>
      <c r="M119" s="122">
        <v>100000</v>
      </c>
      <c r="N119" s="122">
        <f>+IF(Tableau330[[#This Row],[CODE TVA]]="",0,ROUND(Tableau330[[#This Row],[MONTANT HT]]*0.18*Tableau330[[#This Row],[PRORATA D]],1))</f>
        <v>0</v>
      </c>
      <c r="O119" s="122">
        <f>+IFERROR(Tableau330[[#This Row],[MONTANT HT]]+Tableau330[[#This Row],[TVA]],0)</f>
        <v>100000</v>
      </c>
      <c r="P119" s="122"/>
      <c r="Q119" s="122"/>
      <c r="R119" s="122">
        <f>+Tableau330[[#This Row],[MONTANT TTC]]+Tableau330[[#This Row],[TIMBRE ]]+Tableau330[[#This Row],[AUTRES TAXES]]</f>
        <v>100000</v>
      </c>
      <c r="S119" s="122">
        <v>100000</v>
      </c>
      <c r="T119" s="122">
        <f>+ROUND(Tableau330[[#This Row],[NET A PAYER]],0)-Tableau330[[#This Row],[MONTANT PAYE]]</f>
        <v>0</v>
      </c>
      <c r="U119" s="122"/>
      <c r="V119" s="123">
        <f>+Tableau330[[#This Row],[DELAI_PAIEMENT]]+Tableau330[[#This Row],[DATE ]]</f>
        <v>45836</v>
      </c>
      <c r="X119" s="82" t="s">
        <v>1337</v>
      </c>
      <c r="Y119" s="82" t="s">
        <v>623</v>
      </c>
      <c r="Z119" s="120"/>
    </row>
    <row r="120" spans="1:27">
      <c r="A120" s="83">
        <v>45837</v>
      </c>
      <c r="B120" s="83" t="str">
        <f>IF(ISBLANK(Tableau330[[#This Row],[DATE ]]),"",UPPER(PROPER(TEXT(Tableau330[[#This Row],[DATE ]],"mmmm yyyy"))))</f>
        <v>JUIN 2025</v>
      </c>
      <c r="C120" s="83" t="s">
        <v>819</v>
      </c>
      <c r="D120" s="120" t="s">
        <v>843</v>
      </c>
      <c r="E120" s="82" t="s">
        <v>844</v>
      </c>
      <c r="F120" s="120" t="s">
        <v>845</v>
      </c>
      <c r="H120" s="82" t="s">
        <v>846</v>
      </c>
      <c r="J120" s="121"/>
      <c r="K120" s="121"/>
      <c r="L120" s="121"/>
      <c r="M120" s="122">
        <v>3300000</v>
      </c>
      <c r="N120" s="122">
        <f>+IF(Tableau330[[#This Row],[CODE TVA]]="",0,ROUND(Tableau330[[#This Row],[MONTANT HT]]*0.18*Tableau330[[#This Row],[PRORATA D]],1))</f>
        <v>0</v>
      </c>
      <c r="O120" s="122">
        <f>+IFERROR(Tableau330[[#This Row],[MONTANT HT]]+Tableau330[[#This Row],[TVA]],0)</f>
        <v>3300000</v>
      </c>
      <c r="P120" s="122"/>
      <c r="Q120" s="122"/>
      <c r="R120" s="122">
        <f>+Tableau330[[#This Row],[MONTANT TTC]]+Tableau330[[#This Row],[TIMBRE ]]+Tableau330[[#This Row],[AUTRES TAXES]]</f>
        <v>3300000</v>
      </c>
      <c r="S120" s="122">
        <v>3300000</v>
      </c>
      <c r="T120" s="122">
        <f>+ROUND(Tableau330[[#This Row],[NET A PAYER]],0)-Tableau330[[#This Row],[MONTANT PAYE]]</f>
        <v>0</v>
      </c>
      <c r="U120" s="122"/>
      <c r="V120" s="123">
        <f>+Tableau330[[#This Row],[DELAI_PAIEMENT]]+Tableau330[[#This Row],[DATE ]]</f>
        <v>45837</v>
      </c>
      <c r="Z120" s="120"/>
      <c r="AA120" s="82" t="s">
        <v>840</v>
      </c>
    </row>
    <row r="121" spans="1:27">
      <c r="A121" s="83">
        <v>45839</v>
      </c>
      <c r="B121" s="83" t="str">
        <f>IF(ISBLANK(Tableau330[[#This Row],[DATE ]]),"",UPPER(PROPER(TEXT(Tableau330[[#This Row],[DATE ]],"mmmm yyyy"))))</f>
        <v>JUILLET 2025</v>
      </c>
      <c r="C121" s="83" t="s">
        <v>870</v>
      </c>
      <c r="D121" s="120" t="s">
        <v>875</v>
      </c>
      <c r="E121" s="82" t="s">
        <v>872</v>
      </c>
      <c r="F121" s="120" t="s">
        <v>873</v>
      </c>
      <c r="H121" s="82" t="s">
        <v>876</v>
      </c>
      <c r="J121" s="121"/>
      <c r="K121" s="121"/>
      <c r="L121" s="121"/>
      <c r="M121" s="122">
        <v>300000</v>
      </c>
      <c r="N121" s="122">
        <f>+IF(Tableau330[[#This Row],[CODE TVA]]="",0,ROUND(Tableau330[[#This Row],[MONTANT HT]]*0.18*Tableau330[[#This Row],[PRORATA D]],1))</f>
        <v>0</v>
      </c>
      <c r="O121" s="122">
        <f>+IFERROR(Tableau330[[#This Row],[MONTANT HT]]+Tableau330[[#This Row],[TVA]],0)</f>
        <v>300000</v>
      </c>
      <c r="P121" s="122"/>
      <c r="Q121" s="122"/>
      <c r="R121" s="122">
        <f>+Tableau330[[#This Row],[MONTANT TTC]]+Tableau330[[#This Row],[TIMBRE ]]+Tableau330[[#This Row],[AUTRES TAXES]]</f>
        <v>300000</v>
      </c>
      <c r="S121" s="122">
        <v>300000</v>
      </c>
      <c r="T121" s="122">
        <f>+ROUND(Tableau330[[#This Row],[NET A PAYER]],0)-Tableau330[[#This Row],[MONTANT PAYE]]</f>
        <v>0</v>
      </c>
      <c r="U121" s="122"/>
      <c r="V121" s="123">
        <f>+Tableau330[[#This Row],[DELAI_PAIEMENT]]+Tableau330[[#This Row],[DATE ]]</f>
        <v>45839</v>
      </c>
      <c r="X121" s="82" t="s">
        <v>1337</v>
      </c>
      <c r="Y121" s="82" t="s">
        <v>623</v>
      </c>
      <c r="Z121" s="120"/>
    </row>
    <row r="122" spans="1:27">
      <c r="A122" s="83">
        <v>45839</v>
      </c>
      <c r="B122" s="83" t="str">
        <f>IF(ISBLANK(Tableau330[[#This Row],[DATE ]]),"",UPPER(PROPER(TEXT(Tableau330[[#This Row],[DATE ]],"mmmm yyyy"))))</f>
        <v>JUILLET 2025</v>
      </c>
      <c r="C122" s="83" t="s">
        <v>824</v>
      </c>
      <c r="D122" s="120" t="s">
        <v>1438</v>
      </c>
      <c r="E122" s="82" t="s">
        <v>832</v>
      </c>
      <c r="F122" s="120" t="s">
        <v>1435</v>
      </c>
      <c r="G122" s="82" t="s">
        <v>822</v>
      </c>
      <c r="H122" s="82" t="s">
        <v>855</v>
      </c>
      <c r="I122" s="82" t="s">
        <v>12</v>
      </c>
      <c r="J122" s="121">
        <v>1</v>
      </c>
      <c r="K122" s="121"/>
      <c r="L122" s="121"/>
      <c r="M122" s="122">
        <v>3559</v>
      </c>
      <c r="N122" s="122">
        <f>+IF(Tableau330[[#This Row],[CODE TVA]]="",0,ROUND(Tableau330[[#This Row],[MONTANT HT]]*0.18*Tableau330[[#This Row],[PRORATA D]],1))</f>
        <v>640.6</v>
      </c>
      <c r="O122" s="122">
        <f>+IFERROR(Tableau330[[#This Row],[MONTANT HT]]+Tableau330[[#This Row],[TVA]],0)</f>
        <v>4199.6000000000004</v>
      </c>
      <c r="P122" s="122"/>
      <c r="Q122" s="122"/>
      <c r="R122" s="122">
        <f>+Tableau330[[#This Row],[MONTANT TTC]]+Tableau330[[#This Row],[TIMBRE ]]+Tableau330[[#This Row],[AUTRES TAXES]]</f>
        <v>4199.6000000000004</v>
      </c>
      <c r="S122" s="122">
        <v>4200</v>
      </c>
      <c r="T122" s="122">
        <f>+ROUND(Tableau330[[#This Row],[NET A PAYER]],0)-Tableau330[[#This Row],[MONTANT PAYE]]</f>
        <v>0</v>
      </c>
      <c r="U122" s="122"/>
      <c r="V122" s="123">
        <f>+Tableau330[[#This Row],[DELAI_PAIEMENT]]+Tableau330[[#This Row],[DATE ]]</f>
        <v>45839</v>
      </c>
      <c r="X122" s="82" t="s">
        <v>1337</v>
      </c>
      <c r="Y122" s="82" t="s">
        <v>623</v>
      </c>
      <c r="Z122" s="120"/>
    </row>
    <row r="123" spans="1:27">
      <c r="A123" s="83">
        <v>45842</v>
      </c>
      <c r="B123" s="83" t="str">
        <f>IF(ISBLANK(Tableau330[[#This Row],[DATE ]]),"",UPPER(PROPER(TEXT(Tableau330[[#This Row],[DATE ]],"mmmm yyyy"))))</f>
        <v>JUILLET 2025</v>
      </c>
      <c r="C123" s="83" t="s">
        <v>870</v>
      </c>
      <c r="D123" s="120" t="s">
        <v>1419</v>
      </c>
      <c r="E123" s="82" t="s">
        <v>872</v>
      </c>
      <c r="F123" s="120" t="s">
        <v>873</v>
      </c>
      <c r="H123" s="82" t="s">
        <v>1420</v>
      </c>
      <c r="J123" s="121"/>
      <c r="K123" s="121"/>
      <c r="L123" s="121"/>
      <c r="M123" s="122">
        <v>300000</v>
      </c>
      <c r="N123" s="122">
        <f>+IF(Tableau330[[#This Row],[CODE TVA]]="",0,ROUND(Tableau330[[#This Row],[MONTANT HT]]*0.18*Tableau330[[#This Row],[PRORATA D]],1))</f>
        <v>0</v>
      </c>
      <c r="O123" s="122">
        <f>+IFERROR(Tableau330[[#This Row],[MONTANT HT]]+Tableau330[[#This Row],[TVA]],0)</f>
        <v>300000</v>
      </c>
      <c r="P123" s="122"/>
      <c r="Q123" s="122"/>
      <c r="R123" s="122">
        <f>+Tableau330[[#This Row],[MONTANT TTC]]+Tableau330[[#This Row],[TIMBRE ]]+Tableau330[[#This Row],[AUTRES TAXES]]</f>
        <v>300000</v>
      </c>
      <c r="S123" s="122">
        <v>300000</v>
      </c>
      <c r="T123" s="122">
        <f>+ROUND(Tableau330[[#This Row],[NET A PAYER]],0)-Tableau330[[#This Row],[MONTANT PAYE]]</f>
        <v>0</v>
      </c>
      <c r="U123" s="122"/>
      <c r="V123" s="123">
        <f>+Tableau330[[#This Row],[DELAI_PAIEMENT]]+Tableau330[[#This Row],[DATE ]]</f>
        <v>45842</v>
      </c>
      <c r="X123" s="82" t="s">
        <v>1337</v>
      </c>
      <c r="Y123" s="82" t="s">
        <v>617</v>
      </c>
      <c r="Z123" s="120" t="s">
        <v>1421</v>
      </c>
    </row>
    <row r="124" spans="1:27">
      <c r="A124" s="83">
        <v>45843</v>
      </c>
      <c r="B124" s="83" t="str">
        <f>IF(ISBLANK(Tableau330[[#This Row],[DATE ]]),"",UPPER(PROPER(TEXT(Tableau330[[#This Row],[DATE ]],"mmmm yyyy"))))</f>
        <v>JUILLET 2025</v>
      </c>
      <c r="C124" s="83" t="s">
        <v>824</v>
      </c>
      <c r="D124" s="120" t="s">
        <v>1434</v>
      </c>
      <c r="E124" s="82" t="s">
        <v>832</v>
      </c>
      <c r="F124" s="120" t="s">
        <v>1435</v>
      </c>
      <c r="G124" s="82" t="s">
        <v>822</v>
      </c>
      <c r="H124" s="82" t="s">
        <v>855</v>
      </c>
      <c r="J124" s="121"/>
      <c r="K124" s="121"/>
      <c r="L124" s="121"/>
      <c r="M124" s="122">
        <v>2300</v>
      </c>
      <c r="N124" s="122">
        <f>+IF(Tableau330[[#This Row],[CODE TVA]]="",0,ROUND(Tableau330[[#This Row],[MONTANT HT]]*0.18*Tableau330[[#This Row],[PRORATA D]],1))</f>
        <v>0</v>
      </c>
      <c r="O124" s="122">
        <f>+IFERROR(Tableau330[[#This Row],[MONTANT HT]]+Tableau330[[#This Row],[TVA]],0)</f>
        <v>2300</v>
      </c>
      <c r="P124" s="122"/>
      <c r="Q124" s="122"/>
      <c r="R124" s="122">
        <f>+Tableau330[[#This Row],[MONTANT TTC]]+Tableau330[[#This Row],[TIMBRE ]]+Tableau330[[#This Row],[AUTRES TAXES]]</f>
        <v>2300</v>
      </c>
      <c r="S124" s="122">
        <v>2300</v>
      </c>
      <c r="T124" s="122">
        <f>+ROUND(Tableau330[[#This Row],[NET A PAYER]],0)-Tableau330[[#This Row],[MONTANT PAYE]]</f>
        <v>0</v>
      </c>
      <c r="U124" s="122"/>
      <c r="V124" s="123">
        <f>+Tableau330[[#This Row],[DELAI_PAIEMENT]]+Tableau330[[#This Row],[DATE ]]</f>
        <v>45843</v>
      </c>
      <c r="X124" s="82" t="s">
        <v>1337</v>
      </c>
      <c r="Y124" s="82" t="s">
        <v>623</v>
      </c>
      <c r="Z124" s="120"/>
    </row>
    <row r="125" spans="1:27">
      <c r="A125" s="83">
        <v>45845</v>
      </c>
      <c r="B125" s="83" t="str">
        <f>IF(ISBLANK(Tableau330[[#This Row],[DATE ]]),"",UPPER(PROPER(TEXT(Tableau330[[#This Row],[DATE ]],"mmmm yyyy"))))</f>
        <v>JUILLET 2025</v>
      </c>
      <c r="C125" s="83" t="s">
        <v>824</v>
      </c>
      <c r="D125" s="120" t="s">
        <v>1395</v>
      </c>
      <c r="E125" s="82" t="s">
        <v>857</v>
      </c>
      <c r="F125" s="120" t="s">
        <v>858</v>
      </c>
      <c r="G125" s="82" t="s">
        <v>822</v>
      </c>
      <c r="H125" s="82" t="s">
        <v>1396</v>
      </c>
      <c r="I125" s="82" t="s">
        <v>12</v>
      </c>
      <c r="J125" s="121">
        <v>1</v>
      </c>
      <c r="K125" s="121"/>
      <c r="L125" s="121"/>
      <c r="M125" s="122">
        <v>86864</v>
      </c>
      <c r="N125" s="122">
        <f>+IF(Tableau330[[#This Row],[CODE TVA]]="",0,ROUND(Tableau330[[#This Row],[MONTANT HT]]*0.18*Tableau330[[#This Row],[PRORATA D]],1))</f>
        <v>15635.5</v>
      </c>
      <c r="O125" s="122">
        <f>+IFERROR(Tableau330[[#This Row],[MONTANT HT]]+Tableau330[[#This Row],[TVA]],0)</f>
        <v>102499.5</v>
      </c>
      <c r="P125" s="122"/>
      <c r="Q125" s="122"/>
      <c r="R125" s="122">
        <f>+Tableau330[[#This Row],[MONTANT TTC]]+Tableau330[[#This Row],[TIMBRE ]]+Tableau330[[#This Row],[AUTRES TAXES]]</f>
        <v>102499.5</v>
      </c>
      <c r="S125" s="122">
        <v>102500</v>
      </c>
      <c r="T125" s="122">
        <f>+ROUND(Tableau330[[#This Row],[NET A PAYER]],0)-Tableau330[[#This Row],[MONTANT PAYE]]</f>
        <v>0</v>
      </c>
      <c r="U125" s="122"/>
      <c r="V125" s="123">
        <f>+Tableau330[[#This Row],[DELAI_PAIEMENT]]+Tableau330[[#This Row],[DATE ]]</f>
        <v>45845</v>
      </c>
      <c r="X125" s="82" t="s">
        <v>1337</v>
      </c>
      <c r="Y125" s="82" t="s">
        <v>623</v>
      </c>
      <c r="Z125" s="120"/>
    </row>
    <row r="126" spans="1:27">
      <c r="A126" s="83">
        <v>45845</v>
      </c>
      <c r="B126" s="83" t="str">
        <f>IF(ISBLANK(Tableau330[[#This Row],[DATE ]]),"",UPPER(PROPER(TEXT(Tableau330[[#This Row],[DATE ]],"mmmm yyyy"))))</f>
        <v>JUILLET 2025</v>
      </c>
      <c r="C126" s="83" t="s">
        <v>824</v>
      </c>
      <c r="D126" s="120" t="s">
        <v>1417</v>
      </c>
      <c r="E126" s="82" t="s">
        <v>1005</v>
      </c>
      <c r="F126" s="120" t="s">
        <v>1006</v>
      </c>
      <c r="G126" s="82" t="s">
        <v>828</v>
      </c>
      <c r="H126" s="82" t="s">
        <v>1418</v>
      </c>
      <c r="I126" s="82" t="s">
        <v>12</v>
      </c>
      <c r="J126" s="121">
        <v>1</v>
      </c>
      <c r="K126" s="121"/>
      <c r="L126" s="121"/>
      <c r="M126" s="122">
        <v>84750</v>
      </c>
      <c r="N126" s="122">
        <f>+IF(Tableau330[[#This Row],[CODE TVA]]="",0,ROUND(Tableau330[[#This Row],[MONTANT HT]]*0.18*Tableau330[[#This Row],[PRORATA D]],1))</f>
        <v>15255</v>
      </c>
      <c r="O126" s="122">
        <f>+IFERROR(Tableau330[[#This Row],[MONTANT HT]]+Tableau330[[#This Row],[TVA]],0)</f>
        <v>100005</v>
      </c>
      <c r="P126" s="122"/>
      <c r="Q126" s="122"/>
      <c r="R126" s="122">
        <f>+Tableau330[[#This Row],[MONTANT TTC]]+Tableau330[[#This Row],[TIMBRE ]]+Tableau330[[#This Row],[AUTRES TAXES]]</f>
        <v>100005</v>
      </c>
      <c r="S126" s="122">
        <v>100005</v>
      </c>
      <c r="T126" s="122">
        <f>+ROUND(Tableau330[[#This Row],[NET A PAYER]],0)-Tableau330[[#This Row],[MONTANT PAYE]]</f>
        <v>0</v>
      </c>
      <c r="U126" s="122"/>
      <c r="V126" s="123">
        <f>+Tableau330[[#This Row],[DELAI_PAIEMENT]]+Tableau330[[#This Row],[DATE ]]</f>
        <v>45845</v>
      </c>
      <c r="X126" s="82" t="s">
        <v>1337</v>
      </c>
      <c r="Y126" s="82" t="s">
        <v>623</v>
      </c>
      <c r="Z126" s="120"/>
    </row>
    <row r="127" spans="1:27">
      <c r="A127" s="83">
        <v>45846</v>
      </c>
      <c r="B127" s="83" t="str">
        <f>IF(ISBLANK(Tableau330[[#This Row],[DATE ]]),"",UPPER(PROPER(TEXT(Tableau330[[#This Row],[DATE ]],"mmmm yyyy"))))</f>
        <v>JUILLET 2025</v>
      </c>
      <c r="C127" s="83" t="s">
        <v>824</v>
      </c>
      <c r="D127" s="120" t="s">
        <v>1415</v>
      </c>
      <c r="E127" s="82" t="s">
        <v>863</v>
      </c>
      <c r="F127" s="120" t="s">
        <v>864</v>
      </c>
      <c r="G127" s="82" t="s">
        <v>822</v>
      </c>
      <c r="H127" s="82" t="s">
        <v>1416</v>
      </c>
      <c r="J127" s="121"/>
      <c r="K127" s="121"/>
      <c r="L127" s="121"/>
      <c r="M127" s="122">
        <v>39000</v>
      </c>
      <c r="N127" s="122">
        <f>+IF(Tableau330[[#This Row],[CODE TVA]]="",0,ROUND(Tableau330[[#This Row],[MONTANT HT]]*0.18*Tableau330[[#This Row],[PRORATA D]],1))</f>
        <v>0</v>
      </c>
      <c r="O127" s="122">
        <f>+IFERROR(Tableau330[[#This Row],[MONTANT HT]]+Tableau330[[#This Row],[TVA]],0)</f>
        <v>39000</v>
      </c>
      <c r="P127" s="122"/>
      <c r="Q127" s="122"/>
      <c r="R127" s="122">
        <f>+Tableau330[[#This Row],[MONTANT TTC]]+Tableau330[[#This Row],[TIMBRE ]]+Tableau330[[#This Row],[AUTRES TAXES]]</f>
        <v>39000</v>
      </c>
      <c r="S127" s="122">
        <v>39000</v>
      </c>
      <c r="T127" s="122">
        <f>+ROUND(Tableau330[[#This Row],[NET A PAYER]],0)-Tableau330[[#This Row],[MONTANT PAYE]]</f>
        <v>0</v>
      </c>
      <c r="U127" s="122"/>
      <c r="V127" s="123">
        <f>+Tableau330[[#This Row],[DELAI_PAIEMENT]]+Tableau330[[#This Row],[DATE ]]</f>
        <v>45846</v>
      </c>
      <c r="X127" s="82" t="s">
        <v>1337</v>
      </c>
      <c r="Y127" s="82" t="s">
        <v>623</v>
      </c>
      <c r="Z127" s="120"/>
    </row>
    <row r="128" spans="1:27">
      <c r="A128" s="83">
        <v>45846</v>
      </c>
      <c r="B128" s="83" t="str">
        <f>IF(ISBLANK(Tableau330[[#This Row],[DATE ]]),"",UPPER(PROPER(TEXT(Tableau330[[#This Row],[DATE ]],"mmmm yyyy"))))</f>
        <v>JUILLET 2025</v>
      </c>
      <c r="C128" s="83" t="s">
        <v>824</v>
      </c>
      <c r="D128" s="120" t="s">
        <v>1423</v>
      </c>
      <c r="E128" s="82" t="s">
        <v>832</v>
      </c>
      <c r="F128" s="120" t="s">
        <v>833</v>
      </c>
      <c r="G128" s="82" t="s">
        <v>828</v>
      </c>
      <c r="H128" s="82" t="s">
        <v>1424</v>
      </c>
      <c r="I128" s="82" t="s">
        <v>12</v>
      </c>
      <c r="J128" s="121"/>
      <c r="K128" s="121"/>
      <c r="L128" s="121"/>
      <c r="M128" s="122">
        <v>105199</v>
      </c>
      <c r="N128" s="122">
        <f>+IF(Tableau330[[#This Row],[CODE TVA]]="",0,ROUND(Tableau330[[#This Row],[MONTANT HT]]*0.18*Tableau330[[#This Row],[PRORATA D]],1))</f>
        <v>0</v>
      </c>
      <c r="O128" s="122">
        <f>+IFERROR(Tableau330[[#This Row],[MONTANT HT]]+Tableau330[[#This Row],[TVA]],0)</f>
        <v>105199</v>
      </c>
      <c r="P128" s="122"/>
      <c r="Q128" s="122"/>
      <c r="R128" s="122">
        <f>+Tableau330[[#This Row],[MONTANT TTC]]+Tableau330[[#This Row],[TIMBRE ]]+Tableau330[[#This Row],[AUTRES TAXES]]</f>
        <v>105199</v>
      </c>
      <c r="S128" s="122">
        <v>105199</v>
      </c>
      <c r="T128" s="122">
        <f>+ROUND(Tableau330[[#This Row],[NET A PAYER]],0)-Tableau330[[#This Row],[MONTANT PAYE]]</f>
        <v>0</v>
      </c>
      <c r="U128" s="122"/>
      <c r="V128" s="123">
        <f>+Tableau330[[#This Row],[DELAI_PAIEMENT]]+Tableau330[[#This Row],[DATE ]]</f>
        <v>45846</v>
      </c>
      <c r="X128" s="82" t="s">
        <v>1337</v>
      </c>
      <c r="Y128" s="82" t="s">
        <v>623</v>
      </c>
      <c r="Z128" s="120"/>
    </row>
    <row r="129" spans="1:27">
      <c r="A129" s="83">
        <v>45848</v>
      </c>
      <c r="B129" s="83" t="str">
        <f>IF(ISBLANK(Tableau330[[#This Row],[DATE ]]),"",UPPER(PROPER(TEXT(Tableau330[[#This Row],[DATE ]],"mmmm yyyy"))))</f>
        <v>JUILLET 2025</v>
      </c>
      <c r="C129" s="83" t="s">
        <v>824</v>
      </c>
      <c r="D129" s="120" t="s">
        <v>1409</v>
      </c>
      <c r="E129" s="82" t="s">
        <v>1056</v>
      </c>
      <c r="F129" s="120" t="s">
        <v>1057</v>
      </c>
      <c r="G129" s="82" t="s">
        <v>822</v>
      </c>
      <c r="H129" s="82" t="s">
        <v>1410</v>
      </c>
      <c r="I129" s="82" t="s">
        <v>12</v>
      </c>
      <c r="J129" s="121">
        <v>1</v>
      </c>
      <c r="K129" s="121"/>
      <c r="L129" s="121"/>
      <c r="M129" s="122">
        <v>116950</v>
      </c>
      <c r="N129" s="122">
        <f>+IF(Tableau330[[#This Row],[CODE TVA]]="",0,ROUND(Tableau330[[#This Row],[MONTANT HT]]*0.18*Tableau330[[#This Row],[PRORATA D]],1))</f>
        <v>21051</v>
      </c>
      <c r="O129" s="122">
        <f>+IFERROR(Tableau330[[#This Row],[MONTANT HT]]+Tableau330[[#This Row],[TVA]],0)</f>
        <v>138001</v>
      </c>
      <c r="P129" s="122"/>
      <c r="Q129" s="122"/>
      <c r="R129" s="122">
        <f>+Tableau330[[#This Row],[MONTANT TTC]]+Tableau330[[#This Row],[TIMBRE ]]+Tableau330[[#This Row],[AUTRES TAXES]]</f>
        <v>138001</v>
      </c>
      <c r="S129" s="122"/>
      <c r="T129" s="122">
        <f>+ROUND(Tableau330[[#This Row],[NET A PAYER]],0)-Tableau330[[#This Row],[MONTANT PAYE]]</f>
        <v>138001</v>
      </c>
      <c r="U129" s="122"/>
      <c r="V129" s="123">
        <f>+Tableau330[[#This Row],[DELAI_PAIEMENT]]+Tableau330[[#This Row],[DATE ]]</f>
        <v>45848</v>
      </c>
      <c r="X129" s="82" t="s">
        <v>699</v>
      </c>
      <c r="Z129" s="120"/>
    </row>
    <row r="130" spans="1:27">
      <c r="A130" s="83">
        <v>45848</v>
      </c>
      <c r="B130" s="83" t="str">
        <f>IF(ISBLANK(Tableau330[[#This Row],[DATE ]]),"",UPPER(PROPER(TEXT(Tableau330[[#This Row],[DATE ]],"mmmm yyyy"))))</f>
        <v>JUILLET 2025</v>
      </c>
      <c r="C130" s="83" t="s">
        <v>824</v>
      </c>
      <c r="D130" s="120" t="s">
        <v>1411</v>
      </c>
      <c r="E130" s="82" t="s">
        <v>1056</v>
      </c>
      <c r="F130" s="120" t="s">
        <v>1057</v>
      </c>
      <c r="G130" s="82" t="s">
        <v>822</v>
      </c>
      <c r="H130" s="82" t="s">
        <v>1412</v>
      </c>
      <c r="I130" s="82" t="s">
        <v>12</v>
      </c>
      <c r="J130" s="121">
        <v>1</v>
      </c>
      <c r="K130" s="121"/>
      <c r="L130" s="121"/>
      <c r="M130" s="122">
        <v>470550</v>
      </c>
      <c r="N130" s="122">
        <f>+IF(Tableau330[[#This Row],[CODE TVA]]="",0,ROUND(Tableau330[[#This Row],[MONTANT HT]]*0.18*Tableau330[[#This Row],[PRORATA D]],1))</f>
        <v>84699</v>
      </c>
      <c r="O130" s="122">
        <f>+IFERROR(Tableau330[[#This Row],[MONTANT HT]]+Tableau330[[#This Row],[TVA]],0)</f>
        <v>555249</v>
      </c>
      <c r="P130" s="122"/>
      <c r="Q130" s="122"/>
      <c r="R130" s="122">
        <f>+Tableau330[[#This Row],[MONTANT TTC]]+Tableau330[[#This Row],[TIMBRE ]]+Tableau330[[#This Row],[AUTRES TAXES]]</f>
        <v>555249</v>
      </c>
      <c r="S130" s="122"/>
      <c r="T130" s="122">
        <f>+ROUND(Tableau330[[#This Row],[NET A PAYER]],0)-Tableau330[[#This Row],[MONTANT PAYE]]</f>
        <v>555249</v>
      </c>
      <c r="U130" s="122"/>
      <c r="V130" s="123">
        <f>+Tableau330[[#This Row],[DELAI_PAIEMENT]]+Tableau330[[#This Row],[DATE ]]</f>
        <v>45848</v>
      </c>
      <c r="X130" s="82" t="s">
        <v>699</v>
      </c>
      <c r="Z130" s="120"/>
    </row>
    <row r="131" spans="1:27">
      <c r="A131" s="83">
        <v>45849</v>
      </c>
      <c r="B131" s="83" t="str">
        <f>IF(ISBLANK(Tableau330[[#This Row],[DATE ]]),"",UPPER(PROPER(TEXT(Tableau330[[#This Row],[DATE ]],"mmmm yyyy"))))</f>
        <v>JUILLET 2025</v>
      </c>
      <c r="C131" s="83" t="s">
        <v>836</v>
      </c>
      <c r="D131" s="120" t="s">
        <v>1440</v>
      </c>
      <c r="E131" s="82" t="s">
        <v>1441</v>
      </c>
      <c r="F131" s="120"/>
      <c r="H131" s="82" t="s">
        <v>1442</v>
      </c>
      <c r="I131" s="82" t="s">
        <v>12</v>
      </c>
      <c r="J131" s="121">
        <v>1</v>
      </c>
      <c r="K131" s="121">
        <v>75414</v>
      </c>
      <c r="L131" s="121">
        <v>59108</v>
      </c>
      <c r="M131" s="122">
        <f>+Tableau330[[#This Row],[MONTANT HT BIENS]]+Tableau330[[#This Row],[MONTANT HT SERVICES ]]</f>
        <v>134522</v>
      </c>
      <c r="N131" s="122">
        <f>+IF(Tableau330[[#This Row],[CODE TVA]]="",0,ROUND(Tableau330[[#This Row],[MONTANT HT]]*0.18*Tableau330[[#This Row],[PRORATA D]],1))</f>
        <v>24214</v>
      </c>
      <c r="O131" s="122">
        <f>+IFERROR(Tableau330[[#This Row],[MONTANT HT]]+Tableau330[[#This Row],[TVA]],0)</f>
        <v>158736</v>
      </c>
      <c r="P131" s="122"/>
      <c r="Q131" s="122"/>
      <c r="R131" s="122">
        <f>+Tableau330[[#This Row],[MONTANT TTC]]+Tableau330[[#This Row],[TIMBRE ]]+Tableau330[[#This Row],[AUTRES TAXES]]</f>
        <v>158736</v>
      </c>
      <c r="S131" s="122">
        <v>158736</v>
      </c>
      <c r="T131" s="122">
        <f>+ROUND(Tableau330[[#This Row],[NET A PAYER]],0)-Tableau330[[#This Row],[MONTANT PAYE]]</f>
        <v>0</v>
      </c>
      <c r="U131" s="122"/>
      <c r="V131" s="123">
        <f>+Tableau330[[#This Row],[DELAI_PAIEMENT]]+Tableau330[[#This Row],[DATE ]]</f>
        <v>45849</v>
      </c>
      <c r="X131" s="82" t="s">
        <v>1337</v>
      </c>
      <c r="Y131" s="82" t="s">
        <v>623</v>
      </c>
      <c r="Z131" s="120"/>
      <c r="AA131" s="82" t="s">
        <v>1157</v>
      </c>
    </row>
    <row r="132" spans="1:27">
      <c r="A132" s="126">
        <v>45851</v>
      </c>
      <c r="B132" s="126" t="str">
        <f>IF(ISBLANK(Tableau330[[#This Row],[DATE ]]),"",UPPER(PROPER(TEXT(Tableau330[[#This Row],[DATE ]],"mmmm yyyy"))))</f>
        <v>JUILLET 2025</v>
      </c>
      <c r="C132" s="126" t="s">
        <v>819</v>
      </c>
      <c r="D132" s="129" t="s">
        <v>875</v>
      </c>
      <c r="E132" s="130" t="s">
        <v>872</v>
      </c>
      <c r="F132" s="129" t="s">
        <v>873</v>
      </c>
      <c r="G132" s="130"/>
      <c r="H132" s="130" t="s">
        <v>876</v>
      </c>
      <c r="I132" s="130"/>
      <c r="J132" s="131"/>
      <c r="K132" s="131"/>
      <c r="L132" s="131"/>
      <c r="M132" s="132">
        <v>300000</v>
      </c>
      <c r="N132" s="132">
        <f>+IF(Tableau330[[#This Row],[CODE TVA]]="",0,ROUND(Tableau330[[#This Row],[MONTANT HT]]*0.18*Tableau330[[#This Row],[PRORATA D]],1))</f>
        <v>0</v>
      </c>
      <c r="O132" s="132">
        <f>+IFERROR(Tableau330[[#This Row],[MONTANT HT]]+Tableau330[[#This Row],[TVA]],0)</f>
        <v>300000</v>
      </c>
      <c r="P132" s="132"/>
      <c r="Q132" s="132"/>
      <c r="R132" s="132">
        <f>+Tableau330[[#This Row],[MONTANT TTC]]+Tableau330[[#This Row],[TIMBRE ]]+Tableau330[[#This Row],[AUTRES TAXES]]</f>
        <v>300000</v>
      </c>
      <c r="S132" s="132">
        <v>300000</v>
      </c>
      <c r="T132" s="132">
        <f>+ROUND(Tableau330[[#This Row],[NET A PAYER]],0)-Tableau330[[#This Row],[MONTANT PAYE]]</f>
        <v>0</v>
      </c>
      <c r="U132" s="132"/>
      <c r="V132" s="133">
        <f>+Tableau330[[#This Row],[DELAI_PAIEMENT]]+Tableau330[[#This Row],[DATE ]]</f>
        <v>45851</v>
      </c>
      <c r="W132" s="130"/>
      <c r="X132" s="130" t="s">
        <v>1337</v>
      </c>
      <c r="Y132" s="130" t="s">
        <v>623</v>
      </c>
      <c r="Z132" s="129"/>
      <c r="AA132" s="130"/>
    </row>
    <row r="133" spans="1:27">
      <c r="A133" s="83">
        <v>45853</v>
      </c>
      <c r="B133" s="83" t="str">
        <f>IF(ISBLANK(Tableau330[[#This Row],[DATE ]]),"",UPPER(PROPER(TEXT(Tableau330[[#This Row],[DATE ]],"mmmm yyyy"))))</f>
        <v>JUILLET 2025</v>
      </c>
      <c r="C133" s="83" t="s">
        <v>824</v>
      </c>
      <c r="D133" s="120" t="s">
        <v>1436</v>
      </c>
      <c r="E133" s="82" t="s">
        <v>832</v>
      </c>
      <c r="F133" s="120" t="s">
        <v>1435</v>
      </c>
      <c r="G133" s="82" t="s">
        <v>822</v>
      </c>
      <c r="H133" s="82" t="s">
        <v>1437</v>
      </c>
      <c r="I133" s="82" t="s">
        <v>12</v>
      </c>
      <c r="J133" s="121">
        <v>1</v>
      </c>
      <c r="K133" s="121"/>
      <c r="L133" s="121"/>
      <c r="M133" s="122">
        <v>6144</v>
      </c>
      <c r="N133" s="122">
        <f>+IF(Tableau330[[#This Row],[CODE TVA]]="",0,ROUND(Tableau330[[#This Row],[MONTANT HT]]*0.18*Tableau330[[#This Row],[PRORATA D]],1))</f>
        <v>1105.9000000000001</v>
      </c>
      <c r="O133" s="122">
        <f>+IFERROR(Tableau330[[#This Row],[MONTANT HT]]+Tableau330[[#This Row],[TVA]],0)</f>
        <v>7249.9</v>
      </c>
      <c r="P133" s="122"/>
      <c r="Q133" s="122"/>
      <c r="R133" s="122">
        <f>+Tableau330[[#This Row],[MONTANT TTC]]+Tableau330[[#This Row],[TIMBRE ]]+Tableau330[[#This Row],[AUTRES TAXES]]</f>
        <v>7249.9</v>
      </c>
      <c r="S133" s="122">
        <v>7250</v>
      </c>
      <c r="T133" s="122">
        <f>+ROUND(Tableau330[[#This Row],[NET A PAYER]],0)-Tableau330[[#This Row],[MONTANT PAYE]]</f>
        <v>0</v>
      </c>
      <c r="U133" s="122"/>
      <c r="V133" s="123">
        <f>+Tableau330[[#This Row],[DELAI_PAIEMENT]]+Tableau330[[#This Row],[DATE ]]</f>
        <v>45853</v>
      </c>
      <c r="X133" s="82" t="s">
        <v>1337</v>
      </c>
      <c r="Y133" s="82" t="s">
        <v>623</v>
      </c>
      <c r="Z133" s="120"/>
    </row>
    <row r="134" spans="1:27">
      <c r="A134" s="83">
        <v>45854</v>
      </c>
      <c r="B134" s="83" t="str">
        <f>IF(ISBLANK(Tableau330[[#This Row],[DATE ]]),"",UPPER(PROPER(TEXT(Tableau330[[#This Row],[DATE ]],"mmmm yyyy"))))</f>
        <v>JUILLET 2025</v>
      </c>
      <c r="C134" s="83" t="s">
        <v>824</v>
      </c>
      <c r="D134" s="120" t="s">
        <v>1427</v>
      </c>
      <c r="E134" s="82" t="s">
        <v>1428</v>
      </c>
      <c r="F134" s="120" t="s">
        <v>1429</v>
      </c>
      <c r="G134" s="82" t="s">
        <v>822</v>
      </c>
      <c r="H134" s="82" t="s">
        <v>1430</v>
      </c>
      <c r="I134" s="82" t="s">
        <v>12</v>
      </c>
      <c r="J134" s="121">
        <v>1</v>
      </c>
      <c r="K134" s="121"/>
      <c r="L134" s="121"/>
      <c r="M134" s="122">
        <v>134522</v>
      </c>
      <c r="N134" s="122">
        <f>+IF(Tableau330[[#This Row],[CODE TVA]]="",0,ROUND(Tableau330[[#This Row],[MONTANT HT]]*0.18*Tableau330[[#This Row],[PRORATA D]],1))</f>
        <v>24214</v>
      </c>
      <c r="O134" s="122">
        <f>+IFERROR(Tableau330[[#This Row],[MONTANT HT]]+Tableau330[[#This Row],[TVA]],0)</f>
        <v>158736</v>
      </c>
      <c r="P134" s="122"/>
      <c r="Q134" s="122"/>
      <c r="R134" s="122">
        <f>+Tableau330[[#This Row],[MONTANT TTC]]+Tableau330[[#This Row],[TIMBRE ]]+Tableau330[[#This Row],[AUTRES TAXES]]</f>
        <v>158736</v>
      </c>
      <c r="S134" s="122">
        <v>158736</v>
      </c>
      <c r="T134" s="122">
        <f>+ROUND(Tableau330[[#This Row],[NET A PAYER]],0)-Tableau330[[#This Row],[MONTANT PAYE]]</f>
        <v>0</v>
      </c>
      <c r="U134" s="122"/>
      <c r="V134" s="123">
        <f>+Tableau330[[#This Row],[DELAI_PAIEMENT]]+Tableau330[[#This Row],[DATE ]]</f>
        <v>45854</v>
      </c>
      <c r="X134" s="82" t="s">
        <v>1337</v>
      </c>
      <c r="Y134" s="82" t="s">
        <v>623</v>
      </c>
      <c r="Z134" s="120"/>
    </row>
    <row r="135" spans="1:27">
      <c r="A135" s="83">
        <v>45855</v>
      </c>
      <c r="B135" s="83" t="str">
        <f>IF(ISBLANK(Tableau330[[#This Row],[DATE ]]),"",UPPER(PROPER(TEXT(Tableau330[[#This Row],[DATE ]],"mmmm yyyy"))))</f>
        <v>JUILLET 2025</v>
      </c>
      <c r="C135" s="83" t="s">
        <v>824</v>
      </c>
      <c r="D135" s="120" t="s">
        <v>1407</v>
      </c>
      <c r="E135" s="82" t="s">
        <v>1056</v>
      </c>
      <c r="F135" s="120" t="s">
        <v>1057</v>
      </c>
      <c r="G135" s="82" t="s">
        <v>822</v>
      </c>
      <c r="H135" s="82" t="s">
        <v>1408</v>
      </c>
      <c r="I135" s="82" t="s">
        <v>12</v>
      </c>
      <c r="J135" s="121">
        <v>1</v>
      </c>
      <c r="K135" s="121"/>
      <c r="L135" s="121"/>
      <c r="M135" s="122">
        <v>566653</v>
      </c>
      <c r="N135" s="122">
        <f>+IF(Tableau330[[#This Row],[CODE TVA]]="",0,ROUND(Tableau330[[#This Row],[MONTANT HT]]*0.18*Tableau330[[#This Row],[PRORATA D]],1))</f>
        <v>101997.5</v>
      </c>
      <c r="O135" s="122">
        <f>+IFERROR(Tableau330[[#This Row],[MONTANT HT]]+Tableau330[[#This Row],[TVA]],0)</f>
        <v>668650.5</v>
      </c>
      <c r="P135" s="122"/>
      <c r="Q135" s="122"/>
      <c r="R135" s="122">
        <f>+Tableau330[[#This Row],[MONTANT TTC]]+Tableau330[[#This Row],[TIMBRE ]]+Tableau330[[#This Row],[AUTRES TAXES]]</f>
        <v>668650.5</v>
      </c>
      <c r="S135" s="122"/>
      <c r="T135" s="122">
        <f>+ROUND(Tableau330[[#This Row],[NET A PAYER]],0)-Tableau330[[#This Row],[MONTANT PAYE]]</f>
        <v>668651</v>
      </c>
      <c r="U135" s="122"/>
      <c r="V135" s="123">
        <f>+Tableau330[[#This Row],[DELAI_PAIEMENT]]+Tableau330[[#This Row],[DATE ]]</f>
        <v>45855</v>
      </c>
      <c r="X135" s="82" t="s">
        <v>699</v>
      </c>
      <c r="Z135" s="120"/>
    </row>
    <row r="136" spans="1:27">
      <c r="A136" s="83">
        <v>45855</v>
      </c>
      <c r="B136" s="83" t="str">
        <f>IF(ISBLANK(Tableau330[[#This Row],[DATE ]]),"",UPPER(PROPER(TEXT(Tableau330[[#This Row],[DATE ]],"mmmm yyyy"))))</f>
        <v>JUILLET 2025</v>
      </c>
      <c r="C136" s="83" t="s">
        <v>824</v>
      </c>
      <c r="D136" s="120" t="s">
        <v>1413</v>
      </c>
      <c r="E136" s="82" t="s">
        <v>1056</v>
      </c>
      <c r="F136" s="120" t="s">
        <v>1057</v>
      </c>
      <c r="G136" s="82" t="s">
        <v>822</v>
      </c>
      <c r="H136" s="82" t="s">
        <v>1414</v>
      </c>
      <c r="I136" s="82" t="s">
        <v>12</v>
      </c>
      <c r="J136" s="121">
        <v>1</v>
      </c>
      <c r="K136" s="121"/>
      <c r="L136" s="121"/>
      <c r="M136" s="122">
        <v>327375</v>
      </c>
      <c r="N136" s="122">
        <f>+IF(Tableau330[[#This Row],[CODE TVA]]="",0,ROUND(Tableau330[[#This Row],[MONTANT HT]]*0.18*Tableau330[[#This Row],[PRORATA D]],1))</f>
        <v>58927.5</v>
      </c>
      <c r="O136" s="122">
        <f>+IFERROR(Tableau330[[#This Row],[MONTANT HT]]+Tableau330[[#This Row],[TVA]],0)</f>
        <v>386302.5</v>
      </c>
      <c r="P136" s="122"/>
      <c r="Q136" s="122"/>
      <c r="R136" s="122">
        <f>+Tableau330[[#This Row],[MONTANT TTC]]+Tableau330[[#This Row],[TIMBRE ]]+Tableau330[[#This Row],[AUTRES TAXES]]</f>
        <v>386302.5</v>
      </c>
      <c r="S136" s="122"/>
      <c r="T136" s="122">
        <f>+ROUND(Tableau330[[#This Row],[NET A PAYER]],0)-Tableau330[[#This Row],[MONTANT PAYE]]</f>
        <v>386303</v>
      </c>
      <c r="U136" s="122"/>
      <c r="V136" s="123">
        <f>+Tableau330[[#This Row],[DELAI_PAIEMENT]]+Tableau330[[#This Row],[DATE ]]</f>
        <v>45855</v>
      </c>
      <c r="X136" s="82" t="s">
        <v>699</v>
      </c>
      <c r="Z136" s="120"/>
    </row>
    <row r="137" spans="1:27">
      <c r="A137" s="83">
        <v>45855</v>
      </c>
      <c r="B137" s="83" t="str">
        <f>IF(ISBLANK(Tableau330[[#This Row],[DATE ]]),"",UPPER(PROPER(TEXT(Tableau330[[#This Row],[DATE ]],"mmmm yyyy"))))</f>
        <v>JUILLET 2025</v>
      </c>
      <c r="C137" s="83" t="s">
        <v>824</v>
      </c>
      <c r="D137" s="120" t="s">
        <v>1433</v>
      </c>
      <c r="E137" s="82" t="s">
        <v>1375</v>
      </c>
      <c r="F137" s="120" t="s">
        <v>938</v>
      </c>
      <c r="G137" s="82" t="s">
        <v>822</v>
      </c>
      <c r="H137" s="82" t="s">
        <v>1376</v>
      </c>
      <c r="I137" s="82" t="s">
        <v>12</v>
      </c>
      <c r="J137" s="121"/>
      <c r="K137" s="121"/>
      <c r="L137" s="121"/>
      <c r="M137" s="122">
        <v>510000</v>
      </c>
      <c r="N137" s="122">
        <f>+IF(Tableau330[[#This Row],[CODE TVA]]="",0,ROUND(Tableau330[[#This Row],[MONTANT HT]]*0.18*Tableau330[[#This Row],[PRORATA D]],1))</f>
        <v>0</v>
      </c>
      <c r="O137" s="122">
        <f>+IFERROR(Tableau330[[#This Row],[MONTANT HT]]+Tableau330[[#This Row],[TVA]],0)</f>
        <v>510000</v>
      </c>
      <c r="P137" s="122"/>
      <c r="Q137" s="122"/>
      <c r="R137" s="122">
        <f>+Tableau330[[#This Row],[MONTANT TTC]]+Tableau330[[#This Row],[TIMBRE ]]+Tableau330[[#This Row],[AUTRES TAXES]]</f>
        <v>510000</v>
      </c>
      <c r="S137" s="122">
        <v>510000</v>
      </c>
      <c r="T137" s="122">
        <f>+ROUND(Tableau330[[#This Row],[NET A PAYER]],0)-Tableau330[[#This Row],[MONTANT PAYE]]</f>
        <v>0</v>
      </c>
      <c r="U137" s="122"/>
      <c r="V137" s="123">
        <f>+Tableau330[[#This Row],[DELAI_PAIEMENT]]+Tableau330[[#This Row],[DATE ]]</f>
        <v>45855</v>
      </c>
      <c r="X137" s="82" t="s">
        <v>1337</v>
      </c>
      <c r="Y137" s="82" t="s">
        <v>623</v>
      </c>
      <c r="Z137" s="120"/>
    </row>
    <row r="138" spans="1:27">
      <c r="A138" s="83">
        <v>45860</v>
      </c>
      <c r="B138" s="83" t="str">
        <f>IF(ISBLANK(Tableau330[[#This Row],[DATE ]]),"",UPPER(PROPER(TEXT(Tableau330[[#This Row],[DATE ]],"mmmm yyyy"))))</f>
        <v>JUILLET 2025</v>
      </c>
      <c r="C138" s="83" t="s">
        <v>824</v>
      </c>
      <c r="D138" s="120" t="s">
        <v>1401</v>
      </c>
      <c r="E138" s="82" t="s">
        <v>1402</v>
      </c>
      <c r="F138" s="120" t="s">
        <v>1403</v>
      </c>
      <c r="G138" s="82" t="s">
        <v>951</v>
      </c>
      <c r="H138" s="82" t="s">
        <v>1404</v>
      </c>
      <c r="J138" s="121"/>
      <c r="K138" s="121"/>
      <c r="L138" s="121"/>
      <c r="M138" s="122">
        <v>800000</v>
      </c>
      <c r="N138" s="122">
        <f>+IF(Tableau330[[#This Row],[CODE TVA]]="",0,ROUND(Tableau330[[#This Row],[MONTANT HT]]*0.18*Tableau330[[#This Row],[PRORATA D]],1))</f>
        <v>0</v>
      </c>
      <c r="O138" s="122">
        <f>+IFERROR(Tableau330[[#This Row],[MONTANT HT]]+Tableau330[[#This Row],[TVA]],0)</f>
        <v>800000</v>
      </c>
      <c r="P138" s="122"/>
      <c r="Q138" s="122"/>
      <c r="R138" s="122">
        <f>+Tableau330[[#This Row],[MONTANT TTC]]+Tableau330[[#This Row],[TIMBRE ]]+Tableau330[[#This Row],[AUTRES TAXES]]</f>
        <v>800000</v>
      </c>
      <c r="S138" s="122">
        <v>800000</v>
      </c>
      <c r="T138" s="122">
        <f>+ROUND(Tableau330[[#This Row],[NET A PAYER]],0)-Tableau330[[#This Row],[MONTANT PAYE]]</f>
        <v>0</v>
      </c>
      <c r="U138" s="122"/>
      <c r="V138" s="123">
        <f>+Tableau330[[#This Row],[DELAI_PAIEMENT]]+Tableau330[[#This Row],[DATE ]]</f>
        <v>45860</v>
      </c>
      <c r="X138" s="82" t="s">
        <v>1337</v>
      </c>
      <c r="Y138" s="82" t="s">
        <v>623</v>
      </c>
      <c r="Z138" s="120"/>
    </row>
    <row r="139" spans="1:27">
      <c r="A139" s="83">
        <v>45861</v>
      </c>
      <c r="B139" s="83" t="str">
        <f>IF(ISBLANK(Tableau330[[#This Row],[DATE ]]),"",UPPER(PROPER(TEXT(Tableau330[[#This Row],[DATE ]],"mmmm yyyy"))))</f>
        <v>JUILLET 2025</v>
      </c>
      <c r="C139" s="83" t="s">
        <v>824</v>
      </c>
      <c r="D139" s="120" t="s">
        <v>1425</v>
      </c>
      <c r="E139" s="82" t="s">
        <v>832</v>
      </c>
      <c r="F139" s="120" t="s">
        <v>833</v>
      </c>
      <c r="G139" s="82" t="s">
        <v>828</v>
      </c>
      <c r="H139" s="82" t="s">
        <v>1426</v>
      </c>
      <c r="I139" s="82" t="s">
        <v>12</v>
      </c>
      <c r="J139" s="121"/>
      <c r="K139" s="121"/>
      <c r="L139" s="121"/>
      <c r="M139" s="122">
        <v>9400</v>
      </c>
      <c r="N139" s="122">
        <f>+IF(Tableau330[[#This Row],[CODE TVA]]="",0,ROUND(Tableau330[[#This Row],[MONTANT HT]]*0.18*Tableau330[[#This Row],[PRORATA D]],1))</f>
        <v>0</v>
      </c>
      <c r="O139" s="122">
        <f>+IFERROR(Tableau330[[#This Row],[MONTANT HT]]+Tableau330[[#This Row],[TVA]],0)</f>
        <v>9400</v>
      </c>
      <c r="P139" s="122"/>
      <c r="Q139" s="122"/>
      <c r="R139" s="122">
        <f>+Tableau330[[#This Row],[MONTANT TTC]]+Tableau330[[#This Row],[TIMBRE ]]+Tableau330[[#This Row],[AUTRES TAXES]]</f>
        <v>9400</v>
      </c>
      <c r="S139" s="122">
        <v>9400</v>
      </c>
      <c r="T139" s="122">
        <f>+ROUND(Tableau330[[#This Row],[NET A PAYER]],0)-Tableau330[[#This Row],[MONTANT PAYE]]</f>
        <v>0</v>
      </c>
      <c r="U139" s="122"/>
      <c r="V139" s="123">
        <f>+Tableau330[[#This Row],[DELAI_PAIEMENT]]+Tableau330[[#This Row],[DATE ]]</f>
        <v>45861</v>
      </c>
      <c r="X139" s="82" t="s">
        <v>1337</v>
      </c>
      <c r="Y139" s="82" t="s">
        <v>623</v>
      </c>
      <c r="Z139" s="120"/>
    </row>
    <row r="140" spans="1:27">
      <c r="A140" s="83">
        <v>45862</v>
      </c>
      <c r="B140" s="83" t="str">
        <f>IF(ISBLANK(Tableau330[[#This Row],[DATE ]]),"",UPPER(PROPER(TEXT(Tableau330[[#This Row],[DATE ]],"mmmm yyyy"))))</f>
        <v>JUILLET 2025</v>
      </c>
      <c r="C140" s="83" t="s">
        <v>824</v>
      </c>
      <c r="D140" s="120" t="s">
        <v>1431</v>
      </c>
      <c r="E140" s="82" t="s">
        <v>919</v>
      </c>
      <c r="F140" s="120" t="s">
        <v>920</v>
      </c>
      <c r="G140" s="82" t="s">
        <v>822</v>
      </c>
      <c r="H140" s="82" t="s">
        <v>1432</v>
      </c>
      <c r="I140" s="82" t="s">
        <v>12</v>
      </c>
      <c r="J140" s="121">
        <v>1</v>
      </c>
      <c r="K140" s="121"/>
      <c r="L140" s="121"/>
      <c r="M140" s="122">
        <v>1322034</v>
      </c>
      <c r="N140" s="122">
        <f>+IF(Tableau330[[#This Row],[CODE TVA]]="",0,ROUND(Tableau330[[#This Row],[MONTANT HT]]*0.18*Tableau330[[#This Row],[PRORATA D]],1))</f>
        <v>237966.1</v>
      </c>
      <c r="O140" s="122">
        <f>+IFERROR(Tableau330[[#This Row],[MONTANT HT]]+Tableau330[[#This Row],[TVA]],0)</f>
        <v>1560000.1</v>
      </c>
      <c r="P140" s="122"/>
      <c r="Q140" s="122"/>
      <c r="R140" s="122">
        <f>+Tableau330[[#This Row],[MONTANT TTC]]+Tableau330[[#This Row],[TIMBRE ]]+Tableau330[[#This Row],[AUTRES TAXES]]</f>
        <v>1560000.1</v>
      </c>
      <c r="S140" s="122">
        <v>1560000</v>
      </c>
      <c r="T140" s="122">
        <f>+ROUND(Tableau330[[#This Row],[NET A PAYER]],0)-Tableau330[[#This Row],[MONTANT PAYE]]</f>
        <v>0</v>
      </c>
      <c r="U140" s="122"/>
      <c r="V140" s="123">
        <f>+Tableau330[[#This Row],[DELAI_PAIEMENT]]+Tableau330[[#This Row],[DATE ]]</f>
        <v>45862</v>
      </c>
      <c r="X140" s="82" t="s">
        <v>1337</v>
      </c>
      <c r="Y140" s="82" t="s">
        <v>623</v>
      </c>
      <c r="Z140" s="120"/>
    </row>
    <row r="141" spans="1:27">
      <c r="A141" s="83">
        <v>45869</v>
      </c>
      <c r="B141" s="83" t="str">
        <f>IF(ISBLANK(Tableau330[[#This Row],[DATE ]]),"",UPPER(PROPER(TEXT(Tableau330[[#This Row],[DATE ]],"mmmm yyyy"))))</f>
        <v>JUILLET 2025</v>
      </c>
      <c r="C141" s="83" t="s">
        <v>1332</v>
      </c>
      <c r="D141" s="120" t="s">
        <v>1405</v>
      </c>
      <c r="E141" s="82" t="s">
        <v>1176</v>
      </c>
      <c r="F141" s="120" t="s">
        <v>1177</v>
      </c>
      <c r="G141" s="82" t="s">
        <v>822</v>
      </c>
      <c r="H141" s="82" t="s">
        <v>1406</v>
      </c>
      <c r="I141" s="82" t="s">
        <v>12</v>
      </c>
      <c r="J141" s="121">
        <v>1</v>
      </c>
      <c r="K141" s="121"/>
      <c r="L141" s="121"/>
      <c r="M141" s="122">
        <v>157020</v>
      </c>
      <c r="N141" s="122">
        <f>+IF(Tableau330[[#This Row],[CODE TVA]]="",0,ROUND(Tableau330[[#This Row],[MONTANT HT]]*0.18*Tableau330[[#This Row],[PRORATA D]],1))</f>
        <v>28263.599999999999</v>
      </c>
      <c r="O141" s="122">
        <f>+IFERROR(Tableau330[[#This Row],[MONTANT HT]]+Tableau330[[#This Row],[TVA]],0)</f>
        <v>185283.6</v>
      </c>
      <c r="P141" s="122"/>
      <c r="Q141" s="122">
        <v>4711</v>
      </c>
      <c r="R141" s="122">
        <f>+Tableau330[[#This Row],[MONTANT TTC]]+Tableau330[[#This Row],[TIMBRE ]]+Tableau330[[#This Row],[AUTRES TAXES]]</f>
        <v>189994.6</v>
      </c>
      <c r="S141" s="122"/>
      <c r="T141" s="122">
        <f>+ROUND(Tableau330[[#This Row],[NET A PAYER]],0)-Tableau330[[#This Row],[MONTANT PAYE]]</f>
        <v>189995</v>
      </c>
      <c r="U141" s="122"/>
      <c r="V141" s="123">
        <f>+Tableau330[[#This Row],[DELAI_PAIEMENT]]+Tableau330[[#This Row],[DATE ]]</f>
        <v>45869</v>
      </c>
      <c r="X141" s="82" t="s">
        <v>1337</v>
      </c>
      <c r="Y141" s="82" t="s">
        <v>623</v>
      </c>
      <c r="Z141" s="120"/>
    </row>
    <row r="142" spans="1:27">
      <c r="A142" s="83">
        <v>45871</v>
      </c>
      <c r="B142" s="83" t="str">
        <f>IF(ISBLANK(Tableau330[[#This Row],[DATE ]]),"",UPPER(PROPER(TEXT(Tableau330[[#This Row],[DATE ]],"mmmm yyyy"))))</f>
        <v>AOÛT 2025</v>
      </c>
      <c r="C142" s="83" t="s">
        <v>819</v>
      </c>
      <c r="D142" s="120" t="s">
        <v>1329</v>
      </c>
      <c r="E142" s="82" t="s">
        <v>1330</v>
      </c>
      <c r="F142" s="120"/>
      <c r="H142" s="82" t="s">
        <v>1331</v>
      </c>
      <c r="J142" s="121"/>
      <c r="K142" s="121"/>
      <c r="L142" s="121"/>
      <c r="M142" s="122">
        <v>300000</v>
      </c>
      <c r="N142" s="122">
        <f>+IF(Tableau330[[#This Row],[CODE TVA]]="",0,ROUND(Tableau330[[#This Row],[MONTANT HT]]*0.18*Tableau330[[#This Row],[PRORATA D]],1))</f>
        <v>0</v>
      </c>
      <c r="O142" s="122">
        <f>+IFERROR(Tableau330[[#This Row],[MONTANT HT]]+Tableau330[[#This Row],[TVA]],0)</f>
        <v>300000</v>
      </c>
      <c r="P142" s="122"/>
      <c r="Q142" s="122"/>
      <c r="R142" s="122">
        <f>+Tableau330[[#This Row],[MONTANT TTC]]+Tableau330[[#This Row],[TIMBRE ]]+Tableau330[[#This Row],[AUTRES TAXES]]</f>
        <v>300000</v>
      </c>
      <c r="S142" s="122">
        <v>300000</v>
      </c>
      <c r="T142" s="122">
        <f>+ROUND(Tableau330[[#This Row],[NET A PAYER]],0)-Tableau330[[#This Row],[MONTANT PAYE]]</f>
        <v>0</v>
      </c>
      <c r="U142" s="122"/>
      <c r="V142" s="123">
        <f>+Tableau330[[#This Row],[DELAI_PAIEMENT]]+Tableau330[[#This Row],[DATE ]]</f>
        <v>45871</v>
      </c>
      <c r="X142" s="82" t="s">
        <v>1337</v>
      </c>
      <c r="Y142" s="82" t="s">
        <v>623</v>
      </c>
      <c r="Z142" s="120"/>
    </row>
    <row r="143" spans="1:27">
      <c r="A143" s="83">
        <v>45871</v>
      </c>
      <c r="B143" s="83" t="str">
        <f>IF(ISBLANK(Tableau330[[#This Row],[DATE ]]),"",UPPER(PROPER(TEXT(Tableau330[[#This Row],[DATE ]],"mmmm yyyy"))))</f>
        <v>AOÛT 2025</v>
      </c>
      <c r="C143" s="83" t="s">
        <v>824</v>
      </c>
      <c r="D143" s="120" t="s">
        <v>1357</v>
      </c>
      <c r="E143" s="82" t="s">
        <v>832</v>
      </c>
      <c r="F143" s="120" t="s">
        <v>833</v>
      </c>
      <c r="G143" s="82" t="s">
        <v>822</v>
      </c>
      <c r="H143" s="82" t="s">
        <v>1358</v>
      </c>
      <c r="J143" s="121"/>
      <c r="K143" s="121"/>
      <c r="L143" s="121"/>
      <c r="M143" s="122">
        <v>2800</v>
      </c>
      <c r="N143" s="122">
        <f>+IF(Tableau330[[#This Row],[CODE TVA]]="",0,ROUND(Tableau330[[#This Row],[MONTANT HT]]*0.18*Tableau330[[#This Row],[PRORATA D]],1))</f>
        <v>0</v>
      </c>
      <c r="O143" s="122">
        <f>+IFERROR(Tableau330[[#This Row],[MONTANT HT]]+Tableau330[[#This Row],[TVA]],0)</f>
        <v>2800</v>
      </c>
      <c r="P143" s="122"/>
      <c r="Q143" s="122"/>
      <c r="R143" s="122">
        <f>+Tableau330[[#This Row],[MONTANT TTC]]+Tableau330[[#This Row],[TIMBRE ]]+Tableau330[[#This Row],[AUTRES TAXES]]</f>
        <v>2800</v>
      </c>
      <c r="S143" s="122">
        <v>2800</v>
      </c>
      <c r="T143" s="122">
        <f>+ROUND(Tableau330[[#This Row],[NET A PAYER]],0)-Tableau330[[#This Row],[MONTANT PAYE]]</f>
        <v>0</v>
      </c>
      <c r="U143" s="122"/>
      <c r="V143" s="123">
        <f>+Tableau330[[#This Row],[DELAI_PAIEMENT]]+Tableau330[[#This Row],[DATE ]]</f>
        <v>45871</v>
      </c>
      <c r="X143" s="82" t="s">
        <v>1337</v>
      </c>
      <c r="Y143" s="82" t="s">
        <v>623</v>
      </c>
      <c r="Z143" s="120"/>
    </row>
    <row r="144" spans="1:27">
      <c r="A144" s="83">
        <v>45874</v>
      </c>
      <c r="B144" s="83" t="str">
        <f>IF(ISBLANK(Tableau330[[#This Row],[DATE ]]),"",UPPER(PROPER(TEXT(Tableau330[[#This Row],[DATE ]],"mmmm yyyy"))))</f>
        <v>AOÛT 2025</v>
      </c>
      <c r="C144" s="83" t="s">
        <v>824</v>
      </c>
      <c r="D144" s="120" t="s">
        <v>1354</v>
      </c>
      <c r="E144" s="82" t="s">
        <v>832</v>
      </c>
      <c r="F144" s="120" t="s">
        <v>833</v>
      </c>
      <c r="G144" s="82" t="s">
        <v>822</v>
      </c>
      <c r="H144" s="82" t="s">
        <v>1203</v>
      </c>
      <c r="I144" s="82" t="s">
        <v>12</v>
      </c>
      <c r="J144" s="121"/>
      <c r="K144" s="121"/>
      <c r="L144" s="121"/>
      <c r="M144" s="122">
        <v>4500</v>
      </c>
      <c r="N144" s="122">
        <f>+IF(Tableau330[[#This Row],[CODE TVA]]="",0,ROUND(Tableau330[[#This Row],[MONTANT HT]]*0.18*Tableau330[[#This Row],[PRORATA D]],1))</f>
        <v>0</v>
      </c>
      <c r="O144" s="122">
        <f>+IFERROR(Tableau330[[#This Row],[MONTANT HT]]+Tableau330[[#This Row],[TVA]],0)</f>
        <v>4500</v>
      </c>
      <c r="P144" s="122"/>
      <c r="Q144" s="122"/>
      <c r="R144" s="122">
        <f>+Tableau330[[#This Row],[MONTANT TTC]]+Tableau330[[#This Row],[TIMBRE ]]+Tableau330[[#This Row],[AUTRES TAXES]]</f>
        <v>4500</v>
      </c>
      <c r="S144" s="122">
        <v>4500</v>
      </c>
      <c r="T144" s="122">
        <f>+ROUND(Tableau330[[#This Row],[NET A PAYER]],0)-Tableau330[[#This Row],[MONTANT PAYE]]</f>
        <v>0</v>
      </c>
      <c r="U144" s="122"/>
      <c r="V144" s="123">
        <f>+Tableau330[[#This Row],[DELAI_PAIEMENT]]+Tableau330[[#This Row],[DATE ]]</f>
        <v>45874</v>
      </c>
      <c r="X144" s="82" t="s">
        <v>1337</v>
      </c>
      <c r="Y144" s="82" t="s">
        <v>623</v>
      </c>
      <c r="Z144" s="120"/>
    </row>
    <row r="145" spans="1:26">
      <c r="A145" s="83">
        <v>45874</v>
      </c>
      <c r="B145" s="83" t="str">
        <f>IF(ISBLANK(Tableau330[[#This Row],[DATE ]]),"",UPPER(PROPER(TEXT(Tableau330[[#This Row],[DATE ]],"mmmm yyyy"))))</f>
        <v>AOÛT 2025</v>
      </c>
      <c r="C145" s="83" t="s">
        <v>824</v>
      </c>
      <c r="D145" s="120" t="s">
        <v>1355</v>
      </c>
      <c r="E145" s="82" t="s">
        <v>832</v>
      </c>
      <c r="F145" s="120" t="s">
        <v>833</v>
      </c>
      <c r="G145" s="82" t="s">
        <v>822</v>
      </c>
      <c r="H145" s="82" t="s">
        <v>1356</v>
      </c>
      <c r="I145" s="82" t="s">
        <v>12</v>
      </c>
      <c r="J145" s="121"/>
      <c r="K145" s="121"/>
      <c r="L145" s="121"/>
      <c r="M145" s="122">
        <v>4500</v>
      </c>
      <c r="N145" s="122">
        <f>+IF(Tableau330[[#This Row],[CODE TVA]]="",0,ROUND(Tableau330[[#This Row],[MONTANT HT]]*0.18*Tableau330[[#This Row],[PRORATA D]],1))</f>
        <v>0</v>
      </c>
      <c r="O145" s="122">
        <f>+IFERROR(Tableau330[[#This Row],[MONTANT HT]]+Tableau330[[#This Row],[TVA]],0)</f>
        <v>4500</v>
      </c>
      <c r="P145" s="122"/>
      <c r="Q145" s="122"/>
      <c r="R145" s="122">
        <f>+Tableau330[[#This Row],[MONTANT TTC]]+Tableau330[[#This Row],[TIMBRE ]]+Tableau330[[#This Row],[AUTRES TAXES]]</f>
        <v>4500</v>
      </c>
      <c r="S145" s="122">
        <v>4500</v>
      </c>
      <c r="T145" s="122">
        <f>+ROUND(Tableau330[[#This Row],[NET A PAYER]],0)-Tableau330[[#This Row],[MONTANT PAYE]]</f>
        <v>0</v>
      </c>
      <c r="U145" s="122"/>
      <c r="V145" s="123">
        <f>+Tableau330[[#This Row],[DELAI_PAIEMENT]]+Tableau330[[#This Row],[DATE ]]</f>
        <v>45874</v>
      </c>
      <c r="X145" s="82" t="s">
        <v>1337</v>
      </c>
      <c r="Y145" s="82" t="s">
        <v>623</v>
      </c>
      <c r="Z145" s="120"/>
    </row>
    <row r="146" spans="1:26">
      <c r="A146" s="83">
        <v>45875</v>
      </c>
      <c r="B146" s="83" t="str">
        <f>IF(ISBLANK(Tableau330[[#This Row],[DATE ]]),"",UPPER(PROPER(TEXT(Tableau330[[#This Row],[DATE ]],"mmmm yyyy"))))</f>
        <v>AOÛT 2025</v>
      </c>
      <c r="C146" s="83" t="s">
        <v>870</v>
      </c>
      <c r="D146" s="120" t="s">
        <v>1367</v>
      </c>
      <c r="E146" s="82" t="s">
        <v>872</v>
      </c>
      <c r="F146" s="120" t="s">
        <v>873</v>
      </c>
      <c r="G146" s="82" t="s">
        <v>822</v>
      </c>
      <c r="H146" s="82" t="s">
        <v>1368</v>
      </c>
      <c r="J146" s="121"/>
      <c r="K146" s="121"/>
      <c r="L146" s="121"/>
      <c r="M146" s="122">
        <v>300000</v>
      </c>
      <c r="N146" s="122">
        <f>+IF(Tableau330[[#This Row],[CODE TVA]]="",0,ROUND(Tableau330[[#This Row],[MONTANT HT]]*0.18*Tableau330[[#This Row],[PRORATA D]],1))</f>
        <v>0</v>
      </c>
      <c r="O146" s="122">
        <f>+IFERROR(Tableau330[[#This Row],[MONTANT HT]]+Tableau330[[#This Row],[TVA]],0)</f>
        <v>300000</v>
      </c>
      <c r="P146" s="122"/>
      <c r="Q146" s="122"/>
      <c r="R146" s="122">
        <f>+Tableau330[[#This Row],[MONTANT TTC]]+Tableau330[[#This Row],[TIMBRE ]]+Tableau330[[#This Row],[AUTRES TAXES]]</f>
        <v>300000</v>
      </c>
      <c r="S146" s="122">
        <v>300000</v>
      </c>
      <c r="T146" s="122">
        <f>+ROUND(Tableau330[[#This Row],[NET A PAYER]],0)-Tableau330[[#This Row],[MONTANT PAYE]]</f>
        <v>0</v>
      </c>
      <c r="U146" s="122"/>
      <c r="V146" s="123">
        <f>+Tableau330[[#This Row],[DELAI_PAIEMENT]]+Tableau330[[#This Row],[DATE ]]</f>
        <v>45875</v>
      </c>
      <c r="X146" s="82" t="s">
        <v>1337</v>
      </c>
      <c r="Y146" s="82" t="s">
        <v>617</v>
      </c>
      <c r="Z146" s="120" t="s">
        <v>1369</v>
      </c>
    </row>
    <row r="147" spans="1:26">
      <c r="A147" s="83">
        <v>45875</v>
      </c>
      <c r="B147" s="83" t="str">
        <f>IF(ISBLANK(Tableau330[[#This Row],[DATE ]]),"",UPPER(PROPER(TEXT(Tableau330[[#This Row],[DATE ]],"mmmm yyyy"))))</f>
        <v>AOÛT 2025</v>
      </c>
      <c r="C147" s="83" t="s">
        <v>824</v>
      </c>
      <c r="D147" s="120" t="s">
        <v>1370</v>
      </c>
      <c r="E147" s="82" t="s">
        <v>904</v>
      </c>
      <c r="F147" s="120" t="s">
        <v>905</v>
      </c>
      <c r="G147" s="82" t="s">
        <v>822</v>
      </c>
      <c r="H147" s="82" t="s">
        <v>1371</v>
      </c>
      <c r="I147" s="82" t="s">
        <v>12</v>
      </c>
      <c r="J147" s="121">
        <v>1</v>
      </c>
      <c r="K147" s="121"/>
      <c r="L147" s="121"/>
      <c r="M147" s="122">
        <v>4237</v>
      </c>
      <c r="N147" s="122">
        <f>+IF(Tableau330[[#This Row],[CODE TVA]]="",0,ROUND(Tableau330[[#This Row],[MONTANT HT]]*0.18*Tableau330[[#This Row],[PRORATA D]],1))</f>
        <v>762.7</v>
      </c>
      <c r="O147" s="122">
        <f>+IFERROR(Tableau330[[#This Row],[MONTANT HT]]+Tableau330[[#This Row],[TVA]],0)</f>
        <v>4999.7</v>
      </c>
      <c r="P147" s="122"/>
      <c r="Q147" s="122"/>
      <c r="R147" s="122">
        <f>+Tableau330[[#This Row],[MONTANT TTC]]+Tableau330[[#This Row],[TIMBRE ]]+Tableau330[[#This Row],[AUTRES TAXES]]</f>
        <v>4999.7</v>
      </c>
      <c r="S147" s="122">
        <v>5000</v>
      </c>
      <c r="T147" s="122">
        <f>+ROUND(Tableau330[[#This Row],[NET A PAYER]],0)-Tableau330[[#This Row],[MONTANT PAYE]]</f>
        <v>0</v>
      </c>
      <c r="U147" s="122"/>
      <c r="V147" s="123">
        <f>+Tableau330[[#This Row],[DELAI_PAIEMENT]]+Tableau330[[#This Row],[DATE ]]</f>
        <v>45875</v>
      </c>
      <c r="X147" s="82" t="s">
        <v>1337</v>
      </c>
      <c r="Y147" s="82" t="s">
        <v>623</v>
      </c>
      <c r="Z147" s="120"/>
    </row>
    <row r="148" spans="1:26">
      <c r="A148" s="83">
        <v>45876</v>
      </c>
      <c r="B148" s="83" t="str">
        <f>IF(ISBLANK(Tableau330[[#This Row],[DATE ]]),"",UPPER(PROPER(TEXT(Tableau330[[#This Row],[DATE ]],"mmmm yyyy"))))</f>
        <v>AOÛT 2025</v>
      </c>
      <c r="C148" s="83" t="s">
        <v>824</v>
      </c>
      <c r="D148" s="120" t="s">
        <v>1359</v>
      </c>
      <c r="E148" s="82" t="s">
        <v>937</v>
      </c>
      <c r="F148" s="120" t="s">
        <v>938</v>
      </c>
      <c r="G148" s="82" t="s">
        <v>822</v>
      </c>
      <c r="H148" s="82" t="s">
        <v>1360</v>
      </c>
      <c r="J148" s="121"/>
      <c r="K148" s="121"/>
      <c r="L148" s="121"/>
      <c r="M148" s="122">
        <v>105000</v>
      </c>
      <c r="N148" s="122">
        <f>+IF(Tableau330[[#This Row],[CODE TVA]]="",0,ROUND(Tableau330[[#This Row],[MONTANT HT]]*0.18*Tableau330[[#This Row],[PRORATA D]],1))</f>
        <v>0</v>
      </c>
      <c r="O148" s="122">
        <f>+IFERROR(Tableau330[[#This Row],[MONTANT HT]]+Tableau330[[#This Row],[TVA]],0)</f>
        <v>105000</v>
      </c>
      <c r="P148" s="122"/>
      <c r="Q148" s="122"/>
      <c r="R148" s="122">
        <f>+Tableau330[[#This Row],[MONTANT TTC]]+Tableau330[[#This Row],[TIMBRE ]]+Tableau330[[#This Row],[AUTRES TAXES]]</f>
        <v>105000</v>
      </c>
      <c r="S148" s="122"/>
      <c r="T148" s="122">
        <f>+ROUND(Tableau330[[#This Row],[NET A PAYER]],0)-Tableau330[[#This Row],[MONTANT PAYE]]</f>
        <v>105000</v>
      </c>
      <c r="U148" s="122"/>
      <c r="V148" s="123">
        <f>+Tableau330[[#This Row],[DELAI_PAIEMENT]]+Tableau330[[#This Row],[DATE ]]</f>
        <v>45876</v>
      </c>
      <c r="X148" s="82" t="s">
        <v>1337</v>
      </c>
      <c r="Y148" s="82" t="s">
        <v>623</v>
      </c>
      <c r="Z148" s="120"/>
    </row>
    <row r="149" spans="1:26">
      <c r="A149" s="83">
        <v>45876</v>
      </c>
      <c r="B149" s="83" t="str">
        <f>IF(ISBLANK(Tableau330[[#This Row],[DATE ]]),"",UPPER(PROPER(TEXT(Tableau330[[#This Row],[DATE ]],"mmmm yyyy"))))</f>
        <v>AOÛT 2025</v>
      </c>
      <c r="C149" s="83" t="s">
        <v>824</v>
      </c>
      <c r="D149" s="120" t="s">
        <v>1362</v>
      </c>
      <c r="E149" s="82" t="s">
        <v>832</v>
      </c>
      <c r="F149" s="120" t="s">
        <v>833</v>
      </c>
      <c r="G149" s="82" t="s">
        <v>822</v>
      </c>
      <c r="H149" s="82" t="s">
        <v>867</v>
      </c>
      <c r="J149" s="121"/>
      <c r="K149" s="121"/>
      <c r="L149" s="121"/>
      <c r="M149" s="122">
        <v>110350</v>
      </c>
      <c r="N149" s="122">
        <f>+IF(Tableau330[[#This Row],[CODE TVA]]="",0,ROUND(Tableau330[[#This Row],[MONTANT HT]]*0.18*Tableau330[[#This Row],[PRORATA D]],1))</f>
        <v>0</v>
      </c>
      <c r="O149" s="122">
        <f>+IFERROR(Tableau330[[#This Row],[MONTANT HT]]+Tableau330[[#This Row],[TVA]],0)</f>
        <v>110350</v>
      </c>
      <c r="P149" s="122"/>
      <c r="Q149" s="122"/>
      <c r="R149" s="122">
        <f>+Tableau330[[#This Row],[MONTANT TTC]]+Tableau330[[#This Row],[TIMBRE ]]+Tableau330[[#This Row],[AUTRES TAXES]]</f>
        <v>110350</v>
      </c>
      <c r="S149" s="122">
        <v>110350</v>
      </c>
      <c r="T149" s="122">
        <f>+ROUND(Tableau330[[#This Row],[NET A PAYER]],0)-Tableau330[[#This Row],[MONTANT PAYE]]</f>
        <v>0</v>
      </c>
      <c r="U149" s="122"/>
      <c r="V149" s="123">
        <f>+Tableau330[[#This Row],[DELAI_PAIEMENT]]+Tableau330[[#This Row],[DATE ]]</f>
        <v>45876</v>
      </c>
      <c r="X149" s="82" t="s">
        <v>1337</v>
      </c>
      <c r="Y149" s="82" t="s">
        <v>623</v>
      </c>
      <c r="Z149" s="120"/>
    </row>
    <row r="150" spans="1:26">
      <c r="A150" s="83">
        <v>45880</v>
      </c>
      <c r="B150" s="83" t="str">
        <f>IF(ISBLANK(Tableau330[[#This Row],[DATE ]]),"",UPPER(PROPER(TEXT(Tableau330[[#This Row],[DATE ]],"mmmm yyyy"))))</f>
        <v>AOÛT 2025</v>
      </c>
      <c r="C150" s="83" t="s">
        <v>824</v>
      </c>
      <c r="D150" s="120" t="s">
        <v>1361</v>
      </c>
      <c r="E150" s="82" t="s">
        <v>832</v>
      </c>
      <c r="F150" s="120" t="s">
        <v>833</v>
      </c>
      <c r="G150" s="82" t="s">
        <v>822</v>
      </c>
      <c r="H150" s="82" t="s">
        <v>855</v>
      </c>
      <c r="J150" s="121"/>
      <c r="K150" s="121"/>
      <c r="L150" s="121"/>
      <c r="M150" s="122">
        <v>28000</v>
      </c>
      <c r="N150" s="122">
        <f>+IF(Tableau330[[#This Row],[CODE TVA]]="",0,ROUND(Tableau330[[#This Row],[MONTANT HT]]*0.18*Tableau330[[#This Row],[PRORATA D]],1))</f>
        <v>0</v>
      </c>
      <c r="O150" s="122">
        <f>+IFERROR(Tableau330[[#This Row],[MONTANT HT]]+Tableau330[[#This Row],[TVA]],0)</f>
        <v>28000</v>
      </c>
      <c r="P150" s="122"/>
      <c r="Q150" s="122"/>
      <c r="R150" s="122">
        <f>+Tableau330[[#This Row],[MONTANT TTC]]+Tableau330[[#This Row],[TIMBRE ]]+Tableau330[[#This Row],[AUTRES TAXES]]</f>
        <v>28000</v>
      </c>
      <c r="S150" s="122">
        <v>28000</v>
      </c>
      <c r="T150" s="122">
        <f>+ROUND(Tableau330[[#This Row],[NET A PAYER]],0)-Tableau330[[#This Row],[MONTANT PAYE]]</f>
        <v>0</v>
      </c>
      <c r="U150" s="122"/>
      <c r="V150" s="123">
        <f>+Tableau330[[#This Row],[DELAI_PAIEMENT]]+Tableau330[[#This Row],[DATE ]]</f>
        <v>45880</v>
      </c>
      <c r="X150" s="82" t="s">
        <v>1337</v>
      </c>
      <c r="Y150" s="82" t="s">
        <v>623</v>
      </c>
      <c r="Z150" s="120"/>
    </row>
    <row r="151" spans="1:26">
      <c r="A151" s="83">
        <v>45881</v>
      </c>
      <c r="B151" s="83" t="str">
        <f>IF(ISBLANK(Tableau330[[#This Row],[DATE ]]),"",UPPER(PROPER(TEXT(Tableau330[[#This Row],[DATE ]],"mmmm yyyy"))))</f>
        <v>AOÛT 2025</v>
      </c>
      <c r="C151" s="83" t="s">
        <v>824</v>
      </c>
      <c r="D151" s="120" t="s">
        <v>1387</v>
      </c>
      <c r="E151" s="82" t="s">
        <v>1056</v>
      </c>
      <c r="F151" s="120" t="s">
        <v>1057</v>
      </c>
      <c r="G151" s="82" t="s">
        <v>822</v>
      </c>
      <c r="H151" s="82" t="s">
        <v>1388</v>
      </c>
      <c r="I151" s="82" t="s">
        <v>12</v>
      </c>
      <c r="J151" s="121">
        <v>1</v>
      </c>
      <c r="K151" s="121"/>
      <c r="L151" s="121"/>
      <c r="M151" s="122">
        <v>777320</v>
      </c>
      <c r="N151" s="122">
        <f>+IF(Tableau330[[#This Row],[CODE TVA]]="",0,ROUND(Tableau330[[#This Row],[MONTANT HT]]*0.18*Tableau330[[#This Row],[PRORATA D]],1))</f>
        <v>139917.6</v>
      </c>
      <c r="O151" s="122">
        <f>+IFERROR(Tableau330[[#This Row],[MONTANT HT]]+Tableau330[[#This Row],[TVA]],0)</f>
        <v>917237.6</v>
      </c>
      <c r="P151" s="122"/>
      <c r="Q151" s="122"/>
      <c r="R151" s="122">
        <f>+Tableau330[[#This Row],[MONTANT TTC]]+Tableau330[[#This Row],[TIMBRE ]]+Tableau330[[#This Row],[AUTRES TAXES]]</f>
        <v>917237.6</v>
      </c>
      <c r="S151" s="122"/>
      <c r="T151" s="122">
        <f>+ROUND(Tableau330[[#This Row],[NET A PAYER]],0)-Tableau330[[#This Row],[MONTANT PAYE]]</f>
        <v>917238</v>
      </c>
      <c r="U151" s="122"/>
      <c r="V151" s="123">
        <f>+Tableau330[[#This Row],[DELAI_PAIEMENT]]+Tableau330[[#This Row],[DATE ]]</f>
        <v>45881</v>
      </c>
      <c r="X151" s="82" t="s">
        <v>699</v>
      </c>
      <c r="Z151" s="120"/>
    </row>
    <row r="152" spans="1:26">
      <c r="A152" s="83">
        <v>45881</v>
      </c>
      <c r="B152" s="83" t="str">
        <f>IF(ISBLANK(Tableau330[[#This Row],[DATE ]]),"",UPPER(PROPER(TEXT(Tableau330[[#This Row],[DATE ]],"mmmm yyyy"))))</f>
        <v>AOÛT 2025</v>
      </c>
      <c r="C152" s="83" t="s">
        <v>824</v>
      </c>
      <c r="D152" s="120" t="s">
        <v>1389</v>
      </c>
      <c r="E152" s="82" t="s">
        <v>1056</v>
      </c>
      <c r="F152" s="120" t="s">
        <v>1057</v>
      </c>
      <c r="G152" s="82" t="s">
        <v>822</v>
      </c>
      <c r="H152" s="82" t="s">
        <v>1390</v>
      </c>
      <c r="I152" s="82" t="s">
        <v>12</v>
      </c>
      <c r="J152" s="121">
        <v>1</v>
      </c>
      <c r="K152" s="121"/>
      <c r="L152" s="121"/>
      <c r="M152" s="122">
        <v>452833</v>
      </c>
      <c r="N152" s="122">
        <f>+IF(Tableau330[[#This Row],[CODE TVA]]="",0,ROUND(Tableau330[[#This Row],[MONTANT HT]]*0.18*Tableau330[[#This Row],[PRORATA D]],1))</f>
        <v>81509.899999999994</v>
      </c>
      <c r="O152" s="122">
        <f>+IFERROR(Tableau330[[#This Row],[MONTANT HT]]+Tableau330[[#This Row],[TVA]],0)</f>
        <v>534342.9</v>
      </c>
      <c r="P152" s="122"/>
      <c r="Q152" s="122"/>
      <c r="R152" s="122">
        <f>+Tableau330[[#This Row],[MONTANT TTC]]+Tableau330[[#This Row],[TIMBRE ]]+Tableau330[[#This Row],[AUTRES TAXES]]</f>
        <v>534342.9</v>
      </c>
      <c r="S152" s="122"/>
      <c r="T152" s="122">
        <f>+ROUND(Tableau330[[#This Row],[NET A PAYER]],0)-Tableau330[[#This Row],[MONTANT PAYE]]</f>
        <v>534343</v>
      </c>
      <c r="U152" s="122"/>
      <c r="V152" s="123">
        <f>+Tableau330[[#This Row],[DELAI_PAIEMENT]]+Tableau330[[#This Row],[DATE ]]</f>
        <v>45881</v>
      </c>
      <c r="X152" s="82" t="s">
        <v>699</v>
      </c>
      <c r="Z152" s="120"/>
    </row>
    <row r="153" spans="1:26">
      <c r="A153" s="83">
        <v>45882</v>
      </c>
      <c r="B153" s="83" t="str">
        <f>IF(ISBLANK(Tableau330[[#This Row],[DATE ]]),"",UPPER(PROPER(TEXT(Tableau330[[#This Row],[DATE ]],"mmmm yyyy"))))</f>
        <v>AOÛT 2025</v>
      </c>
      <c r="C153" s="83" t="s">
        <v>824</v>
      </c>
      <c r="D153" s="120" t="s">
        <v>1363</v>
      </c>
      <c r="E153" s="82" t="s">
        <v>1364</v>
      </c>
      <c r="F153" s="120" t="s">
        <v>1365</v>
      </c>
      <c r="G153" s="82" t="s">
        <v>822</v>
      </c>
      <c r="H153" s="82" t="s">
        <v>1366</v>
      </c>
      <c r="I153" s="82" t="s">
        <v>12</v>
      </c>
      <c r="J153" s="121">
        <v>1</v>
      </c>
      <c r="K153" s="121"/>
      <c r="L153" s="121"/>
      <c r="M153" s="122">
        <v>1135593</v>
      </c>
      <c r="N153" s="122">
        <f>+IF(Tableau330[[#This Row],[CODE TVA]]="",0,ROUND(Tableau330[[#This Row],[MONTANT HT]]*0.18*Tableau330[[#This Row],[PRORATA D]],1))</f>
        <v>204406.7</v>
      </c>
      <c r="O153" s="122">
        <f>+IFERROR(Tableau330[[#This Row],[MONTANT HT]]+Tableau330[[#This Row],[TVA]],0)</f>
        <v>1339999.7</v>
      </c>
      <c r="P153" s="122">
        <v>2000</v>
      </c>
      <c r="Q153" s="122"/>
      <c r="R153" s="122">
        <f>+Tableau330[[#This Row],[MONTANT TTC]]+Tableau330[[#This Row],[TIMBRE ]]+Tableau330[[#This Row],[AUTRES TAXES]]</f>
        <v>1341999.7</v>
      </c>
      <c r="S153" s="122">
        <v>1342000</v>
      </c>
      <c r="T153" s="122">
        <f>+ROUND(Tableau330[[#This Row],[NET A PAYER]],0)-Tableau330[[#This Row],[MONTANT PAYE]]</f>
        <v>0</v>
      </c>
      <c r="U153" s="122"/>
      <c r="V153" s="123">
        <f>+Tableau330[[#This Row],[DELAI_PAIEMENT]]+Tableau330[[#This Row],[DATE ]]</f>
        <v>45882</v>
      </c>
      <c r="X153" s="82" t="s">
        <v>1337</v>
      </c>
      <c r="Y153" s="82" t="s">
        <v>623</v>
      </c>
      <c r="Z153" s="120"/>
    </row>
    <row r="154" spans="1:26">
      <c r="A154" s="83">
        <v>45883</v>
      </c>
      <c r="B154" s="83" t="str">
        <f>IF(ISBLANK(Tableau330[[#This Row],[DATE ]]),"",UPPER(PROPER(TEXT(Tableau330[[#This Row],[DATE ]],"mmmm yyyy"))))</f>
        <v>AOÛT 2025</v>
      </c>
      <c r="C154" s="83" t="s">
        <v>824</v>
      </c>
      <c r="D154" s="120" t="s">
        <v>1343</v>
      </c>
      <c r="E154" s="82" t="s">
        <v>1344</v>
      </c>
      <c r="F154" s="120" t="s">
        <v>1345</v>
      </c>
      <c r="H154" s="82" t="s">
        <v>1346</v>
      </c>
      <c r="J154" s="121"/>
      <c r="K154" s="121"/>
      <c r="L154" s="121"/>
      <c r="M154" s="122">
        <v>4500000</v>
      </c>
      <c r="N154" s="122">
        <f>+IF(Tableau330[[#This Row],[CODE TVA]]="",0,ROUND(Tableau330[[#This Row],[MONTANT HT]]*0.18*Tableau330[[#This Row],[PRORATA D]],1))</f>
        <v>0</v>
      </c>
      <c r="O154" s="122">
        <f>+IFERROR(Tableau330[[#This Row],[MONTANT HT]]+Tableau330[[#This Row],[TVA]],0)</f>
        <v>4500000</v>
      </c>
      <c r="P154" s="122"/>
      <c r="Q154" s="122"/>
      <c r="R154" s="122">
        <f>+Tableau330[[#This Row],[MONTANT TTC]]+Tableau330[[#This Row],[TIMBRE ]]+Tableau330[[#This Row],[AUTRES TAXES]]</f>
        <v>4500000</v>
      </c>
      <c r="S154" s="122"/>
      <c r="T154" s="122">
        <f>+ROUND(Tableau330[[#This Row],[NET A PAYER]],0)-Tableau330[[#This Row],[MONTANT PAYE]]</f>
        <v>4500000</v>
      </c>
      <c r="U154" s="122"/>
      <c r="V154" s="123">
        <f>+Tableau330[[#This Row],[DELAI_PAIEMENT]]+Tableau330[[#This Row],[DATE ]]</f>
        <v>45883</v>
      </c>
      <c r="Z154" s="120"/>
    </row>
    <row r="155" spans="1:26">
      <c r="A155" s="83">
        <v>45883</v>
      </c>
      <c r="B155" s="83" t="str">
        <f>IF(ISBLANK(Tableau330[[#This Row],[DATE ]]),"",UPPER(PROPER(TEXT(Tableau330[[#This Row],[DATE ]],"mmmm yyyy"))))</f>
        <v>AOÛT 2025</v>
      </c>
      <c r="C155" s="83" t="s">
        <v>824</v>
      </c>
      <c r="D155" s="120" t="s">
        <v>1391</v>
      </c>
      <c r="E155" s="82" t="s">
        <v>1056</v>
      </c>
      <c r="F155" s="120" t="s">
        <v>1057</v>
      </c>
      <c r="G155" s="82" t="s">
        <v>822</v>
      </c>
      <c r="H155" s="82" t="s">
        <v>1392</v>
      </c>
      <c r="I155" s="82" t="s">
        <v>12</v>
      </c>
      <c r="J155" s="121">
        <v>1</v>
      </c>
      <c r="K155" s="121"/>
      <c r="L155" s="121"/>
      <c r="M155" s="122">
        <v>191542</v>
      </c>
      <c r="N155" s="122">
        <f>+IF(Tableau330[[#This Row],[CODE TVA]]="",0,ROUND(Tableau330[[#This Row],[MONTANT HT]]*0.18*Tableau330[[#This Row],[PRORATA D]],1))</f>
        <v>34477.599999999999</v>
      </c>
      <c r="O155" s="122">
        <f>+IFERROR(Tableau330[[#This Row],[MONTANT HT]]+Tableau330[[#This Row],[TVA]],0)</f>
        <v>226019.6</v>
      </c>
      <c r="P155" s="122"/>
      <c r="Q155" s="122"/>
      <c r="R155" s="122">
        <f>+Tableau330[[#This Row],[MONTANT TTC]]+Tableau330[[#This Row],[TIMBRE ]]+Tableau330[[#This Row],[AUTRES TAXES]]</f>
        <v>226019.6</v>
      </c>
      <c r="S155" s="122"/>
      <c r="T155" s="122">
        <f>+ROUND(Tableau330[[#This Row],[NET A PAYER]],0)-Tableau330[[#This Row],[MONTANT PAYE]]</f>
        <v>226020</v>
      </c>
      <c r="U155" s="122"/>
      <c r="V155" s="123">
        <f>+Tableau330[[#This Row],[DELAI_PAIEMENT]]+Tableau330[[#This Row],[DATE ]]</f>
        <v>45883</v>
      </c>
      <c r="X155" s="82" t="s">
        <v>699</v>
      </c>
      <c r="Z155" s="120"/>
    </row>
    <row r="156" spans="1:26">
      <c r="A156" s="83">
        <v>45883</v>
      </c>
      <c r="B156" s="83" t="str">
        <f>IF(ISBLANK(Tableau330[[#This Row],[DATE ]]),"",UPPER(PROPER(TEXT(Tableau330[[#This Row],[DATE ]],"mmmm yyyy"))))</f>
        <v>AOÛT 2025</v>
      </c>
      <c r="C156" s="83" t="s">
        <v>824</v>
      </c>
      <c r="D156" s="120" t="s">
        <v>1393</v>
      </c>
      <c r="E156" s="82" t="s">
        <v>1056</v>
      </c>
      <c r="F156" s="120" t="s">
        <v>1057</v>
      </c>
      <c r="G156" s="82" t="s">
        <v>822</v>
      </c>
      <c r="H156" s="82" t="s">
        <v>1394</v>
      </c>
      <c r="I156" s="82" t="s">
        <v>12</v>
      </c>
      <c r="J156" s="121">
        <v>1</v>
      </c>
      <c r="K156" s="121"/>
      <c r="L156" s="121"/>
      <c r="M156" s="122">
        <v>136460</v>
      </c>
      <c r="N156" s="122">
        <f>+IF(Tableau330[[#This Row],[CODE TVA]]="",0,ROUND(Tableau330[[#This Row],[MONTANT HT]]*0.18*Tableau330[[#This Row],[PRORATA D]],1))</f>
        <v>24562.799999999999</v>
      </c>
      <c r="O156" s="122">
        <f>+IFERROR(Tableau330[[#This Row],[MONTANT HT]]+Tableau330[[#This Row],[TVA]],0)</f>
        <v>161022.79999999999</v>
      </c>
      <c r="P156" s="122"/>
      <c r="Q156" s="122"/>
      <c r="R156" s="122">
        <f>+Tableau330[[#This Row],[MONTANT TTC]]+Tableau330[[#This Row],[TIMBRE ]]+Tableau330[[#This Row],[AUTRES TAXES]]</f>
        <v>161022.79999999999</v>
      </c>
      <c r="S156" s="122"/>
      <c r="T156" s="122">
        <f>+ROUND(Tableau330[[#This Row],[NET A PAYER]],0)-Tableau330[[#This Row],[MONTANT PAYE]]</f>
        <v>161023</v>
      </c>
      <c r="U156" s="122"/>
      <c r="V156" s="123">
        <f>+Tableau330[[#This Row],[DELAI_PAIEMENT]]+Tableau330[[#This Row],[DATE ]]</f>
        <v>45883</v>
      </c>
      <c r="X156" s="82" t="s">
        <v>699</v>
      </c>
      <c r="Z156" s="120"/>
    </row>
    <row r="157" spans="1:26">
      <c r="A157" s="83">
        <v>45888</v>
      </c>
      <c r="B157" s="83" t="str">
        <f>IF(ISBLANK(Tableau330[[#This Row],[DATE ]]),"",UPPER(PROPER(TEXT(Tableau330[[#This Row],[DATE ]],"mmmm yyyy"))))</f>
        <v>AOÛT 2025</v>
      </c>
      <c r="C157" s="83" t="s">
        <v>824</v>
      </c>
      <c r="D157" s="120" t="s">
        <v>1347</v>
      </c>
      <c r="E157" s="82" t="s">
        <v>1265</v>
      </c>
      <c r="F157" s="120" t="s">
        <v>1348</v>
      </c>
      <c r="G157" s="82" t="s">
        <v>822</v>
      </c>
      <c r="H157" s="82" t="s">
        <v>1349</v>
      </c>
      <c r="I157" s="82" t="s">
        <v>12</v>
      </c>
      <c r="J157" s="121">
        <v>1</v>
      </c>
      <c r="K157" s="121"/>
      <c r="L157" s="121"/>
      <c r="M157" s="122">
        <v>84746</v>
      </c>
      <c r="N157" s="122">
        <f>+IF(Tableau330[[#This Row],[CODE TVA]]="",0,ROUND(Tableau330[[#This Row],[MONTANT HT]]*0.18*Tableau330[[#This Row],[PRORATA D]],1))</f>
        <v>15254.3</v>
      </c>
      <c r="O157" s="122">
        <f>+IFERROR(Tableau330[[#This Row],[MONTANT HT]]+Tableau330[[#This Row],[TVA]],0)</f>
        <v>100000.3</v>
      </c>
      <c r="P157" s="122"/>
      <c r="Q157" s="122"/>
      <c r="R157" s="122">
        <f>+Tableau330[[#This Row],[MONTANT TTC]]+Tableau330[[#This Row],[TIMBRE ]]+Tableau330[[#This Row],[AUTRES TAXES]]</f>
        <v>100000.3</v>
      </c>
      <c r="S157" s="122">
        <v>100000</v>
      </c>
      <c r="T157" s="122">
        <f>+ROUND(Tableau330[[#This Row],[NET A PAYER]],0)-Tableau330[[#This Row],[MONTANT PAYE]]</f>
        <v>0</v>
      </c>
      <c r="U157" s="122"/>
      <c r="V157" s="123">
        <f>+Tableau330[[#This Row],[DELAI_PAIEMENT]]+Tableau330[[#This Row],[DATE ]]</f>
        <v>45888</v>
      </c>
      <c r="X157" s="82" t="s">
        <v>1337</v>
      </c>
      <c r="Y157" s="82" t="s">
        <v>623</v>
      </c>
      <c r="Z157" s="120"/>
    </row>
    <row r="158" spans="1:26">
      <c r="A158" s="83">
        <v>45888</v>
      </c>
      <c r="B158" s="83" t="str">
        <f>IF(ISBLANK(Tableau330[[#This Row],[DATE ]]),"",UPPER(PROPER(TEXT(Tableau330[[#This Row],[DATE ]],"mmmm yyyy"))))</f>
        <v>AOÛT 2025</v>
      </c>
      <c r="C158" s="83" t="s">
        <v>824</v>
      </c>
      <c r="D158" s="120" t="s">
        <v>1372</v>
      </c>
      <c r="E158" s="82" t="s">
        <v>1256</v>
      </c>
      <c r="F158" s="120" t="s">
        <v>1257</v>
      </c>
      <c r="G158" s="82" t="s">
        <v>822</v>
      </c>
      <c r="H158" s="82" t="s">
        <v>1373</v>
      </c>
      <c r="I158" s="82" t="s">
        <v>12</v>
      </c>
      <c r="J158" s="121">
        <v>1</v>
      </c>
      <c r="K158" s="121"/>
      <c r="L158" s="121"/>
      <c r="M158" s="122">
        <v>51390</v>
      </c>
      <c r="N158" s="122">
        <f>+IF(Tableau330[[#This Row],[CODE TVA]]="",0,ROUND(Tableau330[[#This Row],[MONTANT HT]]*0.18*Tableau330[[#This Row],[PRORATA D]],1))</f>
        <v>9250.2000000000007</v>
      </c>
      <c r="O158" s="122">
        <f>+IFERROR(Tableau330[[#This Row],[MONTANT HT]]+Tableau330[[#This Row],[TVA]],0)</f>
        <v>60640.2</v>
      </c>
      <c r="P158" s="122">
        <v>100</v>
      </c>
      <c r="Q158" s="122"/>
      <c r="R158" s="122">
        <f>+Tableau330[[#This Row],[MONTANT TTC]]+Tableau330[[#This Row],[TIMBRE ]]+Tableau330[[#This Row],[AUTRES TAXES]]</f>
        <v>60740.2</v>
      </c>
      <c r="S158" s="122">
        <v>60740</v>
      </c>
      <c r="T158" s="122">
        <f>+ROUND(Tableau330[[#This Row],[NET A PAYER]],0)-Tableau330[[#This Row],[MONTANT PAYE]]</f>
        <v>0</v>
      </c>
      <c r="U158" s="122"/>
      <c r="V158" s="123">
        <f>+Tableau330[[#This Row],[DELAI_PAIEMENT]]+Tableau330[[#This Row],[DATE ]]</f>
        <v>45888</v>
      </c>
      <c r="X158" s="82" t="s">
        <v>1337</v>
      </c>
      <c r="Y158" s="82" t="s">
        <v>623</v>
      </c>
      <c r="Z158" s="120"/>
    </row>
    <row r="159" spans="1:26">
      <c r="A159" s="83">
        <v>45889</v>
      </c>
      <c r="B159" s="83" t="str">
        <f>IF(ISBLANK(Tableau330[[#This Row],[DATE ]]),"",UPPER(PROPER(TEXT(Tableau330[[#This Row],[DATE ]],"mmmm yyyy"))))</f>
        <v>AOÛT 2025</v>
      </c>
      <c r="C159" s="83" t="s">
        <v>824</v>
      </c>
      <c r="D159" s="120" t="s">
        <v>1374</v>
      </c>
      <c r="E159" s="82" t="s">
        <v>1375</v>
      </c>
      <c r="F159" s="120" t="s">
        <v>938</v>
      </c>
      <c r="G159" s="82" t="s">
        <v>822</v>
      </c>
      <c r="H159" s="82" t="s">
        <v>1376</v>
      </c>
      <c r="J159" s="121"/>
      <c r="K159" s="121"/>
      <c r="L159" s="121"/>
      <c r="M159" s="122">
        <v>28000</v>
      </c>
      <c r="N159" s="122">
        <f>+IF(Tableau330[[#This Row],[CODE TVA]]="",0,ROUND(Tableau330[[#This Row],[MONTANT HT]]*0.18*Tableau330[[#This Row],[PRORATA D]],1))</f>
        <v>0</v>
      </c>
      <c r="O159" s="122">
        <f>+IFERROR(Tableau330[[#This Row],[MONTANT HT]]+Tableau330[[#This Row],[TVA]],0)</f>
        <v>28000</v>
      </c>
      <c r="P159" s="122"/>
      <c r="Q159" s="122"/>
      <c r="R159" s="122">
        <f>+Tableau330[[#This Row],[MONTANT TTC]]+Tableau330[[#This Row],[TIMBRE ]]+Tableau330[[#This Row],[AUTRES TAXES]]</f>
        <v>28000</v>
      </c>
      <c r="S159" s="122">
        <v>28000</v>
      </c>
      <c r="T159" s="122">
        <f>+ROUND(Tableau330[[#This Row],[NET A PAYER]],0)-Tableau330[[#This Row],[MONTANT PAYE]]</f>
        <v>0</v>
      </c>
      <c r="U159" s="122"/>
      <c r="V159" s="123">
        <f>+Tableau330[[#This Row],[DELAI_PAIEMENT]]+Tableau330[[#This Row],[DATE ]]</f>
        <v>45889</v>
      </c>
      <c r="X159" s="82" t="s">
        <v>1337</v>
      </c>
      <c r="Y159" s="82" t="s">
        <v>623</v>
      </c>
      <c r="Z159" s="120"/>
    </row>
    <row r="160" spans="1:26">
      <c r="A160" s="83">
        <v>45892</v>
      </c>
      <c r="B160" s="83" t="str">
        <f>IF(ISBLANK(Tableau330[[#This Row],[DATE ]]),"",UPPER(PROPER(TEXT(Tableau330[[#This Row],[DATE ]],"mmmm yyyy"))))</f>
        <v>AOÛT 2025</v>
      </c>
      <c r="C160" s="83" t="s">
        <v>824</v>
      </c>
      <c r="D160" s="120" t="s">
        <v>1350</v>
      </c>
      <c r="E160" s="82" t="s">
        <v>1351</v>
      </c>
      <c r="F160" s="120" t="s">
        <v>1352</v>
      </c>
      <c r="G160" s="82" t="s">
        <v>951</v>
      </c>
      <c r="H160" s="82" t="s">
        <v>1353</v>
      </c>
      <c r="J160" s="121"/>
      <c r="K160" s="121"/>
      <c r="L160" s="121"/>
      <c r="M160" s="122">
        <v>13000</v>
      </c>
      <c r="N160" s="122">
        <f>+IF(Tableau330[[#This Row],[CODE TVA]]="",0,ROUND(Tableau330[[#This Row],[MONTANT HT]]*0.18*Tableau330[[#This Row],[PRORATA D]],1))</f>
        <v>0</v>
      </c>
      <c r="O160" s="122">
        <f>+IFERROR(Tableau330[[#This Row],[MONTANT HT]]+Tableau330[[#This Row],[TVA]],0)</f>
        <v>13000</v>
      </c>
      <c r="P160" s="122"/>
      <c r="Q160" s="122"/>
      <c r="R160" s="122">
        <f>+Tableau330[[#This Row],[MONTANT TTC]]+Tableau330[[#This Row],[TIMBRE ]]+Tableau330[[#This Row],[AUTRES TAXES]]</f>
        <v>13000</v>
      </c>
      <c r="S160" s="122">
        <v>13000</v>
      </c>
      <c r="T160" s="122">
        <f>+ROUND(Tableau330[[#This Row],[NET A PAYER]],0)-Tableau330[[#This Row],[MONTANT PAYE]]</f>
        <v>0</v>
      </c>
      <c r="U160" s="122"/>
      <c r="V160" s="123">
        <f>+Tableau330[[#This Row],[DELAI_PAIEMENT]]+Tableau330[[#This Row],[DATE ]]</f>
        <v>45892</v>
      </c>
      <c r="X160" s="82" t="s">
        <v>1337</v>
      </c>
      <c r="Y160" s="82" t="s">
        <v>623</v>
      </c>
      <c r="Z160" s="120"/>
    </row>
    <row r="161" spans="1:27">
      <c r="A161" s="83">
        <v>45892</v>
      </c>
      <c r="B161" s="83" t="str">
        <f>IF(ISBLANK(Tableau330[[#This Row],[DATE ]]),"",UPPER(PROPER(TEXT(Tableau330[[#This Row],[DATE ]],"mmmm yyyy"))))</f>
        <v>AOÛT 2025</v>
      </c>
      <c r="C161" s="83" t="s">
        <v>824</v>
      </c>
      <c r="D161" s="120" t="s">
        <v>1377</v>
      </c>
      <c r="E161" s="82" t="s">
        <v>1271</v>
      </c>
      <c r="F161" s="120" t="s">
        <v>1272</v>
      </c>
      <c r="G161" s="82" t="s">
        <v>822</v>
      </c>
      <c r="H161" s="82" t="s">
        <v>1378</v>
      </c>
      <c r="I161" s="82" t="s">
        <v>12</v>
      </c>
      <c r="J161" s="121">
        <v>1</v>
      </c>
      <c r="K161" s="121"/>
      <c r="L161" s="121"/>
      <c r="M161" s="122">
        <f>60000/1.18</f>
        <v>50847.457627118645</v>
      </c>
      <c r="N161" s="122">
        <f>+IF(Tableau330[[#This Row],[CODE TVA]]="",0,ROUND(Tableau330[[#This Row],[MONTANT HT]]*0.18*Tableau330[[#This Row],[PRORATA D]],1))</f>
        <v>9152.5</v>
      </c>
      <c r="O161" s="122">
        <f>+IFERROR(Tableau330[[#This Row],[MONTANT HT]]+Tableau330[[#This Row],[TVA]],0)</f>
        <v>59999.957627118645</v>
      </c>
      <c r="P161" s="122"/>
      <c r="Q161" s="122"/>
      <c r="R161" s="122">
        <f>+Tableau330[[#This Row],[MONTANT TTC]]+Tableau330[[#This Row],[TIMBRE ]]+Tableau330[[#This Row],[AUTRES TAXES]]</f>
        <v>59999.957627118645</v>
      </c>
      <c r="S161" s="122">
        <v>60000</v>
      </c>
      <c r="T161" s="122">
        <f>+ROUND(Tableau330[[#This Row],[NET A PAYER]],0)-Tableau330[[#This Row],[MONTANT PAYE]]</f>
        <v>0</v>
      </c>
      <c r="U161" s="122"/>
      <c r="V161" s="123">
        <f>+Tableau330[[#This Row],[DELAI_PAIEMENT]]+Tableau330[[#This Row],[DATE ]]</f>
        <v>45892</v>
      </c>
      <c r="X161" s="82" t="s">
        <v>1337</v>
      </c>
      <c r="Y161" s="82" t="s">
        <v>623</v>
      </c>
      <c r="Z161" s="120"/>
    </row>
    <row r="162" spans="1:27">
      <c r="A162" s="83">
        <v>45896</v>
      </c>
      <c r="B162" s="83" t="str">
        <f>IF(ISBLANK(Tableau330[[#This Row],[DATE ]]),"",UPPER(PROPER(TEXT(Tableau330[[#This Row],[DATE ]],"mmmm yyyy"))))</f>
        <v>AOÛT 2025</v>
      </c>
      <c r="C162" s="83" t="s">
        <v>824</v>
      </c>
      <c r="D162" s="120" t="s">
        <v>1379</v>
      </c>
      <c r="E162" s="82" t="s">
        <v>1299</v>
      </c>
      <c r="F162" s="120" t="s">
        <v>838</v>
      </c>
      <c r="G162" s="82" t="s">
        <v>828</v>
      </c>
      <c r="H162" s="82" t="s">
        <v>1380</v>
      </c>
      <c r="I162" s="82" t="s">
        <v>12</v>
      </c>
      <c r="J162" s="121">
        <v>1</v>
      </c>
      <c r="K162" s="121"/>
      <c r="L162" s="121"/>
      <c r="M162" s="122">
        <v>-2695000</v>
      </c>
      <c r="N162" s="122">
        <f>+IF(Tableau330[[#This Row],[CODE TVA]]="",0,ROUND(Tableau330[[#This Row],[MONTANT HT]]*0.18*Tableau330[[#This Row],[PRORATA D]],1))</f>
        <v>-485100</v>
      </c>
      <c r="O162" s="122">
        <f>+IFERROR(Tableau330[[#This Row],[MONTANT HT]]+Tableau330[[#This Row],[TVA]],0)</f>
        <v>-3180100</v>
      </c>
      <c r="P162" s="122"/>
      <c r="Q162" s="122"/>
      <c r="R162" s="122">
        <f>+Tableau330[[#This Row],[MONTANT TTC]]+Tableau330[[#This Row],[TIMBRE ]]+Tableau330[[#This Row],[AUTRES TAXES]]</f>
        <v>-3180100</v>
      </c>
      <c r="S162" s="122"/>
      <c r="T162" s="122">
        <f>+ROUND(Tableau330[[#This Row],[NET A PAYER]],0)-Tableau330[[#This Row],[MONTANT PAYE]]</f>
        <v>-3180100</v>
      </c>
      <c r="U162" s="122"/>
      <c r="V162" s="123">
        <f>+Tableau330[[#This Row],[DELAI_PAIEMENT]]+Tableau330[[#This Row],[DATE ]]</f>
        <v>45896</v>
      </c>
      <c r="X162" s="82" t="s">
        <v>699</v>
      </c>
      <c r="Z162" s="120"/>
      <c r="AA162" s="82" t="s">
        <v>1381</v>
      </c>
    </row>
    <row r="163" spans="1:27">
      <c r="A163" s="83">
        <v>45899</v>
      </c>
      <c r="B163" s="83" t="str">
        <f>IF(ISBLANK(Tableau330[[#This Row],[DATE ]]),"",UPPER(PROPER(TEXT(Tableau330[[#This Row],[DATE ]],"mmmm yyyy"))))</f>
        <v>AOÛT 2025</v>
      </c>
      <c r="C163" s="83" t="s">
        <v>824</v>
      </c>
      <c r="D163" s="120" t="s">
        <v>1382</v>
      </c>
      <c r="E163" s="82" t="s">
        <v>1383</v>
      </c>
      <c r="F163" s="120" t="s">
        <v>1384</v>
      </c>
      <c r="G163" s="82" t="s">
        <v>828</v>
      </c>
      <c r="H163" s="82" t="s">
        <v>1385</v>
      </c>
      <c r="I163" s="82" t="s">
        <v>12</v>
      </c>
      <c r="J163" s="121">
        <v>1</v>
      </c>
      <c r="K163" s="121"/>
      <c r="L163" s="121"/>
      <c r="M163" s="122">
        <f>860000/1.18</f>
        <v>728813.55932203389</v>
      </c>
      <c r="N163" s="122">
        <f>+IF(Tableau330[[#This Row],[CODE TVA]]="",0,ROUND(Tableau330[[#This Row],[MONTANT HT]]*0.18*Tableau330[[#This Row],[PRORATA D]],1))</f>
        <v>131186.4</v>
      </c>
      <c r="O163" s="122">
        <f>+IFERROR(Tableau330[[#This Row],[MONTANT HT]]+Tableau330[[#This Row],[TVA]],0)</f>
        <v>859999.95932203392</v>
      </c>
      <c r="P163" s="122"/>
      <c r="Q163" s="122"/>
      <c r="R163" s="122">
        <f>+Tableau330[[#This Row],[MONTANT TTC]]+Tableau330[[#This Row],[TIMBRE ]]+Tableau330[[#This Row],[AUTRES TAXES]]</f>
        <v>859999.95932203392</v>
      </c>
      <c r="S163" s="122">
        <v>860000</v>
      </c>
      <c r="T163" s="122">
        <f>+ROUND(Tableau330[[#This Row],[NET A PAYER]],0)-Tableau330[[#This Row],[MONTANT PAYE]]</f>
        <v>0</v>
      </c>
      <c r="U163" s="122"/>
      <c r="V163" s="123">
        <f>+Tableau330[[#This Row],[DELAI_PAIEMENT]]+Tableau330[[#This Row],[DATE ]]</f>
        <v>45899</v>
      </c>
      <c r="X163" s="82" t="s">
        <v>1337</v>
      </c>
      <c r="Y163" s="82" t="s">
        <v>623</v>
      </c>
      <c r="Z163" s="120"/>
    </row>
    <row r="164" spans="1:27">
      <c r="A164" s="83">
        <v>45899</v>
      </c>
      <c r="B164" s="83" t="str">
        <f>IF(ISBLANK(Tableau330[[#This Row],[DATE ]]),"",UPPER(PROPER(TEXT(Tableau330[[#This Row],[DATE ]],"mmmm yyyy"))))</f>
        <v>AOÛT 2025</v>
      </c>
      <c r="C164" s="83" t="s">
        <v>819</v>
      </c>
      <c r="D164" s="120" t="s">
        <v>877</v>
      </c>
      <c r="E164" s="82" t="s">
        <v>878</v>
      </c>
      <c r="F164" s="120"/>
      <c r="H164" s="82" t="s">
        <v>1386</v>
      </c>
      <c r="J164" s="121"/>
      <c r="K164" s="121"/>
      <c r="L164" s="121"/>
      <c r="M164" s="122">
        <v>100000</v>
      </c>
      <c r="N164" s="122">
        <f>+IF(Tableau330[[#This Row],[CODE TVA]]="",0,ROUND(Tableau330[[#This Row],[MONTANT HT]]*0.18*Tableau330[[#This Row],[PRORATA D]],1))</f>
        <v>0</v>
      </c>
      <c r="O164" s="122">
        <f>+IFERROR(Tableau330[[#This Row],[MONTANT HT]]+Tableau330[[#This Row],[TVA]],0)</f>
        <v>100000</v>
      </c>
      <c r="P164" s="122"/>
      <c r="Q164" s="122"/>
      <c r="R164" s="122">
        <f>+Tableau330[[#This Row],[MONTANT TTC]]+Tableau330[[#This Row],[TIMBRE ]]+Tableau330[[#This Row],[AUTRES TAXES]]</f>
        <v>100000</v>
      </c>
      <c r="S164" s="122">
        <v>100000</v>
      </c>
      <c r="T164" s="122">
        <f>+ROUND(Tableau330[[#This Row],[NET A PAYER]],0)-Tableau330[[#This Row],[MONTANT PAYE]]</f>
        <v>0</v>
      </c>
      <c r="U164" s="122"/>
      <c r="V164" s="123">
        <f>+Tableau330[[#This Row],[DELAI_PAIEMENT]]+Tableau330[[#This Row],[DATE ]]</f>
        <v>45899</v>
      </c>
      <c r="X164" s="82" t="s">
        <v>1337</v>
      </c>
      <c r="Y164" s="82" t="s">
        <v>623</v>
      </c>
      <c r="Z164" s="120"/>
    </row>
    <row r="165" spans="1:27">
      <c r="A165" s="83">
        <v>45900</v>
      </c>
      <c r="B165" s="83" t="str">
        <f>IF(ISBLANK(Tableau330[[#This Row],[DATE ]]),"",UPPER(PROPER(TEXT(Tableau330[[#This Row],[DATE ]],"mmmm yyyy"))))</f>
        <v>AOÛT 2025</v>
      </c>
      <c r="C165" s="83" t="s">
        <v>819</v>
      </c>
      <c r="D165" s="120" t="s">
        <v>1258</v>
      </c>
      <c r="E165" s="82" t="s">
        <v>1176</v>
      </c>
      <c r="F165" s="120" t="s">
        <v>1177</v>
      </c>
      <c r="G165" s="82" t="s">
        <v>828</v>
      </c>
      <c r="H165" s="82" t="s">
        <v>1259</v>
      </c>
      <c r="I165" s="82" t="s">
        <v>12</v>
      </c>
      <c r="J165" s="121">
        <v>1</v>
      </c>
      <c r="K165" s="121"/>
      <c r="L165" s="121"/>
      <c r="M165" s="122">
        <v>152888</v>
      </c>
      <c r="N165" s="122">
        <f>+IF(Tableau330[[#This Row],[CODE TVA]]="",0,ROUND(Tableau330[[#This Row],[MONTANT HT]]*0.18*Tableau330[[#This Row],[PRORATA D]],1))</f>
        <v>27519.8</v>
      </c>
      <c r="O165" s="122">
        <f>+IFERROR(Tableau330[[#This Row],[MONTANT HT]]+Tableau330[[#This Row],[TVA]],0)</f>
        <v>180407.8</v>
      </c>
      <c r="P165" s="122"/>
      <c r="Q165" s="122">
        <v>4587</v>
      </c>
      <c r="R165" s="122">
        <f>+Tableau330[[#This Row],[MONTANT TTC]]+Tableau330[[#This Row],[TIMBRE ]]+Tableau330[[#This Row],[AUTRES TAXES]]</f>
        <v>184994.8</v>
      </c>
      <c r="S165" s="122">
        <v>184994.84</v>
      </c>
      <c r="T165" s="122">
        <f>+ROUND(Tableau330[[#This Row],[NET A PAYER]],0)-Tableau330[[#This Row],[MONTANT PAYE]]</f>
        <v>0.16000000000349246</v>
      </c>
      <c r="U165" s="122"/>
      <c r="V165" s="123">
        <f>+Tableau330[[#This Row],[DELAI_PAIEMENT]]+Tableau330[[#This Row],[DATE ]]</f>
        <v>45900</v>
      </c>
      <c r="X165" s="130" t="s">
        <v>1337</v>
      </c>
      <c r="Y165" s="82" t="s">
        <v>623</v>
      </c>
      <c r="Z165" s="120"/>
    </row>
    <row r="166" spans="1:27">
      <c r="A166" s="83">
        <v>45900</v>
      </c>
      <c r="B166" s="83" t="str">
        <f>IF(ISBLANK(Tableau330[[#This Row],[DATE ]]),"",UPPER(PROPER(TEXT(Tableau330[[#This Row],[DATE ]],"mmmm yyyy"))))</f>
        <v>AOÛT 2025</v>
      </c>
      <c r="C166" s="83" t="s">
        <v>1332</v>
      </c>
      <c r="D166" s="120" t="s">
        <v>1333</v>
      </c>
      <c r="E166" s="82" t="s">
        <v>1176</v>
      </c>
      <c r="F166" s="120" t="s">
        <v>1177</v>
      </c>
      <c r="G166" s="82" t="s">
        <v>828</v>
      </c>
      <c r="H166" s="82" t="s">
        <v>1334</v>
      </c>
      <c r="I166" s="82" t="s">
        <v>12</v>
      </c>
      <c r="J166" s="121">
        <v>1</v>
      </c>
      <c r="K166" s="121"/>
      <c r="L166" s="121"/>
      <c r="M166" s="122">
        <v>152888</v>
      </c>
      <c r="N166" s="122">
        <f>+IF(Tableau330[[#This Row],[CODE TVA]]="",0,ROUND(Tableau330[[#This Row],[MONTANT HT]]*0.18*Tableau330[[#This Row],[PRORATA D]],1))</f>
        <v>27519.8</v>
      </c>
      <c r="O166" s="122">
        <f>+IFERROR(Tableau330[[#This Row],[MONTANT HT]]+Tableau330[[#This Row],[TVA]],0)</f>
        <v>180407.8</v>
      </c>
      <c r="P166" s="122"/>
      <c r="Q166" s="122">
        <v>4587</v>
      </c>
      <c r="R166" s="122">
        <f>+Tableau330[[#This Row],[MONTANT TTC]]+Tableau330[[#This Row],[TIMBRE ]]+Tableau330[[#This Row],[AUTRES TAXES]]</f>
        <v>184994.8</v>
      </c>
      <c r="S166" s="122">
        <v>184994.84</v>
      </c>
      <c r="T166" s="122">
        <f>+ROUND(Tableau330[[#This Row],[NET A PAYER]],0)-Tableau330[[#This Row],[MONTANT PAYE]]</f>
        <v>0.16000000000349246</v>
      </c>
      <c r="U166" s="122"/>
      <c r="V166" s="123">
        <f>+Tableau330[[#This Row],[DELAI_PAIEMENT]]+Tableau330[[#This Row],[DATE ]]</f>
        <v>45900</v>
      </c>
      <c r="X166" s="82" t="s">
        <v>1337</v>
      </c>
      <c r="Y166" s="82" t="s">
        <v>623</v>
      </c>
      <c r="Z166" s="120"/>
    </row>
    <row r="167" spans="1:27">
      <c r="A167" s="83">
        <v>45901</v>
      </c>
      <c r="B167" s="83" t="str">
        <f>IF(ISBLANK(Tableau330[[#This Row],[DATE ]]),"",UPPER(PROPER(TEXT(Tableau330[[#This Row],[DATE ]],"mmmm yyyy"))))</f>
        <v>SEPTEMBRE 2025</v>
      </c>
      <c r="C167" s="83" t="s">
        <v>824</v>
      </c>
      <c r="D167" s="120" t="s">
        <v>1290</v>
      </c>
      <c r="E167" s="82" t="s">
        <v>937</v>
      </c>
      <c r="F167" s="120" t="s">
        <v>938</v>
      </c>
      <c r="G167" s="82" t="s">
        <v>822</v>
      </c>
      <c r="H167" s="82" t="s">
        <v>1291</v>
      </c>
      <c r="J167" s="121"/>
      <c r="K167" s="121"/>
      <c r="L167" s="121"/>
      <c r="M167" s="122">
        <v>510000</v>
      </c>
      <c r="N167" s="122">
        <f>+IF(Tableau330[[#This Row],[CODE TVA]]="",0,ROUND(Tableau330[[#This Row],[MONTANT HT]]*0.18*Tableau330[[#This Row],[PRORATA D]],1))</f>
        <v>0</v>
      </c>
      <c r="O167" s="122">
        <f>+IFERROR(Tableau330[[#This Row],[MONTANT HT]]+Tableau330[[#This Row],[TVA]],0)</f>
        <v>510000</v>
      </c>
      <c r="P167" s="122"/>
      <c r="Q167" s="122"/>
      <c r="R167" s="122">
        <f>+Tableau330[[#This Row],[MONTANT TTC]]+Tableau330[[#This Row],[TIMBRE ]]+Tableau330[[#This Row],[AUTRES TAXES]]</f>
        <v>510000</v>
      </c>
      <c r="S167" s="122">
        <v>510000</v>
      </c>
      <c r="T167" s="122">
        <f>+ROUND(Tableau330[[#This Row],[NET A PAYER]],0)-Tableau330[[#This Row],[MONTANT PAYE]]</f>
        <v>0</v>
      </c>
      <c r="U167" s="122"/>
      <c r="V167" s="123">
        <f>+Tableau330[[#This Row],[DELAI_PAIEMENT]]+Tableau330[[#This Row],[DATE ]]</f>
        <v>45901</v>
      </c>
      <c r="X167" s="130" t="s">
        <v>1337</v>
      </c>
      <c r="Y167" s="82" t="s">
        <v>623</v>
      </c>
      <c r="Z167" s="120"/>
    </row>
    <row r="168" spans="1:27">
      <c r="A168" s="83">
        <v>45903</v>
      </c>
      <c r="B168" s="83" t="str">
        <f>IF(ISBLANK(Tableau330[[#This Row],[DATE ]]),"",UPPER(PROPER(TEXT(Tableau330[[#This Row],[DATE ]],"mmmm yyyy"))))</f>
        <v>SEPTEMBRE 2025</v>
      </c>
      <c r="C168" s="83" t="s">
        <v>824</v>
      </c>
      <c r="D168" s="120" t="s">
        <v>1298</v>
      </c>
      <c r="E168" s="82" t="s">
        <v>1299</v>
      </c>
      <c r="F168" s="120" t="s">
        <v>838</v>
      </c>
      <c r="G168" s="82" t="s">
        <v>828</v>
      </c>
      <c r="H168" s="82" t="s">
        <v>1301</v>
      </c>
      <c r="I168" s="82" t="s">
        <v>12</v>
      </c>
      <c r="J168" s="121">
        <v>1</v>
      </c>
      <c r="K168" s="121"/>
      <c r="L168" s="121"/>
      <c r="M168" s="122">
        <v>2310000</v>
      </c>
      <c r="N168" s="122">
        <f>+IF(Tableau330[[#This Row],[CODE TVA]]="",0,ROUND(Tableau330[[#This Row],[MONTANT HT]]*0.18*Tableau330[[#This Row],[PRORATA D]],1))</f>
        <v>415800</v>
      </c>
      <c r="O168" s="122">
        <f>+IFERROR(Tableau330[[#This Row],[MONTANT HT]]+Tableau330[[#This Row],[TVA]],0)</f>
        <v>2725800</v>
      </c>
      <c r="P168" s="122"/>
      <c r="Q168" s="122"/>
      <c r="R168" s="122">
        <f>+Tableau330[[#This Row],[MONTANT TTC]]+Tableau330[[#This Row],[TIMBRE ]]+Tableau330[[#This Row],[AUTRES TAXES]]</f>
        <v>2725800</v>
      </c>
      <c r="S168" s="122">
        <v>2725800</v>
      </c>
      <c r="T168" s="122">
        <f>+ROUND(Tableau330[[#This Row],[NET A PAYER]],0)-Tableau330[[#This Row],[MONTANT PAYE]]</f>
        <v>0</v>
      </c>
      <c r="U168" s="122"/>
      <c r="V168" s="123">
        <f>+Tableau330[[#This Row],[DELAI_PAIEMENT]]+Tableau330[[#This Row],[DATE ]]</f>
        <v>45903</v>
      </c>
      <c r="X168" s="130" t="s">
        <v>1337</v>
      </c>
      <c r="Y168" s="82" t="s">
        <v>623</v>
      </c>
      <c r="Z168" s="120"/>
    </row>
    <row r="169" spans="1:27">
      <c r="A169" s="83">
        <v>45903</v>
      </c>
      <c r="B169" s="83" t="str">
        <f>IF(ISBLANK(Tableau330[[#This Row],[DATE ]]),"",UPPER(PROPER(TEXT(Tableau330[[#This Row],[DATE ]],"mmmm yyyy"))))</f>
        <v>SEPTEMBRE 2025</v>
      </c>
      <c r="C169" s="83" t="s">
        <v>824</v>
      </c>
      <c r="D169" s="120" t="s">
        <v>1300</v>
      </c>
      <c r="E169" s="82" t="s">
        <v>1299</v>
      </c>
      <c r="F169" s="120" t="s">
        <v>838</v>
      </c>
      <c r="G169" s="82" t="s">
        <v>828</v>
      </c>
      <c r="H169" s="82" t="s">
        <v>1302</v>
      </c>
      <c r="I169" s="82" t="s">
        <v>12</v>
      </c>
      <c r="J169" s="121">
        <v>1</v>
      </c>
      <c r="K169" s="121"/>
      <c r="L169" s="121"/>
      <c r="M169" s="122">
        <v>385000</v>
      </c>
      <c r="N169" s="122">
        <f>+IF(Tableau330[[#This Row],[CODE TVA]]="",0,ROUND(Tableau330[[#This Row],[MONTANT HT]]*0.18*Tableau330[[#This Row],[PRORATA D]],1))</f>
        <v>69300</v>
      </c>
      <c r="O169" s="122">
        <f>+IFERROR(Tableau330[[#This Row],[MONTANT HT]]+Tableau330[[#This Row],[TVA]],0)</f>
        <v>454300</v>
      </c>
      <c r="P169" s="122"/>
      <c r="Q169" s="122"/>
      <c r="R169" s="122">
        <f>+Tableau330[[#This Row],[MONTANT TTC]]+Tableau330[[#This Row],[TIMBRE ]]+Tableau330[[#This Row],[AUTRES TAXES]]</f>
        <v>454300</v>
      </c>
      <c r="S169" s="122">
        <v>454300</v>
      </c>
      <c r="T169" s="122">
        <f>+ROUND(Tableau330[[#This Row],[NET A PAYER]],0)-Tableau330[[#This Row],[MONTANT PAYE]]</f>
        <v>0</v>
      </c>
      <c r="U169" s="122"/>
      <c r="V169" s="123">
        <f>+Tableau330[[#This Row],[DELAI_PAIEMENT]]+Tableau330[[#This Row],[DATE ]]</f>
        <v>45903</v>
      </c>
      <c r="X169" s="130" t="s">
        <v>1337</v>
      </c>
      <c r="Y169" s="82" t="s">
        <v>623</v>
      </c>
      <c r="Z169" s="120"/>
    </row>
    <row r="170" spans="1:27">
      <c r="A170" s="83">
        <v>45908</v>
      </c>
      <c r="B170" s="83" t="str">
        <f>IF(ISBLANK(Tableau330[[#This Row],[DATE ]]),"",UPPER(PROPER(TEXT(Tableau330[[#This Row],[DATE ]],"mmmm yyyy"))))</f>
        <v>SEPTEMBRE 2025</v>
      </c>
      <c r="C170" s="83" t="s">
        <v>870</v>
      </c>
      <c r="D170" s="120" t="s">
        <v>1223</v>
      </c>
      <c r="F170" s="120"/>
      <c r="H170" s="82" t="s">
        <v>1222</v>
      </c>
      <c r="J170" s="121"/>
      <c r="K170" s="121"/>
      <c r="L170" s="121"/>
      <c r="M170" s="122">
        <v>650000</v>
      </c>
      <c r="N170" s="122">
        <f>+IF(Tableau330[[#This Row],[CODE TVA]]="",0,ROUND(Tableau330[[#This Row],[MONTANT HT]]*0.18*Tableau330[[#This Row],[PRORATA D]],1))</f>
        <v>0</v>
      </c>
      <c r="O170" s="122">
        <f>+IFERROR(Tableau330[[#This Row],[MONTANT HT]]+Tableau330[[#This Row],[TVA]],0)</f>
        <v>650000</v>
      </c>
      <c r="P170" s="122"/>
      <c r="Q170" s="122"/>
      <c r="R170" s="122">
        <f>+Tableau330[[#This Row],[MONTANT TTC]]+Tableau330[[#This Row],[TIMBRE ]]+Tableau330[[#This Row],[AUTRES TAXES]]</f>
        <v>650000</v>
      </c>
      <c r="S170" s="122">
        <v>650000</v>
      </c>
      <c r="T170" s="122">
        <f>+ROUND(Tableau330[[#This Row],[NET A PAYER]],0)-Tableau330[[#This Row],[MONTANT PAYE]]</f>
        <v>0</v>
      </c>
      <c r="U170" s="122"/>
      <c r="V170" s="123">
        <f>+Tableau330[[#This Row],[DELAI_PAIEMENT]]+Tableau330[[#This Row],[DATE ]]</f>
        <v>45908</v>
      </c>
      <c r="Z170" s="120"/>
    </row>
    <row r="171" spans="1:27">
      <c r="A171" s="83">
        <v>45908</v>
      </c>
      <c r="B171" s="83" t="str">
        <f>IF(ISBLANK(Tableau330[[#This Row],[DATE ]]),"",UPPER(PROPER(TEXT(Tableau330[[#This Row],[DATE ]],"mmmm yyyy"))))</f>
        <v>SEPTEMBRE 2025</v>
      </c>
      <c r="C171" s="83" t="s">
        <v>824</v>
      </c>
      <c r="D171" s="120" t="s">
        <v>1292</v>
      </c>
      <c r="E171" s="82" t="s">
        <v>1293</v>
      </c>
      <c r="F171" s="120" t="s">
        <v>1294</v>
      </c>
      <c r="G171" s="82" t="s">
        <v>951</v>
      </c>
      <c r="H171" s="82" t="s">
        <v>1295</v>
      </c>
      <c r="J171" s="121"/>
      <c r="K171" s="121"/>
      <c r="L171" s="121"/>
      <c r="M171" s="122">
        <v>80000</v>
      </c>
      <c r="N171" s="122">
        <f>+IF(Tableau330[[#This Row],[CODE TVA]]="",0,ROUND(Tableau330[[#This Row],[MONTANT HT]]*0.18*Tableau330[[#This Row],[PRORATA D]],1))</f>
        <v>0</v>
      </c>
      <c r="O171" s="122">
        <f>+IFERROR(Tableau330[[#This Row],[MONTANT HT]]+Tableau330[[#This Row],[TVA]],0)</f>
        <v>80000</v>
      </c>
      <c r="P171" s="122"/>
      <c r="Q171" s="122"/>
      <c r="R171" s="122">
        <f>+Tableau330[[#This Row],[MONTANT TTC]]+Tableau330[[#This Row],[TIMBRE ]]+Tableau330[[#This Row],[AUTRES TAXES]]</f>
        <v>80000</v>
      </c>
      <c r="S171" s="122">
        <v>80000</v>
      </c>
      <c r="T171" s="122">
        <f>+ROUND(Tableau330[[#This Row],[NET A PAYER]],0)-Tableau330[[#This Row],[MONTANT PAYE]]</f>
        <v>0</v>
      </c>
      <c r="U171" s="122"/>
      <c r="V171" s="123">
        <f>+Tableau330[[#This Row],[DELAI_PAIEMENT]]+Tableau330[[#This Row],[DATE ]]</f>
        <v>45908</v>
      </c>
      <c r="X171" s="82" t="s">
        <v>1337</v>
      </c>
      <c r="Y171" s="82" t="s">
        <v>623</v>
      </c>
      <c r="Z171" s="120"/>
      <c r="AA171" s="82" t="s">
        <v>1269</v>
      </c>
    </row>
    <row r="172" spans="1:27">
      <c r="A172" s="83">
        <v>45910</v>
      </c>
      <c r="B172" s="83" t="str">
        <f>IF(ISBLANK(Tableau330[[#This Row],[DATE ]]),"",UPPER(PROPER(TEXT(Tableau330[[#This Row],[DATE ]],"mmmm yyyy"))))</f>
        <v>SEPTEMBRE 2025</v>
      </c>
      <c r="C172" s="83" t="s">
        <v>824</v>
      </c>
      <c r="D172" s="120" t="s">
        <v>1303</v>
      </c>
      <c r="E172" s="82" t="s">
        <v>1304</v>
      </c>
      <c r="F172" s="120" t="s">
        <v>942</v>
      </c>
      <c r="G172" s="82" t="s">
        <v>828</v>
      </c>
      <c r="H172" s="82" t="s">
        <v>1305</v>
      </c>
      <c r="J172" s="121"/>
      <c r="K172" s="121"/>
      <c r="L172" s="121"/>
      <c r="M172" s="122">
        <v>231000</v>
      </c>
      <c r="N172" s="122">
        <f>+IF(Tableau330[[#This Row],[CODE TVA]]="",0,ROUND(Tableau330[[#This Row],[MONTANT HT]]*0.18*Tableau330[[#This Row],[PRORATA D]],1))</f>
        <v>0</v>
      </c>
      <c r="O172" s="122">
        <f>+IFERROR(Tableau330[[#This Row],[MONTANT HT]]+Tableau330[[#This Row],[TVA]],0)</f>
        <v>231000</v>
      </c>
      <c r="P172" s="122"/>
      <c r="Q172" s="122"/>
      <c r="R172" s="122">
        <f>+Tableau330[[#This Row],[MONTANT TTC]]+Tableau330[[#This Row],[TIMBRE ]]+Tableau330[[#This Row],[AUTRES TAXES]]</f>
        <v>231000</v>
      </c>
      <c r="S172" s="122">
        <v>231000</v>
      </c>
      <c r="T172" s="122">
        <f>+ROUND(Tableau330[[#This Row],[NET A PAYER]],0)-Tableau330[[#This Row],[MONTANT PAYE]]</f>
        <v>0</v>
      </c>
      <c r="U172" s="122"/>
      <c r="V172" s="123">
        <f>+Tableau330[[#This Row],[DELAI_PAIEMENT]]+Tableau330[[#This Row],[DATE ]]</f>
        <v>45910</v>
      </c>
      <c r="X172" s="82" t="s">
        <v>1337</v>
      </c>
      <c r="Y172" s="82" t="s">
        <v>623</v>
      </c>
      <c r="Z172" s="120"/>
      <c r="AA172" s="82" t="s">
        <v>1306</v>
      </c>
    </row>
    <row r="173" spans="1:27">
      <c r="A173" s="83">
        <v>45910</v>
      </c>
      <c r="B173" s="83" t="str">
        <f>IF(ISBLANK(Tableau330[[#This Row],[DATE ]]),"",UPPER(PROPER(TEXT(Tableau330[[#This Row],[DATE ]],"mmmm yyyy"))))</f>
        <v>SEPTEMBRE 2025</v>
      </c>
      <c r="C173" s="83" t="s">
        <v>824</v>
      </c>
      <c r="D173" s="120" t="s">
        <v>1307</v>
      </c>
      <c r="E173" s="82" t="s">
        <v>1308</v>
      </c>
      <c r="F173" s="120" t="s">
        <v>1309</v>
      </c>
      <c r="G173" s="82" t="s">
        <v>828</v>
      </c>
      <c r="H173" s="82" t="s">
        <v>1310</v>
      </c>
      <c r="I173" s="82" t="s">
        <v>12</v>
      </c>
      <c r="J173" s="121">
        <v>1</v>
      </c>
      <c r="K173" s="121"/>
      <c r="L173" s="121"/>
      <c r="M173" s="122">
        <v>12741.5</v>
      </c>
      <c r="N173" s="122">
        <f>+IF(Tableau330[[#This Row],[CODE TVA]]="",0,ROUND(Tableau330[[#This Row],[MONTANT HT]]*0.18*Tableau330[[#This Row],[PRORATA D]],1))</f>
        <v>2293.5</v>
      </c>
      <c r="O173" s="122">
        <f>+IFERROR(Tableau330[[#This Row],[MONTANT HT]]+Tableau330[[#This Row],[TVA]],0)</f>
        <v>15035</v>
      </c>
      <c r="P173" s="122"/>
      <c r="Q173" s="122"/>
      <c r="R173" s="122">
        <f>+Tableau330[[#This Row],[MONTANT TTC]]+Tableau330[[#This Row],[TIMBRE ]]+Tableau330[[#This Row],[AUTRES TAXES]]</f>
        <v>15035</v>
      </c>
      <c r="S173" s="122">
        <v>15034.97</v>
      </c>
      <c r="T173" s="122">
        <f>+ROUND(Tableau330[[#This Row],[NET A PAYER]],0)-Tableau330[[#This Row],[MONTANT PAYE]]</f>
        <v>3.0000000000654836E-2</v>
      </c>
      <c r="U173" s="122"/>
      <c r="V173" s="123">
        <f>+Tableau330[[#This Row],[DELAI_PAIEMENT]]+Tableau330[[#This Row],[DATE ]]</f>
        <v>45910</v>
      </c>
      <c r="X173" s="82" t="s">
        <v>1337</v>
      </c>
      <c r="Y173" s="82" t="s">
        <v>623</v>
      </c>
      <c r="Z173" s="120"/>
    </row>
    <row r="174" spans="1:27">
      <c r="A174" s="83">
        <v>45911</v>
      </c>
      <c r="B174" s="83" t="str">
        <f>IF(ISBLANK(Tableau330[[#This Row],[DATE ]]),"",UPPER(PROPER(TEXT(Tableau330[[#This Row],[DATE ]],"mmmm yyyy"))))</f>
        <v>SEPTEMBRE 2025</v>
      </c>
      <c r="C174" s="83" t="s">
        <v>824</v>
      </c>
      <c r="D174" s="120" t="s">
        <v>1317</v>
      </c>
      <c r="E174" s="82" t="s">
        <v>863</v>
      </c>
      <c r="F174" s="120" t="s">
        <v>864</v>
      </c>
      <c r="G174" s="82" t="s">
        <v>822</v>
      </c>
      <c r="H174" s="82" t="s">
        <v>865</v>
      </c>
      <c r="J174" s="121"/>
      <c r="K174" s="121"/>
      <c r="L174" s="121"/>
      <c r="M174" s="122">
        <v>52000</v>
      </c>
      <c r="N174" s="122">
        <f>+IF(Tableau330[[#This Row],[CODE TVA]]="",0,ROUND(Tableau330[[#This Row],[MONTANT HT]]*0.18*Tableau330[[#This Row],[PRORATA D]],1))</f>
        <v>0</v>
      </c>
      <c r="O174" s="122">
        <f>+IFERROR(Tableau330[[#This Row],[MONTANT HT]]+Tableau330[[#This Row],[TVA]],0)</f>
        <v>52000</v>
      </c>
      <c r="P174" s="122"/>
      <c r="Q174" s="122"/>
      <c r="R174" s="122">
        <f>+Tableau330[[#This Row],[MONTANT TTC]]+Tableau330[[#This Row],[TIMBRE ]]+Tableau330[[#This Row],[AUTRES TAXES]]</f>
        <v>52000</v>
      </c>
      <c r="S174" s="122">
        <v>52000</v>
      </c>
      <c r="T174" s="122">
        <f>+ROUND(Tableau330[[#This Row],[NET A PAYER]],0)-Tableau330[[#This Row],[MONTANT PAYE]]</f>
        <v>0</v>
      </c>
      <c r="U174" s="122"/>
      <c r="V174" s="123">
        <f>+Tableau330[[#This Row],[DELAI_PAIEMENT]]+Tableau330[[#This Row],[DATE ]]</f>
        <v>45911</v>
      </c>
      <c r="X174" s="82" t="s">
        <v>1337</v>
      </c>
      <c r="Y174" s="82" t="s">
        <v>623</v>
      </c>
      <c r="Z174" s="120"/>
    </row>
    <row r="175" spans="1:27">
      <c r="A175" s="83">
        <v>45911</v>
      </c>
      <c r="B175" s="83" t="str">
        <f>IF(ISBLANK(Tableau330[[#This Row],[DATE ]]),"",UPPER(PROPER(TEXT(Tableau330[[#This Row],[DATE ]],"mmmm yyyy"))))</f>
        <v>SEPTEMBRE 2025</v>
      </c>
      <c r="C175" s="83" t="s">
        <v>824</v>
      </c>
      <c r="D175" s="120" t="s">
        <v>1326</v>
      </c>
      <c r="E175" s="82" t="s">
        <v>832</v>
      </c>
      <c r="F175" s="120" t="s">
        <v>833</v>
      </c>
      <c r="G175" s="82" t="s">
        <v>822</v>
      </c>
      <c r="H175" s="82" t="s">
        <v>867</v>
      </c>
      <c r="J175" s="121"/>
      <c r="K175" s="121"/>
      <c r="L175" s="121"/>
      <c r="M175" s="122">
        <v>107850</v>
      </c>
      <c r="N175" s="122">
        <f>+IF(Tableau330[[#This Row],[CODE TVA]]="",0,ROUND(Tableau330[[#This Row],[MONTANT HT]]*0.18*Tableau330[[#This Row],[PRORATA D]],1))</f>
        <v>0</v>
      </c>
      <c r="O175" s="122">
        <f>+IFERROR(Tableau330[[#This Row],[MONTANT HT]]+Tableau330[[#This Row],[TVA]],0)</f>
        <v>107850</v>
      </c>
      <c r="P175" s="122"/>
      <c r="Q175" s="122"/>
      <c r="R175" s="122">
        <f>+Tableau330[[#This Row],[MONTANT TTC]]+Tableau330[[#This Row],[TIMBRE ]]+Tableau330[[#This Row],[AUTRES TAXES]]</f>
        <v>107850</v>
      </c>
      <c r="S175" s="122">
        <v>107850</v>
      </c>
      <c r="T175" s="122">
        <f>+ROUND(Tableau330[[#This Row],[NET A PAYER]],0)-Tableau330[[#This Row],[MONTANT PAYE]]</f>
        <v>0</v>
      </c>
      <c r="U175" s="122"/>
      <c r="V175" s="123">
        <f>+Tableau330[[#This Row],[DELAI_PAIEMENT]]+Tableau330[[#This Row],[DATE ]]</f>
        <v>45911</v>
      </c>
      <c r="Z175" s="120"/>
    </row>
    <row r="176" spans="1:27">
      <c r="A176" s="83">
        <v>45913</v>
      </c>
      <c r="B176" s="83" t="str">
        <f>IF(ISBLANK(Tableau330[[#This Row],[DATE ]]),"",UPPER(PROPER(TEXT(Tableau330[[#This Row],[DATE ]],"mmmm yyyy"))))</f>
        <v>SEPTEMBRE 2025</v>
      </c>
      <c r="C176" s="83" t="s">
        <v>824</v>
      </c>
      <c r="D176" s="120" t="s">
        <v>1311</v>
      </c>
      <c r="E176" s="82" t="s">
        <v>832</v>
      </c>
      <c r="F176" s="120" t="s">
        <v>833</v>
      </c>
      <c r="G176" s="82" t="s">
        <v>822</v>
      </c>
      <c r="H176" s="82" t="s">
        <v>1312</v>
      </c>
      <c r="J176" s="121"/>
      <c r="K176" s="121"/>
      <c r="L176" s="121"/>
      <c r="M176" s="122">
        <v>99972</v>
      </c>
      <c r="N176" s="122">
        <f>+IF(Tableau330[[#This Row],[CODE TVA]]="",0,ROUND(Tableau330[[#This Row],[MONTANT HT]]*0.18*Tableau330[[#This Row],[PRORATA D]],1))</f>
        <v>0</v>
      </c>
      <c r="O176" s="122">
        <f>+IFERROR(Tableau330[[#This Row],[MONTANT HT]]+Tableau330[[#This Row],[TVA]],0)</f>
        <v>99972</v>
      </c>
      <c r="P176" s="122"/>
      <c r="Q176" s="122"/>
      <c r="R176" s="122">
        <f>+Tableau330[[#This Row],[MONTANT TTC]]+Tableau330[[#This Row],[TIMBRE ]]+Tableau330[[#This Row],[AUTRES TAXES]]</f>
        <v>99972</v>
      </c>
      <c r="S176" s="122">
        <v>99972</v>
      </c>
      <c r="T176" s="122">
        <f>+ROUND(Tableau330[[#This Row],[NET A PAYER]],0)-Tableau330[[#This Row],[MONTANT PAYE]]</f>
        <v>0</v>
      </c>
      <c r="U176" s="122"/>
      <c r="V176" s="123">
        <f>+Tableau330[[#This Row],[DELAI_PAIEMENT]]+Tableau330[[#This Row],[DATE ]]</f>
        <v>45913</v>
      </c>
      <c r="X176" s="82" t="s">
        <v>1337</v>
      </c>
      <c r="Y176" s="82" t="s">
        <v>623</v>
      </c>
      <c r="Z176" s="120"/>
    </row>
    <row r="177" spans="1:26">
      <c r="A177" s="83">
        <v>45913</v>
      </c>
      <c r="B177" s="83" t="str">
        <f>IF(ISBLANK(Tableau330[[#This Row],[DATE ]]),"",UPPER(PROPER(TEXT(Tableau330[[#This Row],[DATE ]],"mmmm yyyy"))))</f>
        <v>SEPTEMBRE 2025</v>
      </c>
      <c r="C177" s="83" t="s">
        <v>824</v>
      </c>
      <c r="D177" s="120" t="s">
        <v>1311</v>
      </c>
      <c r="E177" s="82" t="s">
        <v>832</v>
      </c>
      <c r="F177" s="120" t="s">
        <v>833</v>
      </c>
      <c r="G177" s="82" t="s">
        <v>822</v>
      </c>
      <c r="H177" s="82" t="s">
        <v>1313</v>
      </c>
      <c r="J177" s="121"/>
      <c r="K177" s="121"/>
      <c r="L177" s="121"/>
      <c r="M177" s="122">
        <v>306235</v>
      </c>
      <c r="N177" s="122">
        <f>+IF(Tableau330[[#This Row],[CODE TVA]]="",0,ROUND(Tableau330[[#This Row],[MONTANT HT]]*0.18*Tableau330[[#This Row],[PRORATA D]],1))</f>
        <v>0</v>
      </c>
      <c r="O177" s="122">
        <f>+IFERROR(Tableau330[[#This Row],[MONTANT HT]]+Tableau330[[#This Row],[TVA]],0)</f>
        <v>306235</v>
      </c>
      <c r="P177" s="122"/>
      <c r="Q177" s="122"/>
      <c r="R177" s="122">
        <f>+Tableau330[[#This Row],[MONTANT TTC]]+Tableau330[[#This Row],[TIMBRE ]]+Tableau330[[#This Row],[AUTRES TAXES]]</f>
        <v>306235</v>
      </c>
      <c r="S177" s="122">
        <v>306235</v>
      </c>
      <c r="T177" s="122">
        <f>+ROUND(Tableau330[[#This Row],[NET A PAYER]],0)-Tableau330[[#This Row],[MONTANT PAYE]]</f>
        <v>0</v>
      </c>
      <c r="U177" s="122"/>
      <c r="V177" s="123">
        <f>+Tableau330[[#This Row],[DELAI_PAIEMENT]]+Tableau330[[#This Row],[DATE ]]</f>
        <v>45913</v>
      </c>
      <c r="X177" s="82" t="s">
        <v>1337</v>
      </c>
      <c r="Y177" s="82" t="s">
        <v>623</v>
      </c>
      <c r="Z177" s="120"/>
    </row>
    <row r="178" spans="1:26">
      <c r="A178" s="83">
        <v>45913</v>
      </c>
      <c r="B178" s="83" t="str">
        <f>IF(ISBLANK(Tableau330[[#This Row],[DATE ]]),"",UPPER(PROPER(TEXT(Tableau330[[#This Row],[DATE ]],"mmmm yyyy"))))</f>
        <v>SEPTEMBRE 2025</v>
      </c>
      <c r="C178" s="83" t="s">
        <v>824</v>
      </c>
      <c r="D178" s="120" t="s">
        <v>1314</v>
      </c>
      <c r="E178" s="82" t="s">
        <v>1288</v>
      </c>
      <c r="F178" s="120" t="s">
        <v>858</v>
      </c>
      <c r="G178" s="82" t="s">
        <v>822</v>
      </c>
      <c r="H178" s="82" t="s">
        <v>1315</v>
      </c>
      <c r="I178" s="82" t="s">
        <v>12</v>
      </c>
      <c r="J178" s="121">
        <v>1</v>
      </c>
      <c r="K178" s="121"/>
      <c r="L178" s="121"/>
      <c r="M178" s="122">
        <v>8470</v>
      </c>
      <c r="N178" s="122">
        <f>+IF(Tableau330[[#This Row],[CODE TVA]]="",0,ROUND(Tableau330[[#This Row],[MONTANT HT]]*0.18*Tableau330[[#This Row],[PRORATA D]],1))</f>
        <v>1524.6</v>
      </c>
      <c r="O178" s="122">
        <f>+IFERROR(Tableau330[[#This Row],[MONTANT HT]]+Tableau330[[#This Row],[TVA]],0)</f>
        <v>9994.6</v>
      </c>
      <c r="P178" s="122"/>
      <c r="Q178" s="122"/>
      <c r="R178" s="122">
        <f>+Tableau330[[#This Row],[MONTANT TTC]]+Tableau330[[#This Row],[TIMBRE ]]+Tableau330[[#This Row],[AUTRES TAXES]]</f>
        <v>9994.6</v>
      </c>
      <c r="S178" s="122">
        <v>9994.6</v>
      </c>
      <c r="T178" s="122">
        <f>+ROUND(Tableau330[[#This Row],[NET A PAYER]],0)-Tableau330[[#This Row],[MONTANT PAYE]]</f>
        <v>0.3999999999996362</v>
      </c>
      <c r="U178" s="122"/>
      <c r="V178" s="123">
        <f>+Tableau330[[#This Row],[DELAI_PAIEMENT]]+Tableau330[[#This Row],[DATE ]]</f>
        <v>45913</v>
      </c>
      <c r="X178" s="82" t="s">
        <v>1337</v>
      </c>
      <c r="Y178" s="82" t="s">
        <v>623</v>
      </c>
      <c r="Z178" s="120"/>
    </row>
    <row r="179" spans="1:26">
      <c r="A179" s="83">
        <v>45913</v>
      </c>
      <c r="B179" s="83" t="str">
        <f>IF(ISBLANK(Tableau330[[#This Row],[DATE ]]),"",UPPER(PROPER(TEXT(Tableau330[[#This Row],[DATE ]],"mmmm yyyy"))))</f>
        <v>SEPTEMBRE 2025</v>
      </c>
      <c r="C179" s="83" t="s">
        <v>824</v>
      </c>
      <c r="D179" s="120" t="s">
        <v>1318</v>
      </c>
      <c r="E179" s="82" t="s">
        <v>1288</v>
      </c>
      <c r="F179" s="120" t="s">
        <v>858</v>
      </c>
      <c r="G179" s="82" t="s">
        <v>822</v>
      </c>
      <c r="H179" s="82" t="s">
        <v>1319</v>
      </c>
      <c r="I179" s="82" t="s">
        <v>12</v>
      </c>
      <c r="J179" s="121">
        <v>1</v>
      </c>
      <c r="K179" s="121"/>
      <c r="L179" s="121"/>
      <c r="M179" s="122">
        <v>234745.5</v>
      </c>
      <c r="N179" s="122">
        <f>+IF(Tableau330[[#This Row],[CODE TVA]]="",0,ROUND(Tableau330[[#This Row],[MONTANT HT]]*0.18*Tableau330[[#This Row],[PRORATA D]],1))</f>
        <v>42254.2</v>
      </c>
      <c r="O179" s="122">
        <f>+IFERROR(Tableau330[[#This Row],[MONTANT HT]]+Tableau330[[#This Row],[TVA]],0)</f>
        <v>276999.7</v>
      </c>
      <c r="P179" s="122"/>
      <c r="Q179" s="122"/>
      <c r="R179" s="122">
        <f>+Tableau330[[#This Row],[MONTANT TTC]]+Tableau330[[#This Row],[TIMBRE ]]+Tableau330[[#This Row],[AUTRES TAXES]]</f>
        <v>276999.7</v>
      </c>
      <c r="S179" s="122">
        <v>276999.69</v>
      </c>
      <c r="T179" s="122">
        <f>+ROUND(Tableau330[[#This Row],[NET A PAYER]],0)-Tableau330[[#This Row],[MONTANT PAYE]]</f>
        <v>0.30999999999767169</v>
      </c>
      <c r="U179" s="122"/>
      <c r="V179" s="123">
        <f>+Tableau330[[#This Row],[DELAI_PAIEMENT]]+Tableau330[[#This Row],[DATE ]]</f>
        <v>45913</v>
      </c>
      <c r="X179" s="82" t="s">
        <v>1337</v>
      </c>
      <c r="Y179" s="82" t="s">
        <v>623</v>
      </c>
      <c r="Z179" s="120"/>
    </row>
    <row r="180" spans="1:26">
      <c r="A180" s="83">
        <v>45915</v>
      </c>
      <c r="B180" s="83" t="str">
        <f>IF(ISBLANK(Tableau330[[#This Row],[DATE ]]),"",UPPER(PROPER(TEXT(Tableau330[[#This Row],[DATE ]],"mmmm yyyy"))))</f>
        <v>SEPTEMBRE 2025</v>
      </c>
      <c r="C180" s="83" t="s">
        <v>824</v>
      </c>
      <c r="D180" s="120" t="s">
        <v>1316</v>
      </c>
      <c r="E180" s="82" t="s">
        <v>832</v>
      </c>
      <c r="F180" s="120" t="s">
        <v>833</v>
      </c>
      <c r="G180" s="82" t="s">
        <v>822</v>
      </c>
      <c r="H180" s="82" t="s">
        <v>1160</v>
      </c>
      <c r="I180" s="82" t="s">
        <v>12</v>
      </c>
      <c r="J180" s="121">
        <v>1</v>
      </c>
      <c r="K180" s="121"/>
      <c r="L180" s="121"/>
      <c r="M180" s="122">
        <v>49152.5</v>
      </c>
      <c r="N180" s="122">
        <f>+IF(Tableau330[[#This Row],[CODE TVA]]="",0,ROUND(Tableau330[[#This Row],[MONTANT HT]]*0.18*Tableau330[[#This Row],[PRORATA D]],1))</f>
        <v>8847.5</v>
      </c>
      <c r="O180" s="122">
        <f>+IFERROR(Tableau330[[#This Row],[MONTANT HT]]+Tableau330[[#This Row],[TVA]],0)</f>
        <v>58000</v>
      </c>
      <c r="P180" s="122">
        <v>100</v>
      </c>
      <c r="Q180" s="122"/>
      <c r="R180" s="122">
        <f>+Tableau330[[#This Row],[MONTANT TTC]]+Tableau330[[#This Row],[TIMBRE ]]+Tableau330[[#This Row],[AUTRES TAXES]]</f>
        <v>58100</v>
      </c>
      <c r="S180" s="122">
        <v>58099.95</v>
      </c>
      <c r="T180" s="122">
        <f>+ROUND(Tableau330[[#This Row],[NET A PAYER]],0)-Tableau330[[#This Row],[MONTANT PAYE]]</f>
        <v>5.0000000002910383E-2</v>
      </c>
      <c r="U180" s="122"/>
      <c r="V180" s="123">
        <f>+Tableau330[[#This Row],[DELAI_PAIEMENT]]+Tableau330[[#This Row],[DATE ]]</f>
        <v>45915</v>
      </c>
      <c r="X180" s="82" t="s">
        <v>1337</v>
      </c>
      <c r="Y180" s="82" t="s">
        <v>623</v>
      </c>
      <c r="Z180" s="120"/>
    </row>
    <row r="181" spans="1:26">
      <c r="A181" s="83">
        <v>45915</v>
      </c>
      <c r="B181" s="83" t="str">
        <f>IF(ISBLANK(Tableau330[[#This Row],[DATE ]]),"",UPPER(PROPER(TEXT(Tableau330[[#This Row],[DATE ]],"mmmm yyyy"))))</f>
        <v>SEPTEMBRE 2025</v>
      </c>
      <c r="C181" s="83" t="s">
        <v>824</v>
      </c>
      <c r="D181" s="120" t="s">
        <v>1320</v>
      </c>
      <c r="E181" s="82" t="s">
        <v>904</v>
      </c>
      <c r="F181" s="120" t="s">
        <v>905</v>
      </c>
      <c r="G181" s="82" t="s">
        <v>822</v>
      </c>
      <c r="H181" s="82" t="s">
        <v>1321</v>
      </c>
      <c r="I181" s="82" t="s">
        <v>12</v>
      </c>
      <c r="J181" s="121">
        <v>1</v>
      </c>
      <c r="K181" s="121"/>
      <c r="L181" s="121"/>
      <c r="M181" s="122">
        <v>54915</v>
      </c>
      <c r="N181" s="122">
        <f>+IF(Tableau330[[#This Row],[CODE TVA]]="",0,ROUND(Tableau330[[#This Row],[MONTANT HT]]*0.18*Tableau330[[#This Row],[PRORATA D]],1))</f>
        <v>9884.7000000000007</v>
      </c>
      <c r="O181" s="122">
        <f>+IFERROR(Tableau330[[#This Row],[MONTANT HT]]+Tableau330[[#This Row],[TVA]],0)</f>
        <v>64799.7</v>
      </c>
      <c r="P181" s="122"/>
      <c r="Q181" s="122"/>
      <c r="R181" s="122">
        <f>+Tableau330[[#This Row],[MONTANT TTC]]+Tableau330[[#This Row],[TIMBRE ]]+Tableau330[[#This Row],[AUTRES TAXES]]</f>
        <v>64799.7</v>
      </c>
      <c r="S181" s="122">
        <v>64799.7</v>
      </c>
      <c r="T181" s="122">
        <f>+ROUND(Tableau330[[#This Row],[NET A PAYER]],0)-Tableau330[[#This Row],[MONTANT PAYE]]</f>
        <v>0.30000000000291038</v>
      </c>
      <c r="U181" s="122"/>
      <c r="V181" s="123">
        <f>+Tableau330[[#This Row],[DELAI_PAIEMENT]]+Tableau330[[#This Row],[DATE ]]</f>
        <v>45915</v>
      </c>
      <c r="X181" s="82" t="s">
        <v>1337</v>
      </c>
      <c r="Y181" s="82" t="s">
        <v>623</v>
      </c>
      <c r="Z181" s="120"/>
    </row>
    <row r="182" spans="1:26">
      <c r="A182" s="83">
        <v>45915</v>
      </c>
      <c r="B182" s="83" t="str">
        <f>IF(ISBLANK(Tableau330[[#This Row],[DATE ]]),"",UPPER(PROPER(TEXT(Tableau330[[#This Row],[DATE ]],"mmmm yyyy"))))</f>
        <v>SEPTEMBRE 2025</v>
      </c>
      <c r="C182" s="83" t="s">
        <v>824</v>
      </c>
      <c r="D182" s="120" t="s">
        <v>1327</v>
      </c>
      <c r="E182" s="82" t="s">
        <v>1056</v>
      </c>
      <c r="F182" s="120" t="s">
        <v>1057</v>
      </c>
      <c r="G182" s="82" t="s">
        <v>822</v>
      </c>
      <c r="H182" s="82" t="s">
        <v>1328</v>
      </c>
      <c r="I182" s="82" t="s">
        <v>12</v>
      </c>
      <c r="J182" s="121">
        <v>1</v>
      </c>
      <c r="K182" s="121"/>
      <c r="L182" s="121"/>
      <c r="M182" s="122">
        <f>132000+390903</f>
        <v>522903</v>
      </c>
      <c r="N182" s="122">
        <f>+IF(Tableau330[[#This Row],[CODE TVA]]="",0,ROUND(Tableau330[[#This Row],[MONTANT HT]]*0.18*Tableau330[[#This Row],[PRORATA D]],1))</f>
        <v>94122.5</v>
      </c>
      <c r="O182" s="122">
        <f>+IFERROR(Tableau330[[#This Row],[MONTANT HT]]+Tableau330[[#This Row],[TVA]],0)</f>
        <v>617025.5</v>
      </c>
      <c r="P182" s="122">
        <v>5899</v>
      </c>
      <c r="Q182" s="122"/>
      <c r="R182" s="122">
        <f>+Tableau330[[#This Row],[MONTANT TTC]]+Tableau330[[#This Row],[TIMBRE ]]+Tableau330[[#This Row],[AUTRES TAXES]]</f>
        <v>622924.5</v>
      </c>
      <c r="S182" s="122"/>
      <c r="T182" s="122">
        <f>+ROUND(Tableau330[[#This Row],[NET A PAYER]],0)-Tableau330[[#This Row],[MONTANT PAYE]]</f>
        <v>622925</v>
      </c>
      <c r="U182" s="122"/>
      <c r="V182" s="123">
        <f>+Tableau330[[#This Row],[DELAI_PAIEMENT]]+Tableau330[[#This Row],[DATE ]]</f>
        <v>45915</v>
      </c>
      <c r="X182" s="82" t="s">
        <v>699</v>
      </c>
      <c r="Z182" s="120"/>
    </row>
    <row r="183" spans="1:26">
      <c r="A183" s="83">
        <v>45916</v>
      </c>
      <c r="B183" s="83" t="str">
        <f>IF(ISBLANK(Tableau330[[#This Row],[DATE ]]),"",UPPER(PROPER(TEXT(Tableau330[[#This Row],[DATE ]],"mmmm yyyy"))))</f>
        <v>SEPTEMBRE 2025</v>
      </c>
      <c r="C183" s="83" t="s">
        <v>824</v>
      </c>
      <c r="D183" s="120" t="s">
        <v>1252</v>
      </c>
      <c r="E183" s="82" t="s">
        <v>945</v>
      </c>
      <c r="F183" s="120" t="s">
        <v>946</v>
      </c>
      <c r="G183" s="82" t="s">
        <v>828</v>
      </c>
      <c r="H183" s="82" t="s">
        <v>1253</v>
      </c>
      <c r="I183" s="82" t="s">
        <v>12</v>
      </c>
      <c r="J183" s="121">
        <v>1</v>
      </c>
      <c r="K183" s="121"/>
      <c r="L183" s="121"/>
      <c r="M183" s="122">
        <v>157203.38983050847</v>
      </c>
      <c r="N183" s="122">
        <f>+IF(Tableau330[[#This Row],[CODE TVA]]="",0,ROUND(Tableau330[[#This Row],[MONTANT HT]]*0.18*Tableau330[[#This Row],[PRORATA D]],1))</f>
        <v>28296.6</v>
      </c>
      <c r="O183" s="122">
        <f>+IFERROR(Tableau330[[#This Row],[MONTANT HT]]+Tableau330[[#This Row],[TVA]],0)</f>
        <v>185499.98983050848</v>
      </c>
      <c r="P183" s="122">
        <v>100</v>
      </c>
      <c r="Q183" s="122"/>
      <c r="R183" s="122">
        <f>+Tableau330[[#This Row],[MONTANT TTC]]+Tableau330[[#This Row],[TIMBRE ]]+Tableau330[[#This Row],[AUTRES TAXES]]</f>
        <v>185599.98983050848</v>
      </c>
      <c r="S183" s="122">
        <v>185600</v>
      </c>
      <c r="T183" s="122">
        <f>+ROUND(Tableau330[[#This Row],[NET A PAYER]],0)-Tableau330[[#This Row],[MONTANT PAYE]]</f>
        <v>0</v>
      </c>
      <c r="U183" s="122"/>
      <c r="V183" s="123">
        <f>+Tableau330[[#This Row],[DELAI_PAIEMENT]]+Tableau330[[#This Row],[DATE ]]</f>
        <v>45916</v>
      </c>
      <c r="X183" s="82" t="s">
        <v>1337</v>
      </c>
      <c r="Y183" s="82" t="s">
        <v>623</v>
      </c>
      <c r="Z183" s="120"/>
    </row>
    <row r="184" spans="1:26">
      <c r="A184" s="83">
        <v>45918</v>
      </c>
      <c r="B184" s="83" t="str">
        <f>IF(ISBLANK(Tableau330[[#This Row],[DATE ]]),"",UPPER(PROPER(TEXT(Tableau330[[#This Row],[DATE ]],"mmmm yyyy"))))</f>
        <v>SEPTEMBRE 2025</v>
      </c>
      <c r="C184" s="83" t="s">
        <v>824</v>
      </c>
      <c r="D184" s="120" t="s">
        <v>1277</v>
      </c>
      <c r="E184" s="82" t="s">
        <v>971</v>
      </c>
      <c r="F184" s="120" t="s">
        <v>972</v>
      </c>
      <c r="G184" s="82" t="s">
        <v>822</v>
      </c>
      <c r="H184" s="82" t="s">
        <v>1278</v>
      </c>
      <c r="I184" s="82" t="s">
        <v>12</v>
      </c>
      <c r="J184" s="121">
        <v>1</v>
      </c>
      <c r="K184" s="121"/>
      <c r="L184" s="121"/>
      <c r="M184" s="122">
        <v>319610</v>
      </c>
      <c r="N184" s="122">
        <f>+IF(Tableau330[[#This Row],[CODE TVA]]="",0,ROUND(Tableau330[[#This Row],[MONTANT HT]]*0.18*Tableau330[[#This Row],[PRORATA D]],1))</f>
        <v>57529.8</v>
      </c>
      <c r="O184" s="122">
        <f>+IFERROR(Tableau330[[#This Row],[MONTANT HT]]+Tableau330[[#This Row],[TVA]],0)</f>
        <v>377139.8</v>
      </c>
      <c r="P184" s="122">
        <v>500</v>
      </c>
      <c r="Q184" s="122"/>
      <c r="R184" s="122">
        <f>+Tableau330[[#This Row],[MONTANT TTC]]+Tableau330[[#This Row],[TIMBRE ]]+Tableau330[[#This Row],[AUTRES TAXES]]</f>
        <v>377639.8</v>
      </c>
      <c r="S184" s="122">
        <v>377639.8</v>
      </c>
      <c r="T184" s="122">
        <f>+ROUND(Tableau330[[#This Row],[NET A PAYER]],0)-Tableau330[[#This Row],[MONTANT PAYE]]</f>
        <v>0.20000000001164153</v>
      </c>
      <c r="U184" s="122"/>
      <c r="V184" s="123">
        <f>+Tableau330[[#This Row],[DELAI_PAIEMENT]]+Tableau330[[#This Row],[DATE ]]</f>
        <v>45918</v>
      </c>
      <c r="X184" s="82" t="s">
        <v>1337</v>
      </c>
      <c r="Y184" s="82" t="s">
        <v>623</v>
      </c>
      <c r="Z184" s="120"/>
    </row>
    <row r="185" spans="1:26">
      <c r="A185" s="83">
        <v>45918</v>
      </c>
      <c r="B185" s="83" t="str">
        <f>IF(ISBLANK(Tableau330[[#This Row],[DATE ]]),"",UPPER(PROPER(TEXT(Tableau330[[#This Row],[DATE ]],"mmmm yyyy"))))</f>
        <v>SEPTEMBRE 2025</v>
      </c>
      <c r="C185" s="83" t="s">
        <v>824</v>
      </c>
      <c r="D185" s="120" t="s">
        <v>1281</v>
      </c>
      <c r="E185" s="82" t="s">
        <v>904</v>
      </c>
      <c r="F185" s="120" t="s">
        <v>905</v>
      </c>
      <c r="G185" s="82" t="s">
        <v>822</v>
      </c>
      <c r="H185" s="82" t="s">
        <v>1282</v>
      </c>
      <c r="I185" s="82" t="s">
        <v>12</v>
      </c>
      <c r="J185" s="121">
        <v>1</v>
      </c>
      <c r="K185" s="121"/>
      <c r="L185" s="121"/>
      <c r="M185" s="122">
        <v>44915</v>
      </c>
      <c r="N185" s="122">
        <f>+IF(Tableau330[[#This Row],[CODE TVA]]="",0,ROUND(Tableau330[[#This Row],[MONTANT HT]]*0.18*Tableau330[[#This Row],[PRORATA D]],1))</f>
        <v>8084.7</v>
      </c>
      <c r="O185" s="122">
        <f>+IFERROR(Tableau330[[#This Row],[MONTANT HT]]+Tableau330[[#This Row],[TVA]],0)</f>
        <v>52999.7</v>
      </c>
      <c r="P185" s="122"/>
      <c r="Q185" s="122"/>
      <c r="R185" s="122">
        <f>+Tableau330[[#This Row],[MONTANT TTC]]+Tableau330[[#This Row],[TIMBRE ]]+Tableau330[[#This Row],[AUTRES TAXES]]</f>
        <v>52999.7</v>
      </c>
      <c r="S185" s="122">
        <v>52999.7</v>
      </c>
      <c r="T185" s="122">
        <f>+ROUND(Tableau330[[#This Row],[NET A PAYER]],0)-Tableau330[[#This Row],[MONTANT PAYE]]</f>
        <v>0.30000000000291038</v>
      </c>
      <c r="U185" s="122"/>
      <c r="V185" s="123">
        <f>+Tableau330[[#This Row],[DELAI_PAIEMENT]]+Tableau330[[#This Row],[DATE ]]</f>
        <v>45918</v>
      </c>
      <c r="X185" s="82" t="s">
        <v>1337</v>
      </c>
      <c r="Y185" s="82" t="s">
        <v>623</v>
      </c>
      <c r="Z185" s="120"/>
    </row>
    <row r="186" spans="1:26">
      <c r="A186" s="83">
        <v>45919</v>
      </c>
      <c r="B186" s="83" t="str">
        <f>IF(ISBLANK(Tableau330[[#This Row],[DATE ]]),"",UPPER(PROPER(TEXT(Tableau330[[#This Row],[DATE ]],"mmmm yyyy"))))</f>
        <v>SEPTEMBRE 2025</v>
      </c>
      <c r="C186" s="83" t="s">
        <v>824</v>
      </c>
      <c r="D186" s="120" t="s">
        <v>1287</v>
      </c>
      <c r="E186" s="82" t="s">
        <v>1288</v>
      </c>
      <c r="F186" s="120" t="s">
        <v>858</v>
      </c>
      <c r="G186" s="82" t="s">
        <v>822</v>
      </c>
      <c r="H186" s="82" t="s">
        <v>1289</v>
      </c>
      <c r="I186" s="82" t="s">
        <v>12</v>
      </c>
      <c r="J186" s="121">
        <v>1</v>
      </c>
      <c r="K186" s="121"/>
      <c r="L186" s="121"/>
      <c r="M186" s="122">
        <v>64068</v>
      </c>
      <c r="N186" s="122">
        <f>+IF(Tableau330[[#This Row],[CODE TVA]]="",0,ROUND(Tableau330[[#This Row],[MONTANT HT]]*0.18*Tableau330[[#This Row],[PRORATA D]],1))</f>
        <v>11532.2</v>
      </c>
      <c r="O186" s="122">
        <f>+IFERROR(Tableau330[[#This Row],[MONTANT HT]]+Tableau330[[#This Row],[TVA]],0)</f>
        <v>75600.2</v>
      </c>
      <c r="P186" s="122"/>
      <c r="Q186" s="122"/>
      <c r="R186" s="122">
        <f>+Tableau330[[#This Row],[MONTANT TTC]]+Tableau330[[#This Row],[TIMBRE ]]+Tableau330[[#This Row],[AUTRES TAXES]]</f>
        <v>75600.2</v>
      </c>
      <c r="S186" s="122">
        <v>75600</v>
      </c>
      <c r="T186" s="122">
        <f>+ROUND(Tableau330[[#This Row],[NET A PAYER]],0)-Tableau330[[#This Row],[MONTANT PAYE]]</f>
        <v>0</v>
      </c>
      <c r="U186" s="122"/>
      <c r="V186" s="123">
        <f>+Tableau330[[#This Row],[DELAI_PAIEMENT]]+Tableau330[[#This Row],[DATE ]]</f>
        <v>45919</v>
      </c>
      <c r="X186" s="82" t="s">
        <v>1337</v>
      </c>
      <c r="Y186" s="82" t="s">
        <v>623</v>
      </c>
      <c r="Z186" s="120"/>
    </row>
    <row r="187" spans="1:26">
      <c r="A187" s="83">
        <v>45922</v>
      </c>
      <c r="B187" s="83" t="str">
        <f>IF(ISBLANK(Tableau330[[#This Row],[DATE ]]),"",UPPER(PROPER(TEXT(Tableau330[[#This Row],[DATE ]],"mmmm yyyy"))))</f>
        <v>SEPTEMBRE 2025</v>
      </c>
      <c r="C187" s="83" t="s">
        <v>824</v>
      </c>
      <c r="D187" s="120" t="s">
        <v>1279</v>
      </c>
      <c r="E187" s="82" t="s">
        <v>971</v>
      </c>
      <c r="F187" s="120" t="s">
        <v>972</v>
      </c>
      <c r="G187" s="82" t="s">
        <v>822</v>
      </c>
      <c r="H187" s="82" t="s">
        <v>1280</v>
      </c>
      <c r="I187" s="82" t="s">
        <v>12</v>
      </c>
      <c r="J187" s="121">
        <v>1</v>
      </c>
      <c r="K187" s="121"/>
      <c r="L187" s="121"/>
      <c r="M187" s="122">
        <v>354344</v>
      </c>
      <c r="N187" s="122">
        <f>+IF(Tableau330[[#This Row],[CODE TVA]]="",0,ROUND(Tableau330[[#This Row],[MONTANT HT]]*0.18*Tableau330[[#This Row],[PRORATA D]],1))</f>
        <v>63781.9</v>
      </c>
      <c r="O187" s="122">
        <f>+IFERROR(Tableau330[[#This Row],[MONTANT HT]]+Tableau330[[#This Row],[TVA]],0)</f>
        <v>418125.9</v>
      </c>
      <c r="P187" s="122"/>
      <c r="Q187" s="122"/>
      <c r="R187" s="122">
        <f>+Tableau330[[#This Row],[MONTANT TTC]]+Tableau330[[#This Row],[TIMBRE ]]+Tableau330[[#This Row],[AUTRES TAXES]]</f>
        <v>418125.9</v>
      </c>
      <c r="S187" s="122">
        <v>418125.92</v>
      </c>
      <c r="T187" s="122">
        <f>+ROUND(Tableau330[[#This Row],[NET A PAYER]],0)-Tableau330[[#This Row],[MONTANT PAYE]]</f>
        <v>8.0000000016298145E-2</v>
      </c>
      <c r="U187" s="122"/>
      <c r="V187" s="123">
        <f>+Tableau330[[#This Row],[DELAI_PAIEMENT]]+Tableau330[[#This Row],[DATE ]]</f>
        <v>45922</v>
      </c>
      <c r="X187" s="82" t="s">
        <v>1337</v>
      </c>
      <c r="Y187" s="82" t="s">
        <v>623</v>
      </c>
      <c r="Z187" s="120"/>
    </row>
    <row r="188" spans="1:26">
      <c r="A188" s="83">
        <v>45922</v>
      </c>
      <c r="B188" s="83" t="str">
        <f>IF(ISBLANK(Tableau330[[#This Row],[DATE ]]),"",UPPER(PROPER(TEXT(Tableau330[[#This Row],[DATE ]],"mmmm yyyy"))))</f>
        <v>SEPTEMBRE 2025</v>
      </c>
      <c r="C188" s="83" t="s">
        <v>824</v>
      </c>
      <c r="D188" s="120" t="s">
        <v>1283</v>
      </c>
      <c r="E188" s="82" t="s">
        <v>1134</v>
      </c>
      <c r="F188" s="120"/>
      <c r="H188" s="82" t="s">
        <v>1284</v>
      </c>
      <c r="J188" s="121"/>
      <c r="K188" s="121"/>
      <c r="L188" s="121"/>
      <c r="M188" s="122">
        <v>240000</v>
      </c>
      <c r="N188" s="122">
        <f>+IF(Tableau330[[#This Row],[CODE TVA]]="",0,ROUND(Tableau330[[#This Row],[MONTANT HT]]*0.18*Tableau330[[#This Row],[PRORATA D]],1))</f>
        <v>0</v>
      </c>
      <c r="O188" s="122">
        <f>+IFERROR(Tableau330[[#This Row],[MONTANT HT]]+Tableau330[[#This Row],[TVA]],0)</f>
        <v>240000</v>
      </c>
      <c r="P188" s="122"/>
      <c r="Q188" s="122"/>
      <c r="R188" s="122">
        <f>+Tableau330[[#This Row],[MONTANT TTC]]+Tableau330[[#This Row],[TIMBRE ]]+Tableau330[[#This Row],[AUTRES TAXES]]</f>
        <v>240000</v>
      </c>
      <c r="S188" s="122">
        <v>240000</v>
      </c>
      <c r="T188" s="122">
        <f>+ROUND(Tableau330[[#This Row],[NET A PAYER]],0)-Tableau330[[#This Row],[MONTANT PAYE]]</f>
        <v>0</v>
      </c>
      <c r="U188" s="122"/>
      <c r="V188" s="123">
        <f>+Tableau330[[#This Row],[DELAI_PAIEMENT]]+Tableau330[[#This Row],[DATE ]]</f>
        <v>45922</v>
      </c>
      <c r="X188" s="82" t="s">
        <v>1337</v>
      </c>
      <c r="Y188" s="82" t="s">
        <v>623</v>
      </c>
      <c r="Z188" s="120"/>
    </row>
    <row r="189" spans="1:26">
      <c r="A189" s="83">
        <v>45923</v>
      </c>
      <c r="B189" s="83" t="str">
        <f>IF(ISBLANK(Tableau330[[#This Row],[DATE ]]),"",UPPER(PROPER(TEXT(Tableau330[[#This Row],[DATE ]],"mmmm yyyy"))))</f>
        <v>SEPTEMBRE 2025</v>
      </c>
      <c r="C189" s="83" t="s">
        <v>824</v>
      </c>
      <c r="D189" s="120" t="s">
        <v>1285</v>
      </c>
      <c r="E189" s="82" t="s">
        <v>904</v>
      </c>
      <c r="F189" s="120" t="s">
        <v>905</v>
      </c>
      <c r="G189" s="82" t="s">
        <v>822</v>
      </c>
      <c r="H189" s="82" t="s">
        <v>1193</v>
      </c>
      <c r="I189" s="82" t="s">
        <v>12</v>
      </c>
      <c r="J189" s="121">
        <v>1</v>
      </c>
      <c r="K189" s="121"/>
      <c r="L189" s="121"/>
      <c r="M189" s="122">
        <v>12500</v>
      </c>
      <c r="N189" s="122">
        <f>+IF(Tableau330[[#This Row],[CODE TVA]]="",0,ROUND(Tableau330[[#This Row],[MONTANT HT]]*0.18*Tableau330[[#This Row],[PRORATA D]],1))</f>
        <v>2250</v>
      </c>
      <c r="O189" s="122">
        <f>+IFERROR(Tableau330[[#This Row],[MONTANT HT]]+Tableau330[[#This Row],[TVA]],0)</f>
        <v>14750</v>
      </c>
      <c r="P189" s="122"/>
      <c r="Q189" s="122"/>
      <c r="R189" s="122">
        <f>+Tableau330[[#This Row],[MONTANT TTC]]+Tableau330[[#This Row],[TIMBRE ]]+Tableau330[[#This Row],[AUTRES TAXES]]</f>
        <v>14750</v>
      </c>
      <c r="S189" s="122">
        <v>14750</v>
      </c>
      <c r="T189" s="122">
        <f>+ROUND(Tableau330[[#This Row],[NET A PAYER]],0)-Tableau330[[#This Row],[MONTANT PAYE]]</f>
        <v>0</v>
      </c>
      <c r="U189" s="122"/>
      <c r="V189" s="123">
        <f>+Tableau330[[#This Row],[DELAI_PAIEMENT]]+Tableau330[[#This Row],[DATE ]]</f>
        <v>45923</v>
      </c>
      <c r="X189" s="82" t="s">
        <v>1337</v>
      </c>
      <c r="Y189" s="82" t="s">
        <v>623</v>
      </c>
      <c r="Z189" s="120"/>
    </row>
    <row r="190" spans="1:26">
      <c r="A190" s="83">
        <v>45923</v>
      </c>
      <c r="B190" s="83" t="str">
        <f>IF(ISBLANK(Tableau330[[#This Row],[DATE ]]),"",UPPER(PROPER(TEXT(Tableau330[[#This Row],[DATE ]],"mmmm yyyy"))))</f>
        <v>SEPTEMBRE 2025</v>
      </c>
      <c r="C190" s="83" t="s">
        <v>824</v>
      </c>
      <c r="D190" s="120" t="s">
        <v>1286</v>
      </c>
      <c r="E190" s="82" t="s">
        <v>904</v>
      </c>
      <c r="F190" s="120" t="s">
        <v>905</v>
      </c>
      <c r="G190" s="82" t="s">
        <v>822</v>
      </c>
      <c r="H190" s="82" t="s">
        <v>1282</v>
      </c>
      <c r="I190" s="82" t="s">
        <v>12</v>
      </c>
      <c r="J190" s="121">
        <v>1</v>
      </c>
      <c r="K190" s="121"/>
      <c r="L190" s="121"/>
      <c r="M190" s="122">
        <v>33051</v>
      </c>
      <c r="N190" s="122">
        <f>+IF(Tableau330[[#This Row],[CODE TVA]]="",0,ROUND(Tableau330[[#This Row],[MONTANT HT]]*0.18*Tableau330[[#This Row],[PRORATA D]],1))</f>
        <v>5949.2</v>
      </c>
      <c r="O190" s="122">
        <f>+IFERROR(Tableau330[[#This Row],[MONTANT HT]]+Tableau330[[#This Row],[TVA]],0)</f>
        <v>39000.199999999997</v>
      </c>
      <c r="P190" s="122"/>
      <c r="Q190" s="122"/>
      <c r="R190" s="122">
        <f>+Tableau330[[#This Row],[MONTANT TTC]]+Tableau330[[#This Row],[TIMBRE ]]+Tableau330[[#This Row],[AUTRES TAXES]]</f>
        <v>39000.199999999997</v>
      </c>
      <c r="S190" s="122">
        <v>39000</v>
      </c>
      <c r="T190" s="122">
        <f>+ROUND(Tableau330[[#This Row],[NET A PAYER]],0)-Tableau330[[#This Row],[MONTANT PAYE]]</f>
        <v>0</v>
      </c>
      <c r="U190" s="122"/>
      <c r="V190" s="123">
        <f>+Tableau330[[#This Row],[DELAI_PAIEMENT]]+Tableau330[[#This Row],[DATE ]]</f>
        <v>45923</v>
      </c>
      <c r="X190" s="82" t="s">
        <v>1337</v>
      </c>
      <c r="Y190" s="82" t="s">
        <v>623</v>
      </c>
      <c r="Z190" s="120"/>
    </row>
    <row r="191" spans="1:26">
      <c r="A191" s="83">
        <v>45923</v>
      </c>
      <c r="B191" s="83" t="str">
        <f>IF(ISBLANK(Tableau330[[#This Row],[DATE ]]),"",UPPER(PROPER(TEXT(Tableau330[[#This Row],[DATE ]],"mmmm yyyy"))))</f>
        <v>SEPTEMBRE 2025</v>
      </c>
      <c r="C191" s="83" t="s">
        <v>824</v>
      </c>
      <c r="D191" s="120" t="s">
        <v>1322</v>
      </c>
      <c r="E191" s="82" t="s">
        <v>1323</v>
      </c>
      <c r="F191" s="120" t="s">
        <v>1324</v>
      </c>
      <c r="G191" s="82" t="s">
        <v>951</v>
      </c>
      <c r="H191" s="82" t="s">
        <v>1325</v>
      </c>
      <c r="J191" s="121"/>
      <c r="K191" s="121"/>
      <c r="L191" s="121"/>
      <c r="M191" s="122">
        <v>380000</v>
      </c>
      <c r="N191" s="122">
        <f>+IF(Tableau330[[#This Row],[CODE TVA]]="",0,ROUND(Tableau330[[#This Row],[MONTANT HT]]*0.18*Tableau330[[#This Row],[PRORATA D]],1))</f>
        <v>0</v>
      </c>
      <c r="O191" s="122">
        <f>+IFERROR(Tableau330[[#This Row],[MONTANT HT]]+Tableau330[[#This Row],[TVA]],0)</f>
        <v>380000</v>
      </c>
      <c r="P191" s="122"/>
      <c r="Q191" s="122"/>
      <c r="R191" s="122">
        <f>+Tableau330[[#This Row],[MONTANT TTC]]+Tableau330[[#This Row],[TIMBRE ]]+Tableau330[[#This Row],[AUTRES TAXES]]</f>
        <v>380000</v>
      </c>
      <c r="S191" s="122">
        <v>380000</v>
      </c>
      <c r="T191" s="122">
        <f>+ROUND(Tableau330[[#This Row],[NET A PAYER]],0)-Tableau330[[#This Row],[MONTANT PAYE]]</f>
        <v>0</v>
      </c>
      <c r="U191" s="122"/>
      <c r="V191" s="123">
        <f>+Tableau330[[#This Row],[DELAI_PAIEMENT]]+Tableau330[[#This Row],[DATE ]]</f>
        <v>45923</v>
      </c>
      <c r="X191" s="82" t="s">
        <v>1337</v>
      </c>
      <c r="Y191" s="82" t="s">
        <v>619</v>
      </c>
      <c r="Z191" s="120"/>
    </row>
    <row r="192" spans="1:26">
      <c r="A192" s="83">
        <v>45924</v>
      </c>
      <c r="B192" s="83" t="str">
        <f>IF(ISBLANK(Tableau330[[#This Row],[DATE ]]),"",UPPER(PROPER(TEXT(Tableau330[[#This Row],[DATE ]],"mmmm yyyy"))))</f>
        <v>SEPTEMBRE 2025</v>
      </c>
      <c r="C192" s="83" t="s">
        <v>824</v>
      </c>
      <c r="D192" s="120" t="s">
        <v>1254</v>
      </c>
      <c r="E192" s="82" t="s">
        <v>1145</v>
      </c>
      <c r="F192" s="120" t="s">
        <v>1146</v>
      </c>
      <c r="G192" s="82" t="s">
        <v>951</v>
      </c>
      <c r="H192" s="82" t="s">
        <v>1197</v>
      </c>
      <c r="J192" s="121"/>
      <c r="K192" s="121"/>
      <c r="L192" s="121"/>
      <c r="M192" s="122">
        <v>100000</v>
      </c>
      <c r="N192" s="122">
        <f>+IF(Tableau330[[#This Row],[CODE TVA]]="",0,ROUND(Tableau330[[#This Row],[MONTANT HT]]*0.18*Tableau330[[#This Row],[PRORATA D]],1))</f>
        <v>0</v>
      </c>
      <c r="O192" s="122">
        <f>+IFERROR(Tableau330[[#This Row],[MONTANT HT]]+Tableau330[[#This Row],[TVA]],0)</f>
        <v>100000</v>
      </c>
      <c r="P192" s="122"/>
      <c r="Q192" s="122"/>
      <c r="R192" s="122">
        <f>+Tableau330[[#This Row],[MONTANT TTC]]+Tableau330[[#This Row],[TIMBRE ]]+Tableau330[[#This Row],[AUTRES TAXES]]</f>
        <v>100000</v>
      </c>
      <c r="S192" s="122">
        <v>100000</v>
      </c>
      <c r="T192" s="122">
        <f>+ROUND(Tableau330[[#This Row],[NET A PAYER]],0)-Tableau330[[#This Row],[MONTANT PAYE]]</f>
        <v>0</v>
      </c>
      <c r="U192" s="122"/>
      <c r="V192" s="123">
        <f>+Tableau330[[#This Row],[DELAI_PAIEMENT]]+Tableau330[[#This Row],[DATE ]]</f>
        <v>45924</v>
      </c>
      <c r="X192" s="82" t="s">
        <v>1337</v>
      </c>
      <c r="Y192" s="82" t="s">
        <v>623</v>
      </c>
      <c r="Z192" s="120"/>
    </row>
    <row r="193" spans="1:27">
      <c r="A193" s="83">
        <v>45925</v>
      </c>
      <c r="B193" s="83" t="str">
        <f>IF(ISBLANK(Tableau330[[#This Row],[DATE ]]),"",UPPER(PROPER(TEXT(Tableau330[[#This Row],[DATE ]],"mmmm yyyy"))))</f>
        <v>SEPTEMBRE 2025</v>
      </c>
      <c r="C193" s="83" t="s">
        <v>824</v>
      </c>
      <c r="D193" s="120" t="s">
        <v>1264</v>
      </c>
      <c r="E193" s="82" t="s">
        <v>1265</v>
      </c>
      <c r="F193" s="120" t="s">
        <v>1266</v>
      </c>
      <c r="G193" s="82" t="s">
        <v>1267</v>
      </c>
      <c r="H193" s="82" t="s">
        <v>1268</v>
      </c>
      <c r="I193" s="82" t="s">
        <v>12</v>
      </c>
      <c r="J193" s="121">
        <v>1</v>
      </c>
      <c r="K193" s="121"/>
      <c r="L193" s="121"/>
      <c r="M193" s="122">
        <v>84746</v>
      </c>
      <c r="N193" s="122">
        <f>+IF(Tableau330[[#This Row],[CODE TVA]]="",0,ROUND(Tableau330[[#This Row],[MONTANT HT]]*0.18*Tableau330[[#This Row],[PRORATA D]],1))</f>
        <v>15254.3</v>
      </c>
      <c r="O193" s="122">
        <f>+IFERROR(Tableau330[[#This Row],[MONTANT HT]]+Tableau330[[#This Row],[TVA]],0)</f>
        <v>100000.3</v>
      </c>
      <c r="P193" s="122"/>
      <c r="Q193" s="122"/>
      <c r="R193" s="122">
        <f>+Tableau330[[#This Row],[MONTANT TTC]]+Tableau330[[#This Row],[TIMBRE ]]+Tableau330[[#This Row],[AUTRES TAXES]]</f>
        <v>100000.3</v>
      </c>
      <c r="S193" s="122">
        <v>100000</v>
      </c>
      <c r="T193" s="122">
        <f>+ROUND(Tableau330[[#This Row],[NET A PAYER]],0)-Tableau330[[#This Row],[MONTANT PAYE]]</f>
        <v>0</v>
      </c>
      <c r="U193" s="122"/>
      <c r="V193" s="123">
        <f>+Tableau330[[#This Row],[DELAI_PAIEMENT]]+Tableau330[[#This Row],[DATE ]]</f>
        <v>45925</v>
      </c>
      <c r="X193" s="82" t="s">
        <v>1337</v>
      </c>
      <c r="Y193" s="82" t="s">
        <v>623</v>
      </c>
      <c r="Z193" s="120"/>
      <c r="AA193" s="82" t="s">
        <v>1269</v>
      </c>
    </row>
    <row r="194" spans="1:27">
      <c r="A194" s="83">
        <v>45926</v>
      </c>
      <c r="B194" s="83" t="str">
        <f>IF(ISBLANK(Tableau330[[#This Row],[DATE ]]),"",UPPER(PROPER(TEXT(Tableau330[[#This Row],[DATE ]],"mmmm yyyy"))))</f>
        <v>SEPTEMBRE 2025</v>
      </c>
      <c r="C194" s="83" t="s">
        <v>824</v>
      </c>
      <c r="D194" s="120" t="s">
        <v>1255</v>
      </c>
      <c r="E194" s="82" t="s">
        <v>1256</v>
      </c>
      <c r="F194" s="120" t="s">
        <v>1257</v>
      </c>
      <c r="G194" s="82" t="s">
        <v>822</v>
      </c>
      <c r="H194" s="82" t="s">
        <v>983</v>
      </c>
      <c r="I194" s="82" t="s">
        <v>12</v>
      </c>
      <c r="J194" s="121">
        <v>1</v>
      </c>
      <c r="K194" s="121"/>
      <c r="L194" s="121"/>
      <c r="M194" s="122">
        <v>34475</v>
      </c>
      <c r="N194" s="122">
        <f>+IF(Tableau330[[#This Row],[CODE TVA]]="",0,ROUND(Tableau330[[#This Row],[MONTANT HT]]*0.18*Tableau330[[#This Row],[PRORATA D]],1))</f>
        <v>6205.5</v>
      </c>
      <c r="O194" s="122">
        <f>+IFERROR(Tableau330[[#This Row],[MONTANT HT]]+Tableau330[[#This Row],[TVA]],0)</f>
        <v>40680.5</v>
      </c>
      <c r="P194" s="122"/>
      <c r="Q194" s="122"/>
      <c r="R194" s="122">
        <f>+Tableau330[[#This Row],[MONTANT TTC]]+Tableau330[[#This Row],[TIMBRE ]]+Tableau330[[#This Row],[AUTRES TAXES]]</f>
        <v>40680.5</v>
      </c>
      <c r="S194" s="122">
        <v>40681</v>
      </c>
      <c r="T194" s="122">
        <f>+ROUND(Tableau330[[#This Row],[NET A PAYER]],0)-Tableau330[[#This Row],[MONTANT PAYE]]</f>
        <v>0</v>
      </c>
      <c r="U194" s="122"/>
      <c r="V194" s="123">
        <f>+Tableau330[[#This Row],[DELAI_PAIEMENT]]+Tableau330[[#This Row],[DATE ]]</f>
        <v>45926</v>
      </c>
      <c r="X194" s="82" t="s">
        <v>1337</v>
      </c>
      <c r="Y194" s="82" t="s">
        <v>623</v>
      </c>
      <c r="Z194" s="120"/>
    </row>
    <row r="195" spans="1:27">
      <c r="A195" s="83">
        <v>45926</v>
      </c>
      <c r="B195" s="83" t="str">
        <f>IF(ISBLANK(Tableau330[[#This Row],[DATE ]]),"",UPPER(PROPER(TEXT(Tableau330[[#This Row],[DATE ]],"mmmm yyyy"))))</f>
        <v>SEPTEMBRE 2025</v>
      </c>
      <c r="C195" s="83" t="s">
        <v>824</v>
      </c>
      <c r="D195" s="120" t="s">
        <v>1274</v>
      </c>
      <c r="E195" s="82" t="s">
        <v>832</v>
      </c>
      <c r="F195" s="120" t="s">
        <v>833</v>
      </c>
      <c r="G195" s="82" t="s">
        <v>828</v>
      </c>
      <c r="H195" s="82" t="s">
        <v>1275</v>
      </c>
      <c r="I195" s="82" t="s">
        <v>12</v>
      </c>
      <c r="J195" s="125">
        <v>0.94497201827129096</v>
      </c>
      <c r="K195" s="125"/>
      <c r="L195" s="125"/>
      <c r="M195" s="122">
        <v>19989.830000000002</v>
      </c>
      <c r="N195" s="122">
        <f>+IF(Tableau330[[#This Row],[CODE TVA]]="",0,ROUND(Tableau330[[#This Row],[MONTANT HT]]*0.18*Tableau330[[#This Row],[PRORATA D]],1))</f>
        <v>3400.2</v>
      </c>
      <c r="O195" s="122">
        <f>+IFERROR(Tableau330[[#This Row],[MONTANT HT]]+Tableau330[[#This Row],[TVA]],0)</f>
        <v>23390.030000000002</v>
      </c>
      <c r="P195" s="122"/>
      <c r="Q195" s="122"/>
      <c r="R195" s="122">
        <f>+Tableau330[[#This Row],[MONTANT TTC]]+Tableau330[[#This Row],[TIMBRE ]]+Tableau330[[#This Row],[AUTRES TAXES]]</f>
        <v>23390.030000000002</v>
      </c>
      <c r="S195" s="122">
        <v>23389.999400000001</v>
      </c>
      <c r="T195" s="122">
        <f>+ROUND(Tableau330[[#This Row],[NET A PAYER]],0)-Tableau330[[#This Row],[MONTANT PAYE]]</f>
        <v>5.9999999939464033E-4</v>
      </c>
      <c r="U195" s="122"/>
      <c r="V195" s="123">
        <f>+Tableau330[[#This Row],[DELAI_PAIEMENT]]+Tableau330[[#This Row],[DATE ]]</f>
        <v>45926</v>
      </c>
      <c r="X195" s="82" t="s">
        <v>1337</v>
      </c>
      <c r="Y195" s="82" t="s">
        <v>623</v>
      </c>
      <c r="Z195" s="120"/>
    </row>
    <row r="196" spans="1:27">
      <c r="A196" s="83">
        <v>45926</v>
      </c>
      <c r="B196" s="83" t="str">
        <f>IF(ISBLANK(Tableau330[[#This Row],[DATE ]]),"",UPPER(PROPER(TEXT(Tableau330[[#This Row],[DATE ]],"mmmm yyyy"))))</f>
        <v>SEPTEMBRE 2025</v>
      </c>
      <c r="C196" s="83" t="s">
        <v>824</v>
      </c>
      <c r="D196" s="120" t="s">
        <v>1276</v>
      </c>
      <c r="E196" s="82" t="s">
        <v>832</v>
      </c>
      <c r="F196" s="120" t="s">
        <v>833</v>
      </c>
      <c r="G196" s="82" t="s">
        <v>828</v>
      </c>
      <c r="H196" s="82" t="s">
        <v>855</v>
      </c>
      <c r="J196" s="121"/>
      <c r="K196" s="121"/>
      <c r="L196" s="121"/>
      <c r="M196" s="122">
        <v>25400</v>
      </c>
      <c r="N196" s="122">
        <f>+IF(Tableau330[[#This Row],[CODE TVA]]="",0,ROUND(Tableau330[[#This Row],[MONTANT HT]]*0.18*Tableau330[[#This Row],[PRORATA D]],1))</f>
        <v>0</v>
      </c>
      <c r="O196" s="122">
        <f>+IFERROR(Tableau330[[#This Row],[MONTANT HT]]+Tableau330[[#This Row],[TVA]],0)</f>
        <v>25400</v>
      </c>
      <c r="P196" s="122"/>
      <c r="Q196" s="122"/>
      <c r="R196" s="122">
        <f>+Tableau330[[#This Row],[MONTANT TTC]]+Tableau330[[#This Row],[TIMBRE ]]+Tableau330[[#This Row],[AUTRES TAXES]]</f>
        <v>25400</v>
      </c>
      <c r="S196" s="122">
        <v>25400</v>
      </c>
      <c r="T196" s="122">
        <f>+ROUND(Tableau330[[#This Row],[NET A PAYER]],0)-Tableau330[[#This Row],[MONTANT PAYE]]</f>
        <v>0</v>
      </c>
      <c r="U196" s="122"/>
      <c r="V196" s="123">
        <f>+Tableau330[[#This Row],[DELAI_PAIEMENT]]+Tableau330[[#This Row],[DATE ]]</f>
        <v>45926</v>
      </c>
      <c r="X196" s="82" t="s">
        <v>1337</v>
      </c>
      <c r="Y196" s="82" t="s">
        <v>623</v>
      </c>
      <c r="Z196" s="120"/>
    </row>
    <row r="197" spans="1:27">
      <c r="A197" s="83">
        <v>45927</v>
      </c>
      <c r="B197" s="83" t="str">
        <f>IF(ISBLANK(Tableau330[[#This Row],[DATE ]]),"",UPPER(PROPER(TEXT(Tableau330[[#This Row],[DATE ]],"mmmm yyyy"))))</f>
        <v>SEPTEMBRE 2025</v>
      </c>
      <c r="C197" s="83" t="s">
        <v>819</v>
      </c>
      <c r="D197" s="120" t="s">
        <v>1260</v>
      </c>
      <c r="E197" s="82" t="s">
        <v>1261</v>
      </c>
      <c r="F197" s="120" t="s">
        <v>1262</v>
      </c>
      <c r="H197" s="82" t="s">
        <v>1263</v>
      </c>
      <c r="J197" s="121"/>
      <c r="K197" s="121"/>
      <c r="L197" s="121"/>
      <c r="M197" s="122">
        <v>160000</v>
      </c>
      <c r="N197" s="122">
        <f>+IF(Tableau330[[#This Row],[CODE TVA]]="",0,ROUND(Tableau330[[#This Row],[MONTANT HT]]*0.18*Tableau330[[#This Row],[PRORATA D]],1))</f>
        <v>0</v>
      </c>
      <c r="O197" s="122">
        <f>+IFERROR(Tableau330[[#This Row],[MONTANT HT]]+Tableau330[[#This Row],[TVA]],0)</f>
        <v>160000</v>
      </c>
      <c r="P197" s="122"/>
      <c r="Q197" s="122"/>
      <c r="R197" s="122">
        <f>+Tableau330[[#This Row],[MONTANT TTC]]+Tableau330[[#This Row],[TIMBRE ]]+Tableau330[[#This Row],[AUTRES TAXES]]</f>
        <v>160000</v>
      </c>
      <c r="S197" s="122">
        <v>160000</v>
      </c>
      <c r="T197" s="122">
        <f>+ROUND(Tableau330[[#This Row],[NET A PAYER]],0)-Tableau330[[#This Row],[MONTANT PAYE]]</f>
        <v>0</v>
      </c>
      <c r="U197" s="122"/>
      <c r="V197" s="123">
        <f>+Tableau330[[#This Row],[DELAI_PAIEMENT]]+Tableau330[[#This Row],[DATE ]]</f>
        <v>45927</v>
      </c>
      <c r="X197" s="82" t="s">
        <v>1337</v>
      </c>
      <c r="Y197" s="82" t="s">
        <v>623</v>
      </c>
      <c r="Z197" s="120"/>
      <c r="AA197" s="82" t="s">
        <v>1269</v>
      </c>
    </row>
    <row r="198" spans="1:27">
      <c r="A198" s="83">
        <v>45927</v>
      </c>
      <c r="B198" s="83" t="str">
        <f>IF(ISBLANK(Tableau330[[#This Row],[DATE ]]),"",UPPER(PROPER(TEXT(Tableau330[[#This Row],[DATE ]],"mmmm yyyy"))))</f>
        <v>SEPTEMBRE 2025</v>
      </c>
      <c r="C198" s="83" t="s">
        <v>824</v>
      </c>
      <c r="D198" s="120" t="s">
        <v>1270</v>
      </c>
      <c r="E198" s="82" t="s">
        <v>1271</v>
      </c>
      <c r="F198" s="120" t="s">
        <v>1272</v>
      </c>
      <c r="G198" s="82" t="s">
        <v>828</v>
      </c>
      <c r="H198" s="82" t="s">
        <v>1273</v>
      </c>
      <c r="I198" s="82" t="s">
        <v>12</v>
      </c>
      <c r="J198" s="125">
        <v>0.95</v>
      </c>
      <c r="K198" s="125"/>
      <c r="L198" s="125"/>
      <c r="M198" s="122">
        <v>93937</v>
      </c>
      <c r="N198" s="122">
        <f>+IF(Tableau330[[#This Row],[CODE TVA]]="",0,ROUND(Tableau330[[#This Row],[MONTANT HT]]*0.18*Tableau330[[#This Row],[PRORATA D]],1))</f>
        <v>16063.2</v>
      </c>
      <c r="O198" s="122">
        <f>+IFERROR(Tableau330[[#This Row],[MONTANT HT]]+Tableau330[[#This Row],[TVA]],0)</f>
        <v>110000.2</v>
      </c>
      <c r="P198" s="122"/>
      <c r="Q198" s="122"/>
      <c r="R198" s="122">
        <f>+Tableau330[[#This Row],[MONTANT TTC]]+Tableau330[[#This Row],[TIMBRE ]]+Tableau330[[#This Row],[AUTRES TAXES]]</f>
        <v>110000.2</v>
      </c>
      <c r="S198" s="122">
        <v>110000</v>
      </c>
      <c r="T198" s="122">
        <f>+ROUND(Tableau330[[#This Row],[NET A PAYER]],0)-Tableau330[[#This Row],[MONTANT PAYE]]</f>
        <v>0</v>
      </c>
      <c r="U198" s="122"/>
      <c r="V198" s="123">
        <f>+Tableau330[[#This Row],[DELAI_PAIEMENT]]+Tableau330[[#This Row],[DATE ]]</f>
        <v>45927</v>
      </c>
      <c r="X198" s="82" t="s">
        <v>1337</v>
      </c>
      <c r="Y198" s="82" t="s">
        <v>623</v>
      </c>
      <c r="Z198" s="120"/>
    </row>
    <row r="199" spans="1:27">
      <c r="A199" s="83">
        <v>45930</v>
      </c>
      <c r="B199" s="83" t="str">
        <f>IF(ISBLANK(Tableau330[[#This Row],[DATE ]]),"",UPPER(PROPER(TEXT(Tableau330[[#This Row],[DATE ]],"mmmm yyyy"))))</f>
        <v>SEPTEMBRE 2025</v>
      </c>
      <c r="C199" s="83" t="s">
        <v>819</v>
      </c>
      <c r="D199" s="120" t="s">
        <v>1175</v>
      </c>
      <c r="E199" s="82" t="s">
        <v>1176</v>
      </c>
      <c r="F199" s="120" t="s">
        <v>1177</v>
      </c>
      <c r="H199" s="82" t="s">
        <v>1178</v>
      </c>
      <c r="I199" s="82" t="s">
        <v>12</v>
      </c>
      <c r="J199" s="121">
        <v>1</v>
      </c>
      <c r="K199" s="121"/>
      <c r="L199" s="121"/>
      <c r="M199" s="122">
        <v>181812</v>
      </c>
      <c r="N199" s="122">
        <f>+IF(Tableau330[[#This Row],[CODE TVA]]="",0,ROUND(Tableau330[[#This Row],[MONTANT HT]]*0.18*Tableau330[[#This Row],[PRORATA D]],1))</f>
        <v>32726.2</v>
      </c>
      <c r="O199" s="122">
        <f>+IFERROR(Tableau330[[#This Row],[MONTANT HT]]+Tableau330[[#This Row],[TVA]],0)</f>
        <v>214538.2</v>
      </c>
      <c r="P199" s="122"/>
      <c r="Q199" s="122">
        <v>5454</v>
      </c>
      <c r="R199" s="122">
        <f>+Tableau330[[#This Row],[MONTANT TTC]]+Tableau330[[#This Row],[TIMBRE ]]+Tableau330[[#This Row],[AUTRES TAXES]]</f>
        <v>219992.2</v>
      </c>
      <c r="S199" s="122">
        <v>219992</v>
      </c>
      <c r="T199" s="122">
        <f>+ROUND(Tableau330[[#This Row],[NET A PAYER]],0)-Tableau330[[#This Row],[MONTANT PAYE]]</f>
        <v>0</v>
      </c>
      <c r="U199" s="122">
        <v>24</v>
      </c>
      <c r="V199" s="123">
        <f>+Tableau330[[#This Row],[DELAI_PAIEMENT]]+Tableau330[[#This Row],[DATE ]]</f>
        <v>45954</v>
      </c>
      <c r="X199" s="82" t="s">
        <v>1337</v>
      </c>
      <c r="Y199" s="82" t="s">
        <v>623</v>
      </c>
      <c r="Z199" s="120"/>
    </row>
    <row r="200" spans="1:27">
      <c r="A200" s="83">
        <v>45932</v>
      </c>
      <c r="B200" s="83" t="str">
        <f>IF(ISBLANK(Tableau330[[#This Row],[DATE ]]),"",UPPER(PROPER(TEXT(Tableau330[[#This Row],[DATE ]],"mmmm yyyy"))))</f>
        <v>OCTOBRE 2025</v>
      </c>
      <c r="C200" s="83" t="s">
        <v>824</v>
      </c>
      <c r="D200" s="120" t="s">
        <v>1162</v>
      </c>
      <c r="E200" s="82" t="s">
        <v>1163</v>
      </c>
      <c r="F200" s="120" t="s">
        <v>1164</v>
      </c>
      <c r="H200" s="82" t="s">
        <v>1165</v>
      </c>
      <c r="J200" s="121"/>
      <c r="K200" s="122">
        <v>65000</v>
      </c>
      <c r="L200" s="121"/>
      <c r="M200" s="122">
        <v>65000</v>
      </c>
      <c r="N200" s="122">
        <f>+IF(Tableau330[[#This Row],[CODE TVA]]="",0,ROUND(Tableau330[[#This Row],[MONTANT HT]]*0.18*Tableau330[[#This Row],[PRORATA D]],1))</f>
        <v>0</v>
      </c>
      <c r="O200" s="122">
        <f>+IFERROR(Tableau330[[#This Row],[MONTANT HT]]+Tableau330[[#This Row],[TVA]],0)</f>
        <v>65000</v>
      </c>
      <c r="P200" s="122"/>
      <c r="Q200" s="122"/>
      <c r="R200" s="122">
        <f>+Tableau330[[#This Row],[MONTANT TTC]]+Tableau330[[#This Row],[TIMBRE ]]+Tableau330[[#This Row],[AUTRES TAXES]]</f>
        <v>65000</v>
      </c>
      <c r="S200" s="122">
        <v>65000</v>
      </c>
      <c r="T200" s="122">
        <f>+ROUND(Tableau330[[#This Row],[NET A PAYER]],0)-Tableau330[[#This Row],[MONTANT PAYE]]</f>
        <v>0</v>
      </c>
      <c r="U200" s="122"/>
      <c r="V200" s="123">
        <f>+Tableau330[[#This Row],[DELAI_PAIEMENT]]+Tableau330[[#This Row],[DATE ]]</f>
        <v>45932</v>
      </c>
      <c r="X200" s="82" t="s">
        <v>1337</v>
      </c>
      <c r="Y200" s="82" t="s">
        <v>623</v>
      </c>
      <c r="Z200" s="120"/>
    </row>
    <row r="201" spans="1:27">
      <c r="A201" s="83">
        <v>45933</v>
      </c>
      <c r="B201" s="83" t="str">
        <f>IF(ISBLANK(Tableau330[[#This Row],[DATE ]]),"",UPPER(PROPER(TEXT(Tableau330[[#This Row],[DATE ]],"mmmm yyyy"))))</f>
        <v>OCTOBRE 2025</v>
      </c>
      <c r="C201" s="83" t="s">
        <v>824</v>
      </c>
      <c r="D201" s="120" t="s">
        <v>1159</v>
      </c>
      <c r="E201" s="82" t="s">
        <v>832</v>
      </c>
      <c r="F201" s="120" t="s">
        <v>833</v>
      </c>
      <c r="H201" s="82" t="s">
        <v>1160</v>
      </c>
      <c r="I201" s="82" t="s">
        <v>12</v>
      </c>
      <c r="J201" s="121">
        <v>1</v>
      </c>
      <c r="K201" s="122">
        <v>13483</v>
      </c>
      <c r="L201" s="121"/>
      <c r="M201" s="122">
        <v>13483</v>
      </c>
      <c r="N201" s="122">
        <f>+IF(Tableau330[[#This Row],[CODE TVA]]="",0,ROUND(Tableau330[[#This Row],[MONTANT HT]]*0.18*Tableau330[[#This Row],[PRORATA D]],1))</f>
        <v>2426.9</v>
      </c>
      <c r="O201" s="122">
        <f>+IFERROR(Tableau330[[#This Row],[MONTANT HT]]+Tableau330[[#This Row],[TVA]],0)</f>
        <v>15909.9</v>
      </c>
      <c r="P201" s="122">
        <v>100</v>
      </c>
      <c r="Q201" s="122"/>
      <c r="R201" s="122">
        <f>+Tableau330[[#This Row],[MONTANT TTC]]+Tableau330[[#This Row],[TIMBRE ]]+Tableau330[[#This Row],[AUTRES TAXES]]</f>
        <v>16009.9</v>
      </c>
      <c r="S201" s="122">
        <v>16009.94</v>
      </c>
      <c r="T201" s="122">
        <f>+ROUND(Tableau330[[#This Row],[NET A PAYER]],0)-Tableau330[[#This Row],[MONTANT PAYE]]</f>
        <v>5.9999999999490683E-2</v>
      </c>
      <c r="U201" s="122"/>
      <c r="V201" s="123">
        <f>+Tableau330[[#This Row],[DELAI_PAIEMENT]]+Tableau330[[#This Row],[DATE ]]</f>
        <v>45933</v>
      </c>
      <c r="X201" s="82" t="s">
        <v>1337</v>
      </c>
      <c r="Y201" s="82" t="s">
        <v>623</v>
      </c>
      <c r="Z201" s="120"/>
    </row>
    <row r="202" spans="1:27">
      <c r="A202" s="83">
        <v>45934</v>
      </c>
      <c r="B202" s="83" t="str">
        <f>IF(ISBLANK(Tableau330[[#This Row],[DATE ]]),"",UPPER(PROPER(TEXT(Tableau330[[#This Row],[DATE ]],"mmmm yyyy"))))</f>
        <v>OCTOBRE 2025</v>
      </c>
      <c r="C202" s="83" t="s">
        <v>870</v>
      </c>
      <c r="D202" s="120" t="s">
        <v>1149</v>
      </c>
      <c r="E202" s="82" t="s">
        <v>1150</v>
      </c>
      <c r="F202" s="120"/>
      <c r="H202" s="82" t="s">
        <v>1151</v>
      </c>
      <c r="J202" s="121"/>
      <c r="K202" s="122">
        <v>33750</v>
      </c>
      <c r="L202" s="121"/>
      <c r="M202" s="122">
        <v>33750</v>
      </c>
      <c r="N202" s="122">
        <f>+IF(Tableau330[[#This Row],[CODE TVA]]="",0,ROUND(Tableau330[[#This Row],[MONTANT HT]]*0.18*Tableau330[[#This Row],[PRORATA D]],1))</f>
        <v>0</v>
      </c>
      <c r="O202" s="122">
        <f>+IFERROR(Tableau330[[#This Row],[MONTANT HT]]+Tableau330[[#This Row],[TVA]],0)</f>
        <v>33750</v>
      </c>
      <c r="P202" s="122"/>
      <c r="Q202" s="122"/>
      <c r="R202" s="122">
        <f>+Tableau330[[#This Row],[MONTANT TTC]]+Tableau330[[#This Row],[TIMBRE ]]+Tableau330[[#This Row],[AUTRES TAXES]]</f>
        <v>33750</v>
      </c>
      <c r="S202" s="122">
        <v>33750</v>
      </c>
      <c r="T202" s="122">
        <f>+ROUND(Tableau330[[#This Row],[NET A PAYER]],0)-Tableau330[[#This Row],[MONTANT PAYE]]</f>
        <v>0</v>
      </c>
      <c r="U202" s="122"/>
      <c r="V202" s="123">
        <f>+Tableau330[[#This Row],[DELAI_PAIEMENT]]+Tableau330[[#This Row],[DATE ]]</f>
        <v>45934</v>
      </c>
      <c r="X202" s="82" t="s">
        <v>1337</v>
      </c>
      <c r="Y202" s="82" t="s">
        <v>623</v>
      </c>
      <c r="Z202" s="120"/>
    </row>
    <row r="203" spans="1:27">
      <c r="A203" s="83">
        <v>45934</v>
      </c>
      <c r="B203" s="83" t="str">
        <f>IF(ISBLANK(Tableau330[[#This Row],[DATE ]]),"",UPPER(PROPER(TEXT(Tableau330[[#This Row],[DATE ]],"mmmm yyyy"))))</f>
        <v>OCTOBRE 2025</v>
      </c>
      <c r="C203" s="83" t="s">
        <v>870</v>
      </c>
      <c r="D203" s="120" t="s">
        <v>1152</v>
      </c>
      <c r="E203" s="82" t="s">
        <v>1150</v>
      </c>
      <c r="F203" s="120"/>
      <c r="H203" s="82" t="s">
        <v>1151</v>
      </c>
      <c r="J203" s="121"/>
      <c r="K203" s="122">
        <v>33750</v>
      </c>
      <c r="L203" s="121"/>
      <c r="M203" s="122">
        <v>33750</v>
      </c>
      <c r="N203" s="122">
        <f>+IF(Tableau330[[#This Row],[CODE TVA]]="",0,ROUND(Tableau330[[#This Row],[MONTANT HT]]*0.18*Tableau330[[#This Row],[PRORATA D]],1))</f>
        <v>0</v>
      </c>
      <c r="O203" s="122">
        <f>+IFERROR(Tableau330[[#This Row],[MONTANT HT]]+Tableau330[[#This Row],[TVA]],0)</f>
        <v>33750</v>
      </c>
      <c r="P203" s="122"/>
      <c r="Q203" s="122"/>
      <c r="R203" s="122">
        <f>+Tableau330[[#This Row],[MONTANT TTC]]+Tableau330[[#This Row],[TIMBRE ]]+Tableau330[[#This Row],[AUTRES TAXES]]</f>
        <v>33750</v>
      </c>
      <c r="S203" s="122">
        <v>33750</v>
      </c>
      <c r="T203" s="122">
        <f>+ROUND(Tableau330[[#This Row],[NET A PAYER]],0)-Tableau330[[#This Row],[MONTANT PAYE]]</f>
        <v>0</v>
      </c>
      <c r="U203" s="122"/>
      <c r="V203" s="123">
        <f>+Tableau330[[#This Row],[DELAI_PAIEMENT]]+Tableau330[[#This Row],[DATE ]]</f>
        <v>45934</v>
      </c>
      <c r="X203" s="82" t="s">
        <v>1337</v>
      </c>
      <c r="Y203" s="82" t="s">
        <v>623</v>
      </c>
      <c r="Z203" s="120"/>
    </row>
    <row r="204" spans="1:27">
      <c r="A204" s="83">
        <v>45936</v>
      </c>
      <c r="B204" s="83" t="str">
        <f>IF(ISBLANK(Tableau330[[#This Row],[DATE ]]),"",UPPER(PROPER(TEXT(Tableau330[[#This Row],[DATE ]],"mmmm yyyy"))))</f>
        <v>OCTOBRE 2025</v>
      </c>
      <c r="C204" s="83" t="s">
        <v>824</v>
      </c>
      <c r="D204" s="120" t="s">
        <v>1147</v>
      </c>
      <c r="E204" s="82" t="s">
        <v>832</v>
      </c>
      <c r="F204" s="120" t="s">
        <v>833</v>
      </c>
      <c r="H204" s="82" t="s">
        <v>867</v>
      </c>
      <c r="J204" s="121"/>
      <c r="K204" s="122">
        <v>110350</v>
      </c>
      <c r="L204" s="121"/>
      <c r="M204" s="122">
        <v>110350</v>
      </c>
      <c r="N204" s="122">
        <f>+IF(Tableau330[[#This Row],[CODE TVA]]="",0,ROUND(Tableau330[[#This Row],[MONTANT HT]]*0.18*Tableau330[[#This Row],[PRORATA D]],1))</f>
        <v>0</v>
      </c>
      <c r="O204" s="122">
        <f>+IFERROR(Tableau330[[#This Row],[MONTANT HT]]+Tableau330[[#This Row],[TVA]],0)</f>
        <v>110350</v>
      </c>
      <c r="P204" s="122"/>
      <c r="Q204" s="122"/>
      <c r="R204" s="122">
        <f>+Tableau330[[#This Row],[MONTANT TTC]]+Tableau330[[#This Row],[TIMBRE ]]+Tableau330[[#This Row],[AUTRES TAXES]]</f>
        <v>110350</v>
      </c>
      <c r="S204" s="122">
        <v>110350</v>
      </c>
      <c r="T204" s="122">
        <f>+ROUND(Tableau330[[#This Row],[NET A PAYER]],0)-Tableau330[[#This Row],[MONTANT PAYE]]</f>
        <v>0</v>
      </c>
      <c r="U204" s="122"/>
      <c r="V204" s="123">
        <f>+Tableau330[[#This Row],[DELAI_PAIEMENT]]+Tableau330[[#This Row],[DATE ]]</f>
        <v>45936</v>
      </c>
      <c r="X204" s="82" t="s">
        <v>1337</v>
      </c>
      <c r="Y204" s="82" t="s">
        <v>623</v>
      </c>
      <c r="Z204" s="120"/>
    </row>
    <row r="205" spans="1:27">
      <c r="A205" s="83">
        <v>45936</v>
      </c>
      <c r="B205" s="83" t="str">
        <f>IF(ISBLANK(Tableau330[[#This Row],[DATE ]]),"",UPPER(PROPER(TEXT(Tableau330[[#This Row],[DATE ]],"mmmm yyyy"))))</f>
        <v>OCTOBRE 2025</v>
      </c>
      <c r="C205" s="83" t="s">
        <v>824</v>
      </c>
      <c r="D205" s="120" t="s">
        <v>1153</v>
      </c>
      <c r="E205" s="82" t="s">
        <v>863</v>
      </c>
      <c r="F205" s="120" t="s">
        <v>864</v>
      </c>
      <c r="H205" s="82" t="s">
        <v>865</v>
      </c>
      <c r="J205" s="121"/>
      <c r="K205" s="122">
        <v>65000</v>
      </c>
      <c r="L205" s="121"/>
      <c r="M205" s="122">
        <v>65000</v>
      </c>
      <c r="N205" s="122">
        <f>+IF(Tableau330[[#This Row],[CODE TVA]]="",0,ROUND(Tableau330[[#This Row],[MONTANT HT]]*0.18*Tableau330[[#This Row],[PRORATA D]],1))</f>
        <v>0</v>
      </c>
      <c r="O205" s="122">
        <f>+IFERROR(Tableau330[[#This Row],[MONTANT HT]]+Tableau330[[#This Row],[TVA]],0)</f>
        <v>65000</v>
      </c>
      <c r="P205" s="122"/>
      <c r="Q205" s="122"/>
      <c r="R205" s="122">
        <f>+Tableau330[[#This Row],[MONTANT TTC]]+Tableau330[[#This Row],[TIMBRE ]]+Tableau330[[#This Row],[AUTRES TAXES]]</f>
        <v>65000</v>
      </c>
      <c r="S205" s="122">
        <v>65000</v>
      </c>
      <c r="T205" s="122">
        <f>+ROUND(Tableau330[[#This Row],[NET A PAYER]],0)-Tableau330[[#This Row],[MONTANT PAYE]]</f>
        <v>0</v>
      </c>
      <c r="U205" s="122"/>
      <c r="V205" s="123">
        <f>+Tableau330[[#This Row],[DELAI_PAIEMENT]]+Tableau330[[#This Row],[DATE ]]</f>
        <v>45936</v>
      </c>
      <c r="X205" s="82" t="s">
        <v>1337</v>
      </c>
      <c r="Y205" s="82" t="s">
        <v>623</v>
      </c>
      <c r="Z205" s="120"/>
    </row>
    <row r="206" spans="1:27">
      <c r="A206" s="83">
        <v>45936</v>
      </c>
      <c r="B206" s="83" t="str">
        <f>IF(ISBLANK(Tableau330[[#This Row],[DATE ]]),"",UPPER(PROPER(TEXT(Tableau330[[#This Row],[DATE ]],"mmmm yyyy"))))</f>
        <v>OCTOBRE 2025</v>
      </c>
      <c r="C206" s="83" t="s">
        <v>819</v>
      </c>
      <c r="D206" s="120" t="s">
        <v>1154</v>
      </c>
      <c r="E206" s="82" t="s">
        <v>1155</v>
      </c>
      <c r="F206" s="120" t="s">
        <v>1156</v>
      </c>
      <c r="H206" s="82" t="s">
        <v>1158</v>
      </c>
      <c r="J206" s="121"/>
      <c r="K206" s="122">
        <v>870000</v>
      </c>
      <c r="L206" s="121"/>
      <c r="M206" s="122">
        <v>870000</v>
      </c>
      <c r="N206" s="122">
        <f>+IF(Tableau330[[#This Row],[CODE TVA]]="",0,ROUND(Tableau330[[#This Row],[MONTANT HT]]*0.18*Tableau330[[#This Row],[PRORATA D]],1))</f>
        <v>0</v>
      </c>
      <c r="O206" s="122">
        <f>+IFERROR(Tableau330[[#This Row],[MONTANT HT]]+Tableau330[[#This Row],[TVA]],0)</f>
        <v>870000</v>
      </c>
      <c r="P206" s="122"/>
      <c r="Q206" s="122"/>
      <c r="R206" s="122">
        <f>+Tableau330[[#This Row],[MONTANT TTC]]+Tableau330[[#This Row],[TIMBRE ]]+Tableau330[[#This Row],[AUTRES TAXES]]</f>
        <v>870000</v>
      </c>
      <c r="S206" s="122">
        <v>870000</v>
      </c>
      <c r="T206" s="122">
        <f>+ROUND(Tableau330[[#This Row],[NET A PAYER]],0)-Tableau330[[#This Row],[MONTANT PAYE]]</f>
        <v>0</v>
      </c>
      <c r="U206" s="122"/>
      <c r="V206" s="123">
        <f>+Tableau330[[#This Row],[DELAI_PAIEMENT]]+Tableau330[[#This Row],[DATE ]]</f>
        <v>45936</v>
      </c>
      <c r="X206" s="82" t="s">
        <v>1337</v>
      </c>
      <c r="Y206" s="82" t="s">
        <v>623</v>
      </c>
      <c r="Z206" s="120"/>
      <c r="AA206" s="82" t="s">
        <v>1157</v>
      </c>
    </row>
    <row r="207" spans="1:27">
      <c r="A207" s="83">
        <v>45937</v>
      </c>
      <c r="B207" s="83" t="str">
        <f>IF(ISBLANK(Tableau330[[#This Row],[DATE ]]),"",UPPER(PROPER(TEXT(Tableau330[[#This Row],[DATE ]],"mmmm yyyy"))))</f>
        <v>OCTOBRE 2025</v>
      </c>
      <c r="C207" s="83" t="s">
        <v>824</v>
      </c>
      <c r="D207" s="120" t="s">
        <v>1148</v>
      </c>
      <c r="E207" s="82" t="s">
        <v>1056</v>
      </c>
      <c r="F207" s="120" t="s">
        <v>1057</v>
      </c>
      <c r="G207" s="82" t="s">
        <v>822</v>
      </c>
      <c r="H207" s="82" t="s">
        <v>1194</v>
      </c>
      <c r="I207" s="82" t="s">
        <v>12</v>
      </c>
      <c r="J207" s="121">
        <v>1</v>
      </c>
      <c r="K207" s="122">
        <v>581654</v>
      </c>
      <c r="L207" s="121"/>
      <c r="M207" s="122">
        <v>581654</v>
      </c>
      <c r="N207" s="122">
        <f>+IF(Tableau330[[#This Row],[CODE TVA]]="",0,ROUND(Tableau330[[#This Row],[MONTANT HT]]*0.18*Tableau330[[#This Row],[PRORATA D]],1))</f>
        <v>104697.7</v>
      </c>
      <c r="O207" s="122">
        <f>+IFERROR(Tableau330[[#This Row],[MONTANT HT]]+Tableau330[[#This Row],[TVA]],0)</f>
        <v>686351.7</v>
      </c>
      <c r="P207" s="122"/>
      <c r="Q207" s="122"/>
      <c r="R207" s="122">
        <f>+Tableau330[[#This Row],[MONTANT TTC]]+Tableau330[[#This Row],[TIMBRE ]]+Tableau330[[#This Row],[AUTRES TAXES]]</f>
        <v>686351.7</v>
      </c>
      <c r="S207" s="122"/>
      <c r="T207" s="122">
        <f>+ROUND(Tableau330[[#This Row],[NET A PAYER]],0)-Tableau330[[#This Row],[MONTANT PAYE]]</f>
        <v>686352</v>
      </c>
      <c r="U207" s="122"/>
      <c r="V207" s="123">
        <f>+Tableau330[[#This Row],[DELAI_PAIEMENT]]+Tableau330[[#This Row],[DATE ]]</f>
        <v>45937</v>
      </c>
      <c r="X207" s="82" t="s">
        <v>699</v>
      </c>
      <c r="Z207" s="120"/>
    </row>
    <row r="208" spans="1:27">
      <c r="A208" s="83">
        <v>45937</v>
      </c>
      <c r="B208" s="83" t="str">
        <f>IF(ISBLANK(Tableau330[[#This Row],[DATE ]]),"",UPPER(PROPER(TEXT(Tableau330[[#This Row],[DATE ]],"mmmm yyyy"))))</f>
        <v>OCTOBRE 2025</v>
      </c>
      <c r="C208" s="83" t="s">
        <v>824</v>
      </c>
      <c r="D208" s="120" t="s">
        <v>1161</v>
      </c>
      <c r="E208" s="82" t="s">
        <v>848</v>
      </c>
      <c r="F208" s="120" t="s">
        <v>849</v>
      </c>
      <c r="H208" s="82" t="s">
        <v>1195</v>
      </c>
      <c r="J208" s="121"/>
      <c r="K208" s="122">
        <v>80000</v>
      </c>
      <c r="L208" s="121"/>
      <c r="M208" s="122">
        <v>80000</v>
      </c>
      <c r="N208" s="122">
        <f>+IF(Tableau330[[#This Row],[CODE TVA]]="",0,ROUND(Tableau330[[#This Row],[MONTANT HT]]*0.18*Tableau330[[#This Row],[PRORATA D]],1))</f>
        <v>0</v>
      </c>
      <c r="O208" s="122">
        <f>+IFERROR(Tableau330[[#This Row],[MONTANT HT]]+Tableau330[[#This Row],[TVA]],0)</f>
        <v>80000</v>
      </c>
      <c r="P208" s="122"/>
      <c r="Q208" s="122"/>
      <c r="R208" s="122">
        <f>+Tableau330[[#This Row],[MONTANT TTC]]+Tableau330[[#This Row],[TIMBRE ]]+Tableau330[[#This Row],[AUTRES TAXES]]</f>
        <v>80000</v>
      </c>
      <c r="S208" s="122">
        <v>80000</v>
      </c>
      <c r="T208" s="122">
        <f>+ROUND(Tableau330[[#This Row],[NET A PAYER]],0)-Tableau330[[#This Row],[MONTANT PAYE]]</f>
        <v>0</v>
      </c>
      <c r="U208" s="122"/>
      <c r="V208" s="123">
        <f>+Tableau330[[#This Row],[DELAI_PAIEMENT]]+Tableau330[[#This Row],[DATE ]]</f>
        <v>45937</v>
      </c>
      <c r="X208" s="82" t="s">
        <v>1337</v>
      </c>
      <c r="Y208" s="82" t="s">
        <v>623</v>
      </c>
      <c r="Z208" s="120"/>
    </row>
    <row r="209" spans="1:27">
      <c r="A209" s="83">
        <v>45937</v>
      </c>
      <c r="B209" s="83" t="str">
        <f>IF(ISBLANK(Tableau330[[#This Row],[DATE ]]),"",UPPER(PROPER(TEXT(Tableau330[[#This Row],[DATE ]],"mmmm yyyy"))))</f>
        <v>OCTOBRE 2025</v>
      </c>
      <c r="C209" s="83" t="s">
        <v>819</v>
      </c>
      <c r="D209" s="120" t="s">
        <v>1170</v>
      </c>
      <c r="E209" s="82" t="s">
        <v>1171</v>
      </c>
      <c r="F209" s="120"/>
      <c r="H209" s="82" t="s">
        <v>1202</v>
      </c>
      <c r="J209" s="121"/>
      <c r="K209" s="122">
        <v>490000</v>
      </c>
      <c r="L209" s="121"/>
      <c r="M209" s="122">
        <v>490000</v>
      </c>
      <c r="N209" s="122">
        <f>+IF(Tableau330[[#This Row],[CODE TVA]]="",0,ROUND(Tableau330[[#This Row],[MONTANT HT]]*0.18*Tableau330[[#This Row],[PRORATA D]],1))</f>
        <v>0</v>
      </c>
      <c r="O209" s="122">
        <f>+IFERROR(Tableau330[[#This Row],[MONTANT HT]]+Tableau330[[#This Row],[TVA]],0)</f>
        <v>490000</v>
      </c>
      <c r="P209" s="122"/>
      <c r="Q209" s="122"/>
      <c r="R209" s="122">
        <f>+Tableau330[[#This Row],[MONTANT TTC]]+Tableau330[[#This Row],[TIMBRE ]]+Tableau330[[#This Row],[AUTRES TAXES]]</f>
        <v>490000</v>
      </c>
      <c r="S209" s="122">
        <v>490000</v>
      </c>
      <c r="T209" s="122">
        <f>+ROUND(Tableau330[[#This Row],[NET A PAYER]],0)-Tableau330[[#This Row],[MONTANT PAYE]]</f>
        <v>0</v>
      </c>
      <c r="U209" s="122"/>
      <c r="V209" s="123">
        <f>+Tableau330[[#This Row],[DELAI_PAIEMENT]]+Tableau330[[#This Row],[DATE ]]</f>
        <v>45937</v>
      </c>
      <c r="Y209" s="82" t="s">
        <v>623</v>
      </c>
      <c r="Z209" s="120"/>
    </row>
    <row r="210" spans="1:27">
      <c r="A210" s="83">
        <v>45938</v>
      </c>
      <c r="B210" s="83" t="str">
        <f>IF(ISBLANK(Tableau330[[#This Row],[DATE ]]),"",UPPER(PROPER(TEXT(Tableau330[[#This Row],[DATE ]],"mmmm yyyy"))))</f>
        <v>OCTOBRE 2025</v>
      </c>
      <c r="C210" s="83" t="s">
        <v>1187</v>
      </c>
      <c r="D210" s="120" t="s">
        <v>1188</v>
      </c>
      <c r="E210" s="82" t="s">
        <v>1189</v>
      </c>
      <c r="F210" s="120"/>
      <c r="H210" s="82" t="s">
        <v>1190</v>
      </c>
      <c r="J210" s="121"/>
      <c r="K210" s="122">
        <v>40000</v>
      </c>
      <c r="L210" s="121"/>
      <c r="M210" s="122">
        <v>40000</v>
      </c>
      <c r="N210" s="122">
        <f>+IF(Tableau330[[#This Row],[CODE TVA]]="",0,ROUND(Tableau330[[#This Row],[MONTANT HT]]*0.18*Tableau330[[#This Row],[PRORATA D]],1))</f>
        <v>0</v>
      </c>
      <c r="O210" s="122">
        <f>+IFERROR(Tableau330[[#This Row],[MONTANT HT]]+Tableau330[[#This Row],[TVA]],0)</f>
        <v>40000</v>
      </c>
      <c r="P210" s="122"/>
      <c r="Q210" s="122"/>
      <c r="R210" s="122">
        <f>+Tableau330[[#This Row],[MONTANT TTC]]+Tableau330[[#This Row],[TIMBRE ]]+Tableau330[[#This Row],[AUTRES TAXES]]</f>
        <v>40000</v>
      </c>
      <c r="S210" s="122">
        <v>40000</v>
      </c>
      <c r="T210" s="122">
        <f>+ROUND(Tableau330[[#This Row],[NET A PAYER]],0)-Tableau330[[#This Row],[MONTANT PAYE]]</f>
        <v>0</v>
      </c>
      <c r="U210" s="122"/>
      <c r="V210" s="123">
        <f>+Tableau330[[#This Row],[DELAI_PAIEMENT]]+Tableau330[[#This Row],[DATE ]]</f>
        <v>45938</v>
      </c>
      <c r="X210" s="82" t="s">
        <v>1337</v>
      </c>
      <c r="Y210" s="82" t="s">
        <v>623</v>
      </c>
      <c r="Z210" s="120"/>
    </row>
    <row r="211" spans="1:27">
      <c r="A211" s="83">
        <v>45940</v>
      </c>
      <c r="B211" s="83" t="str">
        <f>IF(ISBLANK(Tableau330[[#This Row],[DATE ]]),"",UPPER(PROPER(TEXT(Tableau330[[#This Row],[DATE ]],"mmmm yyyy"))))</f>
        <v>OCTOBRE 2025</v>
      </c>
      <c r="C211" s="83" t="s">
        <v>819</v>
      </c>
      <c r="D211" s="120" t="s">
        <v>1133</v>
      </c>
      <c r="E211" s="82" t="s">
        <v>1134</v>
      </c>
      <c r="F211" s="120"/>
      <c r="H211" s="82" t="s">
        <v>1196</v>
      </c>
      <c r="J211" s="121"/>
      <c r="K211" s="122">
        <v>240000</v>
      </c>
      <c r="L211" s="121"/>
      <c r="M211" s="122">
        <v>240000</v>
      </c>
      <c r="N211" s="122">
        <f>+IF(Tableau330[[#This Row],[CODE TVA]]="",0,ROUND(Tableau330[[#This Row],[MONTANT HT]]*0.18*Tableau330[[#This Row],[PRORATA D]],1))</f>
        <v>0</v>
      </c>
      <c r="O211" s="122">
        <f>+IFERROR(Tableau330[[#This Row],[MONTANT HT]]+Tableau330[[#This Row],[TVA]],0)</f>
        <v>240000</v>
      </c>
      <c r="P211" s="122"/>
      <c r="Q211" s="122"/>
      <c r="R211" s="122">
        <f>+Tableau330[[#This Row],[MONTANT TTC]]+Tableau330[[#This Row],[TIMBRE ]]+Tableau330[[#This Row],[AUTRES TAXES]]</f>
        <v>240000</v>
      </c>
      <c r="S211" s="122">
        <v>240000</v>
      </c>
      <c r="T211" s="122">
        <f>+ROUND(Tableau330[[#This Row],[NET A PAYER]],0)-Tableau330[[#This Row],[MONTANT PAYE]]</f>
        <v>0</v>
      </c>
      <c r="U211" s="122"/>
      <c r="V211" s="123">
        <f>+Tableau330[[#This Row],[DELAI_PAIEMENT]]+Tableau330[[#This Row],[DATE ]]</f>
        <v>45940</v>
      </c>
      <c r="X211" s="82" t="s">
        <v>1337</v>
      </c>
      <c r="Y211" s="82" t="s">
        <v>623</v>
      </c>
      <c r="Z211" s="120"/>
    </row>
    <row r="212" spans="1:27">
      <c r="A212" s="83">
        <v>45940</v>
      </c>
      <c r="B212" s="83" t="str">
        <f>IF(ISBLANK(Tableau330[[#This Row],[DATE ]]),"",UPPER(PROPER(TEXT(Tableau330[[#This Row],[DATE ]],"mmmm yyyy"))))</f>
        <v>OCTOBRE 2025</v>
      </c>
      <c r="C212" s="83" t="s">
        <v>870</v>
      </c>
      <c r="D212" s="120" t="s">
        <v>1169</v>
      </c>
      <c r="E212" s="82" t="s">
        <v>898</v>
      </c>
      <c r="F212" s="120" t="s">
        <v>899</v>
      </c>
      <c r="H212" s="82" t="s">
        <v>1201</v>
      </c>
      <c r="J212" s="121"/>
      <c r="K212" s="122">
        <v>25000</v>
      </c>
      <c r="L212" s="121"/>
      <c r="M212" s="122">
        <v>25000</v>
      </c>
      <c r="N212" s="122">
        <f>+IF(Tableau330[[#This Row],[CODE TVA]]="",0,ROUND(Tableau330[[#This Row],[MONTANT HT]]*0.18*Tableau330[[#This Row],[PRORATA D]],1))</f>
        <v>0</v>
      </c>
      <c r="O212" s="122">
        <f>+IFERROR(Tableau330[[#This Row],[MONTANT HT]]+Tableau330[[#This Row],[TVA]],0)</f>
        <v>25000</v>
      </c>
      <c r="P212" s="122"/>
      <c r="Q212" s="122"/>
      <c r="R212" s="122">
        <f>+Tableau330[[#This Row],[MONTANT TTC]]+Tableau330[[#This Row],[TIMBRE ]]+Tableau330[[#This Row],[AUTRES TAXES]]</f>
        <v>25000</v>
      </c>
      <c r="S212" s="122">
        <v>25000</v>
      </c>
      <c r="T212" s="122">
        <f>+ROUND(Tableau330[[#This Row],[NET A PAYER]],0)-Tableau330[[#This Row],[MONTANT PAYE]]</f>
        <v>0</v>
      </c>
      <c r="U212" s="122"/>
      <c r="V212" s="123">
        <f>+Tableau330[[#This Row],[DELAI_PAIEMENT]]+Tableau330[[#This Row],[DATE ]]</f>
        <v>45940</v>
      </c>
      <c r="X212" s="82" t="s">
        <v>1337</v>
      </c>
      <c r="Y212" s="82" t="s">
        <v>623</v>
      </c>
      <c r="Z212" s="120"/>
    </row>
    <row r="213" spans="1:27">
      <c r="A213" s="83">
        <v>45943</v>
      </c>
      <c r="B213" s="83" t="str">
        <f>IF(ISBLANK(Tableau330[[#This Row],[DATE ]]),"",UPPER(PROPER(TEXT(Tableau330[[#This Row],[DATE ]],"mmmm yyyy"))))</f>
        <v>OCTOBRE 2025</v>
      </c>
      <c r="C213" s="83" t="s">
        <v>819</v>
      </c>
      <c r="D213" s="120" t="s">
        <v>1135</v>
      </c>
      <c r="E213" s="82" t="s">
        <v>1134</v>
      </c>
      <c r="F213" s="120"/>
      <c r="H213" s="82" t="s">
        <v>1196</v>
      </c>
      <c r="J213" s="121"/>
      <c r="K213" s="122">
        <v>120000</v>
      </c>
      <c r="L213" s="121"/>
      <c r="M213" s="122">
        <v>120000</v>
      </c>
      <c r="N213" s="122">
        <f>+IF(Tableau330[[#This Row],[CODE TVA]]="",0,ROUND(Tableau330[[#This Row],[MONTANT HT]]*0.18*Tableau330[[#This Row],[PRORATA D]],1))</f>
        <v>0</v>
      </c>
      <c r="O213" s="122">
        <f>+IFERROR(Tableau330[[#This Row],[MONTANT HT]]+Tableau330[[#This Row],[TVA]],0)</f>
        <v>120000</v>
      </c>
      <c r="P213" s="122"/>
      <c r="Q213" s="122"/>
      <c r="R213" s="122">
        <f>+Tableau330[[#This Row],[MONTANT TTC]]+Tableau330[[#This Row],[TIMBRE ]]+Tableau330[[#This Row],[AUTRES TAXES]]</f>
        <v>120000</v>
      </c>
      <c r="S213" s="122">
        <v>120000</v>
      </c>
      <c r="T213" s="122">
        <f>+ROUND(Tableau330[[#This Row],[NET A PAYER]],0)-Tableau330[[#This Row],[MONTANT PAYE]]</f>
        <v>0</v>
      </c>
      <c r="U213" s="122"/>
      <c r="V213" s="123">
        <f>+Tableau330[[#This Row],[DELAI_PAIEMENT]]+Tableau330[[#This Row],[DATE ]]</f>
        <v>45943</v>
      </c>
      <c r="X213" s="82" t="s">
        <v>1337</v>
      </c>
      <c r="Y213" s="82" t="s">
        <v>623</v>
      </c>
      <c r="Z213" s="120"/>
    </row>
    <row r="214" spans="1:27">
      <c r="A214" s="83">
        <v>45943</v>
      </c>
      <c r="B214" s="83" t="str">
        <f>IF(ISBLANK(Tableau330[[#This Row],[DATE ]]),"",UPPER(PROPER(TEXT(Tableau330[[#This Row],[DATE ]],"mmmm yyyy"))))</f>
        <v>OCTOBRE 2025</v>
      </c>
      <c r="C214" s="83" t="s">
        <v>824</v>
      </c>
      <c r="D214" s="120" t="s">
        <v>1144</v>
      </c>
      <c r="E214" s="82" t="s">
        <v>1145</v>
      </c>
      <c r="F214" s="120" t="s">
        <v>1146</v>
      </c>
      <c r="G214" s="82" t="s">
        <v>951</v>
      </c>
      <c r="H214" s="82" t="s">
        <v>1197</v>
      </c>
      <c r="J214" s="121"/>
      <c r="K214" s="122">
        <v>100000</v>
      </c>
      <c r="L214" s="121"/>
      <c r="M214" s="122">
        <v>100000</v>
      </c>
      <c r="N214" s="122">
        <f>+IF(Tableau330[[#This Row],[CODE TVA]]="",0,ROUND(Tableau330[[#This Row],[MONTANT HT]]*0.18*Tableau330[[#This Row],[PRORATA D]],1))</f>
        <v>0</v>
      </c>
      <c r="O214" s="122">
        <f>+IFERROR(Tableau330[[#This Row],[MONTANT HT]]+Tableau330[[#This Row],[TVA]],0)</f>
        <v>100000</v>
      </c>
      <c r="P214" s="122"/>
      <c r="Q214" s="122"/>
      <c r="R214" s="122">
        <f>+Tableau330[[#This Row],[MONTANT TTC]]+Tableau330[[#This Row],[TIMBRE ]]+Tableau330[[#This Row],[AUTRES TAXES]]</f>
        <v>100000</v>
      </c>
      <c r="S214" s="122">
        <v>100000</v>
      </c>
      <c r="T214" s="122">
        <f>+ROUND(Tableau330[[#This Row],[NET A PAYER]],0)-Tableau330[[#This Row],[MONTANT PAYE]]</f>
        <v>0</v>
      </c>
      <c r="U214" s="122"/>
      <c r="V214" s="123">
        <f>+Tableau330[[#This Row],[DELAI_PAIEMENT]]+Tableau330[[#This Row],[DATE ]]</f>
        <v>45943</v>
      </c>
      <c r="X214" s="82" t="s">
        <v>1337</v>
      </c>
      <c r="Y214" s="82" t="s">
        <v>623</v>
      </c>
      <c r="Z214" s="120"/>
    </row>
    <row r="215" spans="1:27">
      <c r="A215" s="83">
        <v>45943</v>
      </c>
      <c r="B215" s="83" t="str">
        <f>IF(ISBLANK(Tableau330[[#This Row],[DATE ]]),"",UPPER(PROPER(TEXT(Tableau330[[#This Row],[DATE ]],"mmmm yyyy"))))</f>
        <v>OCTOBRE 2025</v>
      </c>
      <c r="C215" s="83" t="s">
        <v>870</v>
      </c>
      <c r="D215" s="120" t="s">
        <v>1141</v>
      </c>
      <c r="F215" s="120"/>
      <c r="H215" s="82" t="s">
        <v>1220</v>
      </c>
      <c r="J215" s="121"/>
      <c r="K215" s="122">
        <v>650000</v>
      </c>
      <c r="L215" s="121"/>
      <c r="M215" s="122">
        <v>650000</v>
      </c>
      <c r="N215" s="122">
        <f>+IF(Tableau330[[#This Row],[CODE TVA]]="",0,ROUND(Tableau330[[#This Row],[MONTANT HT]]*0.18*Tableau330[[#This Row],[PRORATA D]],1))</f>
        <v>0</v>
      </c>
      <c r="O215" s="122">
        <f>+IFERROR(Tableau330[[#This Row],[MONTANT HT]]+Tableau330[[#This Row],[TVA]],0)</f>
        <v>650000</v>
      </c>
      <c r="P215" s="122"/>
      <c r="Q215" s="122"/>
      <c r="R215" s="122">
        <f>+Tableau330[[#This Row],[MONTANT TTC]]+Tableau330[[#This Row],[TIMBRE ]]+Tableau330[[#This Row],[AUTRES TAXES]]</f>
        <v>650000</v>
      </c>
      <c r="S215" s="122">
        <v>650000</v>
      </c>
      <c r="T215" s="122">
        <f>+ROUND(Tableau330[[#This Row],[NET A PAYER]],0)-Tableau330[[#This Row],[MONTANT PAYE]]</f>
        <v>0</v>
      </c>
      <c r="U215" s="122"/>
      <c r="V215" s="123">
        <f>+Tableau330[[#This Row],[DELAI_PAIEMENT]]+Tableau330[[#This Row],[DATE ]]</f>
        <v>45943</v>
      </c>
      <c r="X215" s="82" t="s">
        <v>1337</v>
      </c>
      <c r="Y215" s="82" t="s">
        <v>617</v>
      </c>
      <c r="Z215" s="120"/>
      <c r="AA215" s="82" t="s">
        <v>1221</v>
      </c>
    </row>
    <row r="216" spans="1:27">
      <c r="A216" s="83">
        <v>45945</v>
      </c>
      <c r="B216" s="83" t="str">
        <f>IF(ISBLANK(Tableau330[[#This Row],[DATE ]]),"",UPPER(PROPER(TEXT(Tableau330[[#This Row],[DATE ]],"mmmm yyyy"))))</f>
        <v>OCTOBRE 2025</v>
      </c>
      <c r="C216" s="83" t="s">
        <v>819</v>
      </c>
      <c r="D216" s="120" t="s">
        <v>1191</v>
      </c>
      <c r="E216" s="82" t="s">
        <v>1192</v>
      </c>
      <c r="F216" s="120" t="s">
        <v>905</v>
      </c>
      <c r="G216" s="82" t="s">
        <v>822</v>
      </c>
      <c r="H216" s="82" t="s">
        <v>1193</v>
      </c>
      <c r="I216" s="82" t="s">
        <v>12</v>
      </c>
      <c r="J216" s="121">
        <v>1</v>
      </c>
      <c r="K216" s="122">
        <v>44915</v>
      </c>
      <c r="L216" s="121"/>
      <c r="M216" s="122">
        <v>44915</v>
      </c>
      <c r="N216" s="122">
        <f>+IF(Tableau330[[#This Row],[CODE TVA]]="",0,ROUND(Tableau330[[#This Row],[MONTANT HT]]*0.18*Tableau330[[#This Row],[PRORATA D]],1))</f>
        <v>8084.7</v>
      </c>
      <c r="O216" s="122">
        <f>+IFERROR(Tableau330[[#This Row],[MONTANT HT]]+Tableau330[[#This Row],[TVA]],0)</f>
        <v>52999.7</v>
      </c>
      <c r="P216" s="122"/>
      <c r="Q216" s="122"/>
      <c r="R216" s="122">
        <f>+Tableau330[[#This Row],[MONTANT TTC]]+Tableau330[[#This Row],[TIMBRE ]]+Tableau330[[#This Row],[AUTRES TAXES]]</f>
        <v>52999.7</v>
      </c>
      <c r="S216" s="122">
        <v>52999.7</v>
      </c>
      <c r="T216" s="122">
        <f>+ROUND(Tableau330[[#This Row],[NET A PAYER]],0)-Tableau330[[#This Row],[MONTANT PAYE]]</f>
        <v>0.30000000000291038</v>
      </c>
      <c r="U216" s="122"/>
      <c r="V216" s="123">
        <f>+Tableau330[[#This Row],[DELAI_PAIEMENT]]+Tableau330[[#This Row],[DATE ]]</f>
        <v>45945</v>
      </c>
      <c r="X216" s="82" t="s">
        <v>1337</v>
      </c>
      <c r="Y216" s="82" t="s">
        <v>623</v>
      </c>
      <c r="Z216" s="120"/>
    </row>
    <row r="217" spans="1:27">
      <c r="A217" s="83">
        <v>45946</v>
      </c>
      <c r="B217" s="83" t="str">
        <f>IF(ISBLANK(Tableau330[[#This Row],[DATE ]]),"",UPPER(PROPER(TEXT(Tableau330[[#This Row],[DATE ]],"mmmm yyyy"))))</f>
        <v>OCTOBRE 2025</v>
      </c>
      <c r="C217" s="83" t="s">
        <v>819</v>
      </c>
      <c r="D217" s="120" t="s">
        <v>1136</v>
      </c>
      <c r="E217" s="82" t="s">
        <v>1137</v>
      </c>
      <c r="F217" s="120"/>
      <c r="H217" s="82" t="s">
        <v>1198</v>
      </c>
      <c r="J217" s="121"/>
      <c r="K217" s="122">
        <v>15000</v>
      </c>
      <c r="L217" s="121"/>
      <c r="M217" s="122">
        <v>15000</v>
      </c>
      <c r="N217" s="122">
        <f>+IF(Tableau330[[#This Row],[CODE TVA]]="",0,ROUND(Tableau330[[#This Row],[MONTANT HT]]*0.18*Tableau330[[#This Row],[PRORATA D]],1))</f>
        <v>0</v>
      </c>
      <c r="O217" s="122">
        <f>+IFERROR(Tableau330[[#This Row],[MONTANT HT]]+Tableau330[[#This Row],[TVA]],0)</f>
        <v>15000</v>
      </c>
      <c r="P217" s="122"/>
      <c r="Q217" s="122"/>
      <c r="R217" s="122">
        <f>+Tableau330[[#This Row],[MONTANT TTC]]+Tableau330[[#This Row],[TIMBRE ]]+Tableau330[[#This Row],[AUTRES TAXES]]</f>
        <v>15000</v>
      </c>
      <c r="S217" s="122">
        <v>15000</v>
      </c>
      <c r="T217" s="122">
        <f>+ROUND(Tableau330[[#This Row],[NET A PAYER]],0)-Tableau330[[#This Row],[MONTANT PAYE]]</f>
        <v>0</v>
      </c>
      <c r="U217" s="122"/>
      <c r="V217" s="123">
        <f>+Tableau330[[#This Row],[DELAI_PAIEMENT]]+Tableau330[[#This Row],[DATE ]]</f>
        <v>45946</v>
      </c>
      <c r="X217" s="82" t="s">
        <v>1337</v>
      </c>
      <c r="Y217" s="82" t="s">
        <v>623</v>
      </c>
      <c r="Z217" s="120"/>
    </row>
    <row r="218" spans="1:27">
      <c r="A218" s="83">
        <v>45946</v>
      </c>
      <c r="B218" s="83" t="str">
        <f>IF(ISBLANK(Tableau330[[#This Row],[DATE ]]),"",UPPER(PROPER(TEXT(Tableau330[[#This Row],[DATE ]],"mmmm yyyy"))))</f>
        <v>OCTOBRE 2025</v>
      </c>
      <c r="C218" s="83" t="s">
        <v>824</v>
      </c>
      <c r="D218" s="120" t="s">
        <v>1138</v>
      </c>
      <c r="E218" s="82" t="s">
        <v>1139</v>
      </c>
      <c r="F218" s="120" t="s">
        <v>1140</v>
      </c>
      <c r="H218" s="82" t="s">
        <v>1199</v>
      </c>
      <c r="J218" s="121"/>
      <c r="K218" s="122">
        <v>180000</v>
      </c>
      <c r="L218" s="121"/>
      <c r="M218" s="122">
        <v>180000</v>
      </c>
      <c r="N218" s="122">
        <f>+IF(Tableau330[[#This Row],[CODE TVA]]="",0,ROUND(Tableau330[[#This Row],[MONTANT HT]]*0.18*Tableau330[[#This Row],[PRORATA D]],1))</f>
        <v>0</v>
      </c>
      <c r="O218" s="122">
        <f>+IFERROR(Tableau330[[#This Row],[MONTANT HT]]+Tableau330[[#This Row],[TVA]],0)</f>
        <v>180000</v>
      </c>
      <c r="P218" s="122"/>
      <c r="Q218" s="122"/>
      <c r="R218" s="122">
        <f>+Tableau330[[#This Row],[MONTANT TTC]]+Tableau330[[#This Row],[TIMBRE ]]+Tableau330[[#This Row],[AUTRES TAXES]]</f>
        <v>180000</v>
      </c>
      <c r="S218" s="122">
        <v>180000</v>
      </c>
      <c r="T218" s="122">
        <f>+ROUND(Tableau330[[#This Row],[NET A PAYER]],0)-Tableau330[[#This Row],[MONTANT PAYE]]</f>
        <v>0</v>
      </c>
      <c r="U218" s="122"/>
      <c r="V218" s="123">
        <f>+Tableau330[[#This Row],[DELAI_PAIEMENT]]+Tableau330[[#This Row],[DATE ]]</f>
        <v>45946</v>
      </c>
      <c r="X218" s="82" t="s">
        <v>1337</v>
      </c>
      <c r="Y218" s="82" t="s">
        <v>623</v>
      </c>
      <c r="Z218" s="120"/>
    </row>
    <row r="219" spans="1:27">
      <c r="A219" s="83">
        <v>45946</v>
      </c>
      <c r="B219" s="83" t="str">
        <f>IF(ISBLANK(Tableau330[[#This Row],[DATE ]]),"",UPPER(PROPER(TEXT(Tableau330[[#This Row],[DATE ]],"mmmm yyyy"))))</f>
        <v>OCTOBRE 2025</v>
      </c>
      <c r="C219" s="83" t="s">
        <v>870</v>
      </c>
      <c r="D219" s="120" t="s">
        <v>1141</v>
      </c>
      <c r="E219" s="82" t="s">
        <v>1142</v>
      </c>
      <c r="F219" s="120"/>
      <c r="H219" s="82" t="s">
        <v>1143</v>
      </c>
      <c r="J219" s="121"/>
      <c r="K219" s="122"/>
      <c r="L219" s="122">
        <v>350000</v>
      </c>
      <c r="M219" s="122">
        <v>350000</v>
      </c>
      <c r="N219" s="122">
        <f>+IF(Tableau330[[#This Row],[CODE TVA]]="",0,ROUND(Tableau330[[#This Row],[MONTANT HT]]*0.18*Tableau330[[#This Row],[PRORATA D]],1))</f>
        <v>0</v>
      </c>
      <c r="O219" s="122">
        <f>+IFERROR(Tableau330[[#This Row],[MONTANT HT]]+Tableau330[[#This Row],[TVA]],0)</f>
        <v>350000</v>
      </c>
      <c r="P219" s="122"/>
      <c r="Q219" s="122"/>
      <c r="R219" s="122">
        <f>+Tableau330[[#This Row],[MONTANT TTC]]+Tableau330[[#This Row],[TIMBRE ]]+Tableau330[[#This Row],[AUTRES TAXES]]</f>
        <v>350000</v>
      </c>
      <c r="S219" s="122">
        <v>350000</v>
      </c>
      <c r="T219" s="122">
        <f>+ROUND(Tableau330[[#This Row],[NET A PAYER]],0)-Tableau330[[#This Row],[MONTANT PAYE]]</f>
        <v>0</v>
      </c>
      <c r="U219" s="122"/>
      <c r="V219" s="123">
        <f>+Tableau330[[#This Row],[DELAI_PAIEMENT]]+Tableau330[[#This Row],[DATE ]]</f>
        <v>45946</v>
      </c>
      <c r="X219" s="82" t="s">
        <v>1337</v>
      </c>
      <c r="Y219" s="82" t="s">
        <v>623</v>
      </c>
      <c r="Z219" s="120"/>
    </row>
    <row r="220" spans="1:27">
      <c r="A220" s="83">
        <v>45947</v>
      </c>
      <c r="B220" s="83" t="str">
        <f>IF(ISBLANK(Tableau330[[#This Row],[DATE ]]),"",UPPER(PROPER(TEXT(Tableau330[[#This Row],[DATE ]],"mmmm yyyy"))))</f>
        <v>OCTOBRE 2025</v>
      </c>
      <c r="C220" s="83" t="s">
        <v>824</v>
      </c>
      <c r="D220" s="120" t="s">
        <v>1179</v>
      </c>
      <c r="E220" s="82" t="s">
        <v>832</v>
      </c>
      <c r="F220" s="120" t="s">
        <v>833</v>
      </c>
      <c r="H220" s="82" t="s">
        <v>1203</v>
      </c>
      <c r="I220" s="82" t="s">
        <v>12</v>
      </c>
      <c r="J220" s="121">
        <v>1</v>
      </c>
      <c r="K220" s="122">
        <v>7881</v>
      </c>
      <c r="L220" s="121"/>
      <c r="M220" s="122">
        <v>7881</v>
      </c>
      <c r="N220" s="122">
        <f>+IF(Tableau330[[#This Row],[CODE TVA]]="",0,ROUND(Tableau330[[#This Row],[MONTANT HT]]*0.18*Tableau330[[#This Row],[PRORATA D]],1))</f>
        <v>1418.6</v>
      </c>
      <c r="O220" s="122">
        <f>+IFERROR(Tableau330[[#This Row],[MONTANT HT]]+Tableau330[[#This Row],[TVA]],0)</f>
        <v>9299.6</v>
      </c>
      <c r="P220" s="122"/>
      <c r="Q220" s="122"/>
      <c r="R220" s="122">
        <f>+Tableau330[[#This Row],[MONTANT TTC]]+Tableau330[[#This Row],[TIMBRE ]]+Tableau330[[#This Row],[AUTRES TAXES]]</f>
        <v>9299.6</v>
      </c>
      <c r="S220" s="122">
        <v>9299.58</v>
      </c>
      <c r="T220" s="122">
        <f>+ROUND(Tableau330[[#This Row],[NET A PAYER]],0)-Tableau330[[#This Row],[MONTANT PAYE]]</f>
        <v>0.42000000000007276</v>
      </c>
      <c r="U220" s="122"/>
      <c r="V220" s="123">
        <f>+Tableau330[[#This Row],[DELAI_PAIEMENT]]+Tableau330[[#This Row],[DATE ]]</f>
        <v>45947</v>
      </c>
      <c r="X220" s="82" t="s">
        <v>1337</v>
      </c>
      <c r="Y220" s="82" t="s">
        <v>623</v>
      </c>
      <c r="Z220" s="120"/>
    </row>
    <row r="221" spans="1:27">
      <c r="A221" s="83">
        <v>45947</v>
      </c>
      <c r="B221" s="83" t="str">
        <f>IF(ISBLANK(Tableau330[[#This Row],[DATE ]]),"",UPPER(PROPER(TEXT(Tableau330[[#This Row],[DATE ]],"mmmm yyyy"))))</f>
        <v>OCTOBRE 2025</v>
      </c>
      <c r="C221" s="83" t="s">
        <v>819</v>
      </c>
      <c r="D221" s="120" t="s">
        <v>1180</v>
      </c>
      <c r="E221" s="82" t="s">
        <v>1181</v>
      </c>
      <c r="F221" s="120"/>
      <c r="H221" s="82" t="s">
        <v>1204</v>
      </c>
      <c r="J221" s="121"/>
      <c r="K221" s="122">
        <v>7000</v>
      </c>
      <c r="L221" s="121"/>
      <c r="M221" s="122">
        <v>7000</v>
      </c>
      <c r="N221" s="122">
        <f>+IF(Tableau330[[#This Row],[CODE TVA]]="",0,ROUND(Tableau330[[#This Row],[MONTANT HT]]*0.18*Tableau330[[#This Row],[PRORATA D]],1))</f>
        <v>0</v>
      </c>
      <c r="O221" s="122">
        <f>+IFERROR(Tableau330[[#This Row],[MONTANT HT]]+Tableau330[[#This Row],[TVA]],0)</f>
        <v>7000</v>
      </c>
      <c r="P221" s="122"/>
      <c r="Q221" s="122"/>
      <c r="R221" s="122">
        <f>+Tableau330[[#This Row],[MONTANT TTC]]+Tableau330[[#This Row],[TIMBRE ]]+Tableau330[[#This Row],[AUTRES TAXES]]</f>
        <v>7000</v>
      </c>
      <c r="S221" s="122">
        <v>7000</v>
      </c>
      <c r="T221" s="122">
        <f>+ROUND(Tableau330[[#This Row],[NET A PAYER]],0)-Tableau330[[#This Row],[MONTANT PAYE]]</f>
        <v>0</v>
      </c>
      <c r="U221" s="122"/>
      <c r="V221" s="123">
        <f>+Tableau330[[#This Row],[DELAI_PAIEMENT]]+Tableau330[[#This Row],[DATE ]]</f>
        <v>45947</v>
      </c>
      <c r="X221" s="82" t="s">
        <v>1337</v>
      </c>
      <c r="Y221" s="82" t="s">
        <v>623</v>
      </c>
      <c r="Z221" s="120"/>
    </row>
    <row r="222" spans="1:27">
      <c r="A222" s="83">
        <v>45947</v>
      </c>
      <c r="B222" s="83" t="str">
        <f>IF(ISBLANK(Tableau330[[#This Row],[DATE ]]),"",UPPER(PROPER(TEXT(Tableau330[[#This Row],[DATE ]],"mmmm yyyy"))))</f>
        <v>OCTOBRE 2025</v>
      </c>
      <c r="C222" s="83" t="s">
        <v>819</v>
      </c>
      <c r="D222" s="120" t="s">
        <v>1182</v>
      </c>
      <c r="E222" s="82" t="s">
        <v>1183</v>
      </c>
      <c r="F222" s="120"/>
      <c r="H222" s="82" t="s">
        <v>1205</v>
      </c>
      <c r="J222" s="121"/>
      <c r="K222" s="122">
        <v>1400</v>
      </c>
      <c r="L222" s="121"/>
      <c r="M222" s="122">
        <v>1400</v>
      </c>
      <c r="N222" s="122">
        <f>+IF(Tableau330[[#This Row],[CODE TVA]]="",0,ROUND(Tableau330[[#This Row],[MONTANT HT]]*0.18*Tableau330[[#This Row],[PRORATA D]],1))</f>
        <v>0</v>
      </c>
      <c r="O222" s="122">
        <f>+IFERROR(Tableau330[[#This Row],[MONTANT HT]]+Tableau330[[#This Row],[TVA]],0)</f>
        <v>1400</v>
      </c>
      <c r="P222" s="122"/>
      <c r="Q222" s="122"/>
      <c r="R222" s="122">
        <f>+Tableau330[[#This Row],[MONTANT TTC]]+Tableau330[[#This Row],[TIMBRE ]]+Tableau330[[#This Row],[AUTRES TAXES]]</f>
        <v>1400</v>
      </c>
      <c r="S222" s="122">
        <v>1400</v>
      </c>
      <c r="T222" s="122">
        <f>+ROUND(Tableau330[[#This Row],[NET A PAYER]],0)-Tableau330[[#This Row],[MONTANT PAYE]]</f>
        <v>0</v>
      </c>
      <c r="U222" s="122"/>
      <c r="V222" s="123">
        <f>+Tableau330[[#This Row],[DELAI_PAIEMENT]]+Tableau330[[#This Row],[DATE ]]</f>
        <v>45947</v>
      </c>
      <c r="X222" s="82" t="s">
        <v>1337</v>
      </c>
      <c r="Y222" s="82" t="s">
        <v>623</v>
      </c>
      <c r="Z222" s="120"/>
    </row>
    <row r="223" spans="1:27">
      <c r="A223" s="83">
        <v>45947</v>
      </c>
      <c r="B223" s="83" t="str">
        <f>IF(ISBLANK(Tableau330[[#This Row],[DATE ]]),"",UPPER(PROPER(TEXT(Tableau330[[#This Row],[DATE ]],"mmmm yyyy"))))</f>
        <v>OCTOBRE 2025</v>
      </c>
      <c r="C223" s="83" t="s">
        <v>836</v>
      </c>
      <c r="D223" s="120" t="s">
        <v>1184</v>
      </c>
      <c r="E223" s="82" t="s">
        <v>1185</v>
      </c>
      <c r="F223" s="120" t="s">
        <v>1186</v>
      </c>
      <c r="G223" s="82" t="s">
        <v>828</v>
      </c>
      <c r="H223" s="82" t="s">
        <v>1206</v>
      </c>
      <c r="J223" s="121"/>
      <c r="K223" s="122">
        <v>42000</v>
      </c>
      <c r="L223" s="121"/>
      <c r="M223" s="122">
        <v>42000</v>
      </c>
      <c r="N223" s="122">
        <f>+IF(Tableau330[[#This Row],[CODE TVA]]="",0,ROUND(Tableau330[[#This Row],[MONTANT HT]]*0.18*Tableau330[[#This Row],[PRORATA D]],1))</f>
        <v>0</v>
      </c>
      <c r="O223" s="122">
        <f>+IFERROR(Tableau330[[#This Row],[MONTANT HT]]+Tableau330[[#This Row],[TVA]],0)</f>
        <v>42000</v>
      </c>
      <c r="P223" s="122"/>
      <c r="Q223" s="122"/>
      <c r="R223" s="122">
        <f>+Tableau330[[#This Row],[MONTANT TTC]]+Tableau330[[#This Row],[TIMBRE ]]+Tableau330[[#This Row],[AUTRES TAXES]]</f>
        <v>42000</v>
      </c>
      <c r="S223" s="122">
        <v>42000</v>
      </c>
      <c r="T223" s="122">
        <f>+ROUND(Tableau330[[#This Row],[NET A PAYER]],0)-Tableau330[[#This Row],[MONTANT PAYE]]</f>
        <v>0</v>
      </c>
      <c r="U223" s="122"/>
      <c r="V223" s="123">
        <f>+Tableau330[[#This Row],[DELAI_PAIEMENT]]+Tableau330[[#This Row],[DATE ]]</f>
        <v>45947</v>
      </c>
      <c r="X223" s="82" t="s">
        <v>1337</v>
      </c>
      <c r="Y223" s="82" t="s">
        <v>623</v>
      </c>
      <c r="Z223" s="120"/>
      <c r="AA223" s="82" t="s">
        <v>1157</v>
      </c>
    </row>
    <row r="224" spans="1:27">
      <c r="A224" s="83">
        <v>45947</v>
      </c>
      <c r="B224" s="83" t="str">
        <f>IF(ISBLANK(Tableau330[[#This Row],[DATE ]]),"",UPPER(PROPER(TEXT(Tableau330[[#This Row],[DATE ]],"mmmm yyyy"))))</f>
        <v>OCTOBRE 2025</v>
      </c>
      <c r="C224" s="83" t="s">
        <v>824</v>
      </c>
      <c r="D224" s="120" t="s">
        <v>1514</v>
      </c>
      <c r="E224" s="82" t="s">
        <v>1517</v>
      </c>
      <c r="F224" s="120"/>
      <c r="H224" s="82" t="s">
        <v>1515</v>
      </c>
      <c r="J224" s="121"/>
      <c r="K224" s="121">
        <v>28000000</v>
      </c>
      <c r="L224" s="121"/>
      <c r="M224" s="122">
        <v>28000000</v>
      </c>
      <c r="N224" s="122">
        <f>+IF(Tableau330[[#This Row],[CODE TVA]]="",0,ROUND(Tableau330[[#This Row],[MONTANT HT]]*0.18*Tableau330[[#This Row],[PRORATA D]],1))</f>
        <v>0</v>
      </c>
      <c r="O224" s="122">
        <f>+IFERROR(Tableau330[[#This Row],[MONTANT HT]]+Tableau330[[#This Row],[TVA]],0)</f>
        <v>28000000</v>
      </c>
      <c r="P224" s="122"/>
      <c r="Q224" s="122"/>
      <c r="R224" s="122">
        <f>+Tableau330[[#This Row],[MONTANT TTC]]+Tableau330[[#This Row],[TIMBRE ]]+Tableau330[[#This Row],[AUTRES TAXES]]</f>
        <v>28000000</v>
      </c>
      <c r="S224" s="122">
        <v>20000000</v>
      </c>
      <c r="T224" s="122">
        <f>+ROUND(Tableau330[[#This Row],[NET A PAYER]],0)-Tableau330[[#This Row],[MONTANT PAYE]]</f>
        <v>8000000</v>
      </c>
      <c r="U224" s="122"/>
      <c r="V224" s="123">
        <f>+Tableau330[[#This Row],[DELAI_PAIEMENT]]+Tableau330[[#This Row],[DATE ]]</f>
        <v>45947</v>
      </c>
      <c r="X224" s="82" t="s">
        <v>1338</v>
      </c>
      <c r="Y224" s="82" t="s">
        <v>617</v>
      </c>
      <c r="Z224" s="120" t="s">
        <v>1516</v>
      </c>
    </row>
    <row r="225" spans="1:27">
      <c r="A225" s="83">
        <v>45948</v>
      </c>
      <c r="B225" s="83" t="str">
        <f>IF(ISBLANK(Tableau330[[#This Row],[DATE ]]),"",UPPER(PROPER(TEXT(Tableau330[[#This Row],[DATE ]],"mmmm yyyy"))))</f>
        <v>OCTOBRE 2025</v>
      </c>
      <c r="C225" s="83" t="s">
        <v>824</v>
      </c>
      <c r="D225" s="120" t="s">
        <v>1166</v>
      </c>
      <c r="E225" s="82" t="s">
        <v>1167</v>
      </c>
      <c r="F225" s="120" t="s">
        <v>1168</v>
      </c>
      <c r="H225" s="82" t="s">
        <v>1200</v>
      </c>
      <c r="J225" s="121"/>
      <c r="K225" s="122">
        <v>649000</v>
      </c>
      <c r="L225" s="121"/>
      <c r="M225" s="122">
        <v>649000</v>
      </c>
      <c r="N225" s="122">
        <f>+IF(Tableau330[[#This Row],[CODE TVA]]="",0,ROUND(Tableau330[[#This Row],[MONTANT HT]]*0.18*Tableau330[[#This Row],[PRORATA D]],1))</f>
        <v>0</v>
      </c>
      <c r="O225" s="122">
        <f>+IFERROR(Tableau330[[#This Row],[MONTANT HT]]+Tableau330[[#This Row],[TVA]],0)</f>
        <v>649000</v>
      </c>
      <c r="P225" s="122"/>
      <c r="Q225" s="122"/>
      <c r="R225" s="122">
        <f>+Tableau330[[#This Row],[MONTANT TTC]]+Tableau330[[#This Row],[TIMBRE ]]+Tableau330[[#This Row],[AUTRES TAXES]]</f>
        <v>649000</v>
      </c>
      <c r="S225" s="122">
        <v>649000</v>
      </c>
      <c r="T225" s="122">
        <f>+ROUND(Tableau330[[#This Row],[NET A PAYER]],0)-Tableau330[[#This Row],[MONTANT PAYE]]</f>
        <v>0</v>
      </c>
      <c r="U225" s="122"/>
      <c r="V225" s="123">
        <f>+Tableau330[[#This Row],[DELAI_PAIEMENT]]+Tableau330[[#This Row],[DATE ]]</f>
        <v>45948</v>
      </c>
      <c r="X225" s="82" t="s">
        <v>699</v>
      </c>
      <c r="Z225" s="120"/>
    </row>
    <row r="226" spans="1:27">
      <c r="A226" s="137">
        <v>45948</v>
      </c>
      <c r="B226" s="137" t="str">
        <f>IF(ISBLANK(Tableau330[[#This Row],[DATE ]]),"",UPPER(PROPER(TEXT(Tableau330[[#This Row],[DATE ]],"mmmm yyyy"))))</f>
        <v>OCTOBRE 2025</v>
      </c>
      <c r="C226" s="137" t="s">
        <v>824</v>
      </c>
      <c r="D226" s="138" t="s">
        <v>1592</v>
      </c>
      <c r="E226" s="139" t="s">
        <v>1265</v>
      </c>
      <c r="F226" s="138" t="s">
        <v>1266</v>
      </c>
      <c r="G226" s="139"/>
      <c r="H226" s="139" t="s">
        <v>1593</v>
      </c>
      <c r="I226" s="139" t="s">
        <v>12</v>
      </c>
      <c r="J226" s="140">
        <v>1</v>
      </c>
      <c r="K226" s="140">
        <v>42373</v>
      </c>
      <c r="L226" s="140"/>
      <c r="M226" s="141">
        <v>42373</v>
      </c>
      <c r="N226" s="141">
        <f>+IF(Tableau330[[#This Row],[CODE TVA]]="",0,ROUND(Tableau330[[#This Row],[MONTANT HT]]*0.18*Tableau330[[#This Row],[PRORATA D]],1))</f>
        <v>7627.1</v>
      </c>
      <c r="O226" s="141">
        <f>+IFERROR(Tableau330[[#This Row],[MONTANT HT]]+Tableau330[[#This Row],[TVA]],0)</f>
        <v>50000.1</v>
      </c>
      <c r="P226" s="141"/>
      <c r="Q226" s="141"/>
      <c r="R226" s="141">
        <f>+Tableau330[[#This Row],[MONTANT TTC]]+Tableau330[[#This Row],[TIMBRE ]]+Tableau330[[#This Row],[AUTRES TAXES]]</f>
        <v>50000.1</v>
      </c>
      <c r="S226" s="141">
        <v>50000</v>
      </c>
      <c r="T226" s="141">
        <f>+ROUND(Tableau330[[#This Row],[NET A PAYER]],0)-Tableau330[[#This Row],[MONTANT PAYE]]</f>
        <v>0</v>
      </c>
      <c r="U226" s="141"/>
      <c r="V226" s="142">
        <f>+Tableau330[[#This Row],[DELAI_PAIEMENT]]+Tableau330[[#This Row],[DATE ]]</f>
        <v>45948</v>
      </c>
      <c r="W226" s="139"/>
      <c r="X226" s="139"/>
      <c r="Y226" s="139" t="s">
        <v>623</v>
      </c>
      <c r="Z226" s="138" t="s">
        <v>1582</v>
      </c>
      <c r="AA226" s="139"/>
    </row>
    <row r="227" spans="1:27">
      <c r="A227" s="83">
        <v>45950</v>
      </c>
      <c r="B227" s="83" t="str">
        <f>IF(ISBLANK(Tableau330[[#This Row],[DATE ]]),"",UPPER(PROPER(TEXT(Tableau330[[#This Row],[DATE ]],"mmmm yyyy"))))</f>
        <v>OCTOBRE 2025</v>
      </c>
      <c r="C227" s="83" t="s">
        <v>819</v>
      </c>
      <c r="D227" s="120" t="s">
        <v>1208</v>
      </c>
      <c r="E227" s="82" t="s">
        <v>1207</v>
      </c>
      <c r="F227" s="120"/>
      <c r="H227" s="82" t="s">
        <v>1209</v>
      </c>
      <c r="J227" s="121"/>
      <c r="K227" s="122">
        <v>190000</v>
      </c>
      <c r="L227" s="121"/>
      <c r="M227" s="122">
        <v>190000</v>
      </c>
      <c r="N227" s="122">
        <f>+IF(Tableau330[[#This Row],[CODE TVA]]="",0,ROUND(Tableau330[[#This Row],[MONTANT HT]]*0.18*Tableau330[[#This Row],[PRORATA D]],1))</f>
        <v>0</v>
      </c>
      <c r="O227" s="122">
        <f>+IFERROR(Tableau330[[#This Row],[MONTANT HT]]+Tableau330[[#This Row],[TVA]],0)</f>
        <v>190000</v>
      </c>
      <c r="P227" s="122"/>
      <c r="Q227" s="122"/>
      <c r="R227" s="122">
        <f>+Tableau330[[#This Row],[MONTANT TTC]]+Tableau330[[#This Row],[TIMBRE ]]+Tableau330[[#This Row],[AUTRES TAXES]]</f>
        <v>190000</v>
      </c>
      <c r="S227" s="122">
        <v>190000</v>
      </c>
      <c r="T227" s="122">
        <f>+ROUND(Tableau330[[#This Row],[NET A PAYER]],0)-Tableau330[[#This Row],[MONTANT PAYE]]</f>
        <v>0</v>
      </c>
      <c r="U227" s="122"/>
      <c r="V227" s="123">
        <f>+Tableau330[[#This Row],[DELAI_PAIEMENT]]+Tableau330[[#This Row],[DATE ]]</f>
        <v>45950</v>
      </c>
      <c r="X227" s="82" t="s">
        <v>1337</v>
      </c>
      <c r="Y227" s="82" t="s">
        <v>623</v>
      </c>
      <c r="Z227" s="120"/>
    </row>
    <row r="228" spans="1:27">
      <c r="A228" s="83">
        <v>45951</v>
      </c>
      <c r="B228" s="83" t="str">
        <f>IF(ISBLANK(Tableau330[[#This Row],[DATE ]]),"",UPPER(PROPER(TEXT(Tableau330[[#This Row],[DATE ]],"mmmm yyyy"))))</f>
        <v>OCTOBRE 2025</v>
      </c>
      <c r="C228" s="83" t="s">
        <v>836</v>
      </c>
      <c r="D228" s="120" t="s">
        <v>1492</v>
      </c>
      <c r="E228" s="82" t="s">
        <v>1493</v>
      </c>
      <c r="F228" s="120"/>
      <c r="H228" s="82" t="s">
        <v>1494</v>
      </c>
      <c r="J228" s="121"/>
      <c r="K228" s="121"/>
      <c r="L228" s="121">
        <v>15000</v>
      </c>
      <c r="M228" s="122">
        <v>15000</v>
      </c>
      <c r="N228" s="122">
        <f>+IF(Tableau330[[#This Row],[CODE TVA]]="",0,ROUND(Tableau330[[#This Row],[MONTANT HT]]*0.18*Tableau330[[#This Row],[PRORATA D]],1))</f>
        <v>0</v>
      </c>
      <c r="O228" s="122">
        <f>+IFERROR(Tableau330[[#This Row],[MONTANT HT]]+Tableau330[[#This Row],[TVA]],0)</f>
        <v>15000</v>
      </c>
      <c r="P228" s="122"/>
      <c r="Q228" s="122"/>
      <c r="R228" s="122">
        <f>+Tableau330[[#This Row],[MONTANT TTC]]+Tableau330[[#This Row],[TIMBRE ]]+Tableau330[[#This Row],[AUTRES TAXES]]</f>
        <v>15000</v>
      </c>
      <c r="S228" s="122">
        <v>15000</v>
      </c>
      <c r="T228" s="122">
        <f>+ROUND(Tableau330[[#This Row],[NET A PAYER]],0)-Tableau330[[#This Row],[MONTANT PAYE]]</f>
        <v>0</v>
      </c>
      <c r="U228" s="122"/>
      <c r="V228" s="123">
        <f>+Tableau330[[#This Row],[DELAI_PAIEMENT]]+Tableau330[[#This Row],[DATE ]]</f>
        <v>45951</v>
      </c>
      <c r="X228" s="82" t="s">
        <v>1337</v>
      </c>
      <c r="Y228" s="82" t="s">
        <v>623</v>
      </c>
      <c r="Z228" s="120" t="s">
        <v>1451</v>
      </c>
    </row>
    <row r="229" spans="1:27">
      <c r="A229" s="137">
        <v>45951</v>
      </c>
      <c r="B229" s="137" t="str">
        <f>IF(ISBLANK(Tableau330[[#This Row],[DATE ]]),"",UPPER(PROPER(TEXT(Tableau330[[#This Row],[DATE ]],"mmmm yyyy"))))</f>
        <v>OCTOBRE 2025</v>
      </c>
      <c r="C229" s="137" t="s">
        <v>824</v>
      </c>
      <c r="D229" s="138" t="s">
        <v>1583</v>
      </c>
      <c r="E229" s="139" t="s">
        <v>1265</v>
      </c>
      <c r="F229" s="138" t="s">
        <v>1266</v>
      </c>
      <c r="G229" s="139"/>
      <c r="H229" s="139" t="s">
        <v>1584</v>
      </c>
      <c r="I229" s="139" t="s">
        <v>12</v>
      </c>
      <c r="J229" s="140">
        <v>1</v>
      </c>
      <c r="K229" s="140">
        <v>38136</v>
      </c>
      <c r="L229" s="140"/>
      <c r="M229" s="141">
        <v>38136</v>
      </c>
      <c r="N229" s="141">
        <f>+IF(Tableau330[[#This Row],[CODE TVA]]="",0,ROUND(Tableau330[[#This Row],[MONTANT HT]]*0.18*Tableau330[[#This Row],[PRORATA D]],1))</f>
        <v>6864.5</v>
      </c>
      <c r="O229" s="141">
        <f>+IFERROR(Tableau330[[#This Row],[MONTANT HT]]+Tableau330[[#This Row],[TVA]],0)</f>
        <v>45000.5</v>
      </c>
      <c r="P229" s="141"/>
      <c r="Q229" s="141"/>
      <c r="R229" s="141">
        <f>+Tableau330[[#This Row],[MONTANT TTC]]+Tableau330[[#This Row],[TIMBRE ]]+Tableau330[[#This Row],[AUTRES TAXES]]</f>
        <v>45000.5</v>
      </c>
      <c r="S229" s="141">
        <v>45000</v>
      </c>
      <c r="T229" s="141">
        <f>+ROUND(Tableau330[[#This Row],[NET A PAYER]],0)-Tableau330[[#This Row],[MONTANT PAYE]]</f>
        <v>1</v>
      </c>
      <c r="U229" s="141"/>
      <c r="V229" s="142">
        <f>+Tableau330[[#This Row],[DELAI_PAIEMENT]]+Tableau330[[#This Row],[DATE ]]</f>
        <v>45951</v>
      </c>
      <c r="W229" s="139"/>
      <c r="X229" s="139"/>
      <c r="Y229" s="139" t="s">
        <v>623</v>
      </c>
      <c r="Z229" s="138" t="s">
        <v>1582</v>
      </c>
      <c r="AA229" s="139" t="s">
        <v>1588</v>
      </c>
    </row>
    <row r="230" spans="1:27">
      <c r="A230" s="83">
        <v>45952</v>
      </c>
      <c r="B230" s="83" t="str">
        <f>IF(ISBLANK(Tableau330[[#This Row],[DATE ]]),"",UPPER(PROPER(TEXT(Tableau330[[#This Row],[DATE ]],"mmmm yyyy"))))</f>
        <v>OCTOBRE 2025</v>
      </c>
      <c r="C230" s="83" t="s">
        <v>819</v>
      </c>
      <c r="D230" s="120" t="s">
        <v>1211</v>
      </c>
      <c r="E230" s="82" t="s">
        <v>1210</v>
      </c>
      <c r="F230" s="120"/>
      <c r="H230" s="82" t="s">
        <v>1212</v>
      </c>
      <c r="J230" s="121"/>
      <c r="K230" s="122">
        <v>35000</v>
      </c>
      <c r="L230" s="121"/>
      <c r="M230" s="122">
        <v>35000</v>
      </c>
      <c r="N230" s="122">
        <f>+IF(Tableau330[[#This Row],[CODE TVA]]="",0,ROUND(Tableau330[[#This Row],[MONTANT HT]]*0.18*Tableau330[[#This Row],[PRORATA D]],1))</f>
        <v>0</v>
      </c>
      <c r="O230" s="122">
        <f>+IFERROR(Tableau330[[#This Row],[MONTANT HT]]+Tableau330[[#This Row],[TVA]],0)</f>
        <v>35000</v>
      </c>
      <c r="P230" s="122"/>
      <c r="Q230" s="122"/>
      <c r="R230" s="122">
        <f>+Tableau330[[#This Row],[MONTANT TTC]]+Tableau330[[#This Row],[TIMBRE ]]+Tableau330[[#This Row],[AUTRES TAXES]]</f>
        <v>35000</v>
      </c>
      <c r="S230" s="122">
        <v>35000</v>
      </c>
      <c r="T230" s="122">
        <f>+ROUND(Tableau330[[#This Row],[NET A PAYER]],0)-Tableau330[[#This Row],[MONTANT PAYE]]</f>
        <v>0</v>
      </c>
      <c r="U230" s="122"/>
      <c r="V230" s="123">
        <f>+Tableau330[[#This Row],[DELAI_PAIEMENT]]+Tableau330[[#This Row],[DATE ]]</f>
        <v>45952</v>
      </c>
      <c r="X230" s="82" t="s">
        <v>1337</v>
      </c>
      <c r="Y230" s="82" t="s">
        <v>623</v>
      </c>
      <c r="Z230" s="120"/>
    </row>
    <row r="231" spans="1:27">
      <c r="A231" s="83">
        <v>45952</v>
      </c>
      <c r="B231" s="83" t="str">
        <f>IF(ISBLANK(Tableau330[[#This Row],[DATE ]]),"",UPPER(PROPER(TEXT(Tableau330[[#This Row],[DATE ]],"mmmm yyyy"))))</f>
        <v>OCTOBRE 2025</v>
      </c>
      <c r="C231" s="83" t="s">
        <v>819</v>
      </c>
      <c r="D231" s="120" t="s">
        <v>1238</v>
      </c>
      <c r="E231" s="82" t="s">
        <v>1239</v>
      </c>
      <c r="F231" s="120" t="s">
        <v>1243</v>
      </c>
      <c r="H231" s="82" t="s">
        <v>1240</v>
      </c>
      <c r="J231" s="121"/>
      <c r="K231" s="122">
        <v>60000</v>
      </c>
      <c r="L231" s="121"/>
      <c r="M231" s="122">
        <v>60000</v>
      </c>
      <c r="N231" s="122">
        <f>+IF(Tableau330[[#This Row],[CODE TVA]]="",0,ROUND(Tableau330[[#This Row],[MONTANT HT]]*0.18*Tableau330[[#This Row],[PRORATA D]],1))</f>
        <v>0</v>
      </c>
      <c r="O231" s="122">
        <f>+IFERROR(Tableau330[[#This Row],[MONTANT HT]]+Tableau330[[#This Row],[TVA]],0)</f>
        <v>60000</v>
      </c>
      <c r="P231" s="122"/>
      <c r="Q231" s="122"/>
      <c r="R231" s="122">
        <f>+Tableau330[[#This Row],[MONTANT TTC]]+Tableau330[[#This Row],[TIMBRE ]]+Tableau330[[#This Row],[AUTRES TAXES]]</f>
        <v>60000</v>
      </c>
      <c r="S231" s="122">
        <v>60000</v>
      </c>
      <c r="T231" s="122">
        <f>+ROUND(Tableau330[[#This Row],[NET A PAYER]],0)-Tableau330[[#This Row],[MONTANT PAYE]]</f>
        <v>0</v>
      </c>
      <c r="U231" s="122"/>
      <c r="V231" s="123">
        <f>+Tableau330[[#This Row],[DELAI_PAIEMENT]]+Tableau330[[#This Row],[DATE ]]</f>
        <v>45952</v>
      </c>
      <c r="X231" s="82" t="s">
        <v>1337</v>
      </c>
      <c r="Y231" s="82" t="s">
        <v>623</v>
      </c>
      <c r="Z231" s="120"/>
    </row>
    <row r="232" spans="1:27">
      <c r="A232" s="83">
        <v>45953</v>
      </c>
      <c r="B232" s="83" t="str">
        <f>IF(ISBLANK(Tableau330[[#This Row],[DATE ]]),"",UPPER(PROPER(TEXT(Tableau330[[#This Row],[DATE ]],"mmmm yyyy"))))</f>
        <v>OCTOBRE 2025</v>
      </c>
      <c r="C232" s="83" t="s">
        <v>824</v>
      </c>
      <c r="D232" s="120" t="s">
        <v>1228</v>
      </c>
      <c r="E232" s="82" t="s">
        <v>1011</v>
      </c>
      <c r="F232" s="120" t="s">
        <v>1012</v>
      </c>
      <c r="G232" s="82" t="s">
        <v>822</v>
      </c>
      <c r="H232" s="82" t="s">
        <v>1229</v>
      </c>
      <c r="I232" s="82" t="s">
        <v>12</v>
      </c>
      <c r="J232" s="121">
        <v>1</v>
      </c>
      <c r="K232" s="122">
        <v>11340</v>
      </c>
      <c r="L232" s="121"/>
      <c r="M232" s="122">
        <v>11340</v>
      </c>
      <c r="N232" s="122">
        <f>+IF(Tableau330[[#This Row],[CODE TVA]]="",0,ROUND(Tableau330[[#This Row],[MONTANT HT]]*0.18*Tableau330[[#This Row],[PRORATA D]],1))</f>
        <v>2041.2</v>
      </c>
      <c r="O232" s="122">
        <f>+IFERROR(Tableau330[[#This Row],[MONTANT HT]]+Tableau330[[#This Row],[TVA]],0)</f>
        <v>13381.2</v>
      </c>
      <c r="P232" s="122"/>
      <c r="Q232" s="122"/>
      <c r="R232" s="122">
        <f>+Tableau330[[#This Row],[MONTANT TTC]]+Tableau330[[#This Row],[TIMBRE ]]+Tableau330[[#This Row],[AUTRES TAXES]]</f>
        <v>13381.2</v>
      </c>
      <c r="S232" s="122">
        <v>13381</v>
      </c>
      <c r="T232" s="122">
        <f>+ROUND(Tableau330[[#This Row],[NET A PAYER]],0)-Tableau330[[#This Row],[MONTANT PAYE]]</f>
        <v>0</v>
      </c>
      <c r="U232" s="122"/>
      <c r="V232" s="123">
        <f>+Tableau330[[#This Row],[DELAI_PAIEMENT]]+Tableau330[[#This Row],[DATE ]]</f>
        <v>45953</v>
      </c>
      <c r="X232" s="82" t="s">
        <v>1337</v>
      </c>
      <c r="Y232" s="82" t="s">
        <v>623</v>
      </c>
      <c r="Z232" s="120"/>
    </row>
    <row r="233" spans="1:27">
      <c r="A233" s="83">
        <v>45953</v>
      </c>
      <c r="B233" s="83" t="str">
        <f>IF(ISBLANK(Tableau330[[#This Row],[DATE ]]),"",UPPER(PROPER(TEXT(Tableau330[[#This Row],[DATE ]],"mmmm yyyy"))))</f>
        <v>OCTOBRE 2025</v>
      </c>
      <c r="C233" s="83" t="s">
        <v>824</v>
      </c>
      <c r="D233" s="120" t="s">
        <v>1246</v>
      </c>
      <c r="E233" s="82" t="s">
        <v>1247</v>
      </c>
      <c r="F233" s="120" t="s">
        <v>1248</v>
      </c>
      <c r="G233" s="82" t="s">
        <v>951</v>
      </c>
      <c r="H233" s="82" t="s">
        <v>1249</v>
      </c>
      <c r="I233" s="82" t="s">
        <v>12</v>
      </c>
      <c r="J233" s="121"/>
      <c r="K233" s="122">
        <v>185000</v>
      </c>
      <c r="L233" s="121"/>
      <c r="M233" s="122">
        <v>185000</v>
      </c>
      <c r="N233" s="122">
        <f>+IF(Tableau330[[#This Row],[CODE TVA]]="",0,ROUND(Tableau330[[#This Row],[MONTANT HT]]*0.18*Tableau330[[#This Row],[PRORATA D]],1))</f>
        <v>0</v>
      </c>
      <c r="O233" s="122">
        <f>+IFERROR(Tableau330[[#This Row],[MONTANT HT]]+Tableau330[[#This Row],[TVA]],0)</f>
        <v>185000</v>
      </c>
      <c r="P233" s="122"/>
      <c r="Q233" s="122"/>
      <c r="R233" s="122">
        <f>+Tableau330[[#This Row],[MONTANT TTC]]+Tableau330[[#This Row],[TIMBRE ]]+Tableau330[[#This Row],[AUTRES TAXES]]</f>
        <v>185000</v>
      </c>
      <c r="S233" s="122">
        <v>185000</v>
      </c>
      <c r="T233" s="122">
        <f>+ROUND(Tableau330[[#This Row],[NET A PAYER]],0)-Tableau330[[#This Row],[MONTANT PAYE]]</f>
        <v>0</v>
      </c>
      <c r="U233" s="122"/>
      <c r="V233" s="123">
        <f>+Tableau330[[#This Row],[DELAI_PAIEMENT]]+Tableau330[[#This Row],[DATE ]]</f>
        <v>45953</v>
      </c>
      <c r="X233" s="82" t="s">
        <v>1337</v>
      </c>
      <c r="Y233" s="82" t="s">
        <v>623</v>
      </c>
      <c r="Z233" s="120"/>
    </row>
    <row r="234" spans="1:27">
      <c r="A234" s="83">
        <v>45959</v>
      </c>
      <c r="B234" s="83" t="str">
        <f>IF(ISBLANK(Tableau330[[#This Row],[DATE ]]),"",UPPER(PROPER(TEXT(Tableau330[[#This Row],[DATE ]],"mmmm yyyy"))))</f>
        <v>OCTOBRE 2025</v>
      </c>
      <c r="C234" s="83" t="s">
        <v>824</v>
      </c>
      <c r="D234" s="120" t="s">
        <v>1230</v>
      </c>
      <c r="E234" s="82" t="s">
        <v>1231</v>
      </c>
      <c r="F234" s="120" t="s">
        <v>1232</v>
      </c>
      <c r="H234" s="82" t="s">
        <v>1233</v>
      </c>
      <c r="J234" s="121"/>
      <c r="K234" s="122">
        <v>25000</v>
      </c>
      <c r="L234" s="121"/>
      <c r="M234" s="122">
        <v>25000</v>
      </c>
      <c r="N234" s="122">
        <f>+IF(Tableau330[[#This Row],[CODE TVA]]="",0,ROUND(Tableau330[[#This Row],[MONTANT HT]]*0.18*Tableau330[[#This Row],[PRORATA D]],1))</f>
        <v>0</v>
      </c>
      <c r="O234" s="122">
        <f>+IFERROR(Tableau330[[#This Row],[MONTANT HT]]+Tableau330[[#This Row],[TVA]],0)</f>
        <v>25000</v>
      </c>
      <c r="P234" s="122"/>
      <c r="Q234" s="122"/>
      <c r="R234" s="122">
        <f>+Tableau330[[#This Row],[MONTANT TTC]]+Tableau330[[#This Row],[TIMBRE ]]+Tableau330[[#This Row],[AUTRES TAXES]]</f>
        <v>25000</v>
      </c>
      <c r="S234" s="122">
        <v>25000</v>
      </c>
      <c r="T234" s="122">
        <f>+ROUND(Tableau330[[#This Row],[NET A PAYER]],0)-Tableau330[[#This Row],[MONTANT PAYE]]</f>
        <v>0</v>
      </c>
      <c r="U234" s="122"/>
      <c r="V234" s="123">
        <f>+Tableau330[[#This Row],[DELAI_PAIEMENT]]+Tableau330[[#This Row],[DATE ]]</f>
        <v>45959</v>
      </c>
      <c r="X234" s="82" t="s">
        <v>1337</v>
      </c>
      <c r="Y234" s="82" t="s">
        <v>623</v>
      </c>
      <c r="Z234" s="120"/>
    </row>
    <row r="235" spans="1:27">
      <c r="A235" s="83">
        <v>45959</v>
      </c>
      <c r="B235" s="83" t="str">
        <f>IF(ISBLANK(Tableau330[[#This Row],[DATE ]]),"",UPPER(PROPER(TEXT(Tableau330[[#This Row],[DATE ]],"mmmm yyyy"))))</f>
        <v>OCTOBRE 2025</v>
      </c>
      <c r="C235" s="83" t="s">
        <v>824</v>
      </c>
      <c r="D235" s="120" t="s">
        <v>1234</v>
      </c>
      <c r="E235" s="82" t="s">
        <v>1235</v>
      </c>
      <c r="F235" s="120" t="s">
        <v>1236</v>
      </c>
      <c r="G235" s="82" t="s">
        <v>951</v>
      </c>
      <c r="H235" s="82" t="s">
        <v>1237</v>
      </c>
      <c r="J235" s="121"/>
      <c r="K235" s="122">
        <v>10000</v>
      </c>
      <c r="L235" s="121"/>
      <c r="M235" s="122">
        <v>10000</v>
      </c>
      <c r="N235" s="122">
        <f>+IF(Tableau330[[#This Row],[CODE TVA]]="",0,ROUND(Tableau330[[#This Row],[MONTANT HT]]*0.18*Tableau330[[#This Row],[PRORATA D]],1))</f>
        <v>0</v>
      </c>
      <c r="O235" s="122">
        <f>+IFERROR(Tableau330[[#This Row],[MONTANT HT]]+Tableau330[[#This Row],[TVA]],0)</f>
        <v>10000</v>
      </c>
      <c r="P235" s="122"/>
      <c r="Q235" s="122"/>
      <c r="R235" s="122">
        <f>+Tableau330[[#This Row],[MONTANT TTC]]+Tableau330[[#This Row],[TIMBRE ]]+Tableau330[[#This Row],[AUTRES TAXES]]</f>
        <v>10000</v>
      </c>
      <c r="S235" s="122">
        <v>10000</v>
      </c>
      <c r="T235" s="122">
        <f>+ROUND(Tableau330[[#This Row],[NET A PAYER]],0)-Tableau330[[#This Row],[MONTANT PAYE]]</f>
        <v>0</v>
      </c>
      <c r="U235" s="122"/>
      <c r="V235" s="123">
        <f>+Tableau330[[#This Row],[DELAI_PAIEMENT]]+Tableau330[[#This Row],[DATE ]]</f>
        <v>45959</v>
      </c>
      <c r="X235" s="82" t="s">
        <v>1337</v>
      </c>
      <c r="Y235" s="82" t="s">
        <v>623</v>
      </c>
      <c r="Z235" s="120"/>
    </row>
    <row r="236" spans="1:27">
      <c r="A236" s="83">
        <v>45960</v>
      </c>
      <c r="B236" s="83" t="str">
        <f>IF(ISBLANK(Tableau330[[#This Row],[DATE ]]),"",UPPER(PROPER(TEXT(Tableau330[[#This Row],[DATE ]],"mmmm yyyy"))))</f>
        <v>OCTOBRE 2025</v>
      </c>
      <c r="C236" s="83" t="s">
        <v>824</v>
      </c>
      <c r="D236" s="120" t="s">
        <v>1241</v>
      </c>
      <c r="E236" s="82" t="s">
        <v>1242</v>
      </c>
      <c r="F236" s="120" t="s">
        <v>1244</v>
      </c>
      <c r="G236" s="82" t="s">
        <v>951</v>
      </c>
      <c r="H236" s="82" t="s">
        <v>1245</v>
      </c>
      <c r="J236" s="121"/>
      <c r="K236" s="122">
        <v>190000</v>
      </c>
      <c r="L236" s="121"/>
      <c r="M236" s="122">
        <v>190000</v>
      </c>
      <c r="N236" s="122">
        <f>+IF(Tableau330[[#This Row],[CODE TVA]]="",0,ROUND(Tableau330[[#This Row],[MONTANT HT]]*0.18*Tableau330[[#This Row],[PRORATA D]],1))</f>
        <v>0</v>
      </c>
      <c r="O236" s="122">
        <f>+IFERROR(Tableau330[[#This Row],[MONTANT HT]]+Tableau330[[#This Row],[TVA]],0)</f>
        <v>190000</v>
      </c>
      <c r="P236" s="122"/>
      <c r="Q236" s="122"/>
      <c r="R236" s="122">
        <f>+Tableau330[[#This Row],[MONTANT TTC]]+Tableau330[[#This Row],[TIMBRE ]]+Tableau330[[#This Row],[AUTRES TAXES]]</f>
        <v>190000</v>
      </c>
      <c r="S236" s="122">
        <v>190000</v>
      </c>
      <c r="T236" s="122">
        <f>+ROUND(Tableau330[[#This Row],[NET A PAYER]],0)-Tableau330[[#This Row],[MONTANT PAYE]]</f>
        <v>0</v>
      </c>
      <c r="U236" s="122"/>
      <c r="V236" s="123">
        <f>+Tableau330[[#This Row],[DELAI_PAIEMENT]]+Tableau330[[#This Row],[DATE ]]</f>
        <v>45960</v>
      </c>
      <c r="X236" s="82" t="s">
        <v>1337</v>
      </c>
      <c r="Y236" s="82" t="s">
        <v>623</v>
      </c>
      <c r="Z236" s="120"/>
    </row>
    <row r="237" spans="1:27">
      <c r="A237" s="83">
        <v>45960</v>
      </c>
      <c r="B237" s="83" t="str">
        <f>IF(ISBLANK(Tableau330[[#This Row],[DATE ]]),"",UPPER(PROPER(TEXT(Tableau330[[#This Row],[DATE ]],"mmmm yyyy"))))</f>
        <v>OCTOBRE 2025</v>
      </c>
      <c r="C237" s="83" t="s">
        <v>824</v>
      </c>
      <c r="D237" s="120" t="s">
        <v>1250</v>
      </c>
      <c r="E237" s="82" t="s">
        <v>832</v>
      </c>
      <c r="F237" s="120" t="s">
        <v>833</v>
      </c>
      <c r="G237" s="82" t="s">
        <v>828</v>
      </c>
      <c r="H237" s="82" t="s">
        <v>1251</v>
      </c>
      <c r="I237" s="82" t="s">
        <v>12</v>
      </c>
      <c r="J237" s="125">
        <v>0.34550620805554633</v>
      </c>
      <c r="K237" s="122">
        <f>18396+245</f>
        <v>18641</v>
      </c>
      <c r="L237" s="125"/>
      <c r="M237" s="122">
        <f>18396+245</f>
        <v>18641</v>
      </c>
      <c r="N237" s="122">
        <f>+IF(Tableau330[[#This Row],[CODE TVA]]="",0,ROUND(Tableau330[[#This Row],[MONTANT HT]]*0.18*Tableau330[[#This Row],[PRORATA D]],1))</f>
        <v>1159.3</v>
      </c>
      <c r="O237" s="122">
        <f>+IFERROR(Tableau330[[#This Row],[MONTANT HT]]+Tableau330[[#This Row],[TVA]],0)</f>
        <v>19800.3</v>
      </c>
      <c r="P237" s="122"/>
      <c r="Q237" s="122"/>
      <c r="R237" s="122">
        <f>+Tableau330[[#This Row],[MONTANT TTC]]+Tableau330[[#This Row],[TIMBRE ]]+Tableau330[[#This Row],[AUTRES TAXES]]</f>
        <v>19800.3</v>
      </c>
      <c r="S237" s="122">
        <v>19800</v>
      </c>
      <c r="T237" s="122">
        <f>+ROUND(Tableau330[[#This Row],[NET A PAYER]],0)-Tableau330[[#This Row],[MONTANT PAYE]]</f>
        <v>0</v>
      </c>
      <c r="U237" s="122"/>
      <c r="V237" s="123">
        <f>+Tableau330[[#This Row],[DELAI_PAIEMENT]]+Tableau330[[#This Row],[DATE ]]</f>
        <v>45960</v>
      </c>
      <c r="X237" s="82" t="s">
        <v>1337</v>
      </c>
      <c r="Y237" s="82" t="s">
        <v>623</v>
      </c>
      <c r="Z237" s="120"/>
    </row>
    <row r="238" spans="1:27">
      <c r="A238" s="83">
        <v>45960</v>
      </c>
      <c r="B238" s="83" t="str">
        <f>IF(ISBLANK(Tableau330[[#This Row],[DATE ]]),"",UPPER(PROPER(TEXT(Tableau330[[#This Row],[DATE ]],"mmmm yyyy"))))</f>
        <v>OCTOBRE 2025</v>
      </c>
      <c r="C238" s="83" t="s">
        <v>824</v>
      </c>
      <c r="D238" s="120" t="s">
        <v>1490</v>
      </c>
      <c r="E238" s="82" t="s">
        <v>1265</v>
      </c>
      <c r="F238" s="120" t="s">
        <v>1348</v>
      </c>
      <c r="G238" s="82" t="s">
        <v>822</v>
      </c>
      <c r="H238" s="82" t="s">
        <v>1491</v>
      </c>
      <c r="I238" s="82" t="s">
        <v>12</v>
      </c>
      <c r="J238" s="121">
        <v>1</v>
      </c>
      <c r="K238" s="121">
        <v>118644</v>
      </c>
      <c r="L238" s="121"/>
      <c r="M238" s="122">
        <v>118644</v>
      </c>
      <c r="N238" s="122">
        <f>+IF(Tableau330[[#This Row],[CODE TVA]]="",0,ROUND(Tableau330[[#This Row],[MONTANT HT]]*0.18*Tableau330[[#This Row],[PRORATA D]],1))</f>
        <v>21355.9</v>
      </c>
      <c r="O238" s="122">
        <f>+IFERROR(Tableau330[[#This Row],[MONTANT HT]]+Tableau330[[#This Row],[TVA]],0)</f>
        <v>139999.9</v>
      </c>
      <c r="P238" s="122"/>
      <c r="Q238" s="122"/>
      <c r="R238" s="122">
        <f>+Tableau330[[#This Row],[MONTANT TTC]]+Tableau330[[#This Row],[TIMBRE ]]+Tableau330[[#This Row],[AUTRES TAXES]]</f>
        <v>139999.9</v>
      </c>
      <c r="S238" s="122">
        <v>140000</v>
      </c>
      <c r="T238" s="122">
        <f>+ROUND(Tableau330[[#This Row],[NET A PAYER]],0)-Tableau330[[#This Row],[MONTANT PAYE]]</f>
        <v>0</v>
      </c>
      <c r="U238" s="122"/>
      <c r="V238" s="123">
        <f>+Tableau330[[#This Row],[DELAI_PAIEMENT]]+Tableau330[[#This Row],[DATE ]]</f>
        <v>45960</v>
      </c>
      <c r="X238" s="82" t="s">
        <v>1337</v>
      </c>
      <c r="Y238" s="82" t="s">
        <v>623</v>
      </c>
      <c r="Z238" s="120" t="s">
        <v>1451</v>
      </c>
    </row>
    <row r="239" spans="1:27">
      <c r="A239" s="83">
        <v>45961</v>
      </c>
      <c r="B239" s="83" t="str">
        <f>IF(ISBLANK(Tableau330[[#This Row],[DATE ]]),"",UPPER(PROPER(TEXT(Tableau330[[#This Row],[DATE ]],"mmmm yyyy"))))</f>
        <v>OCTOBRE 2025</v>
      </c>
      <c r="C239" s="83" t="s">
        <v>824</v>
      </c>
      <c r="D239" s="120" t="s">
        <v>1506</v>
      </c>
      <c r="E239" s="82" t="s">
        <v>937</v>
      </c>
      <c r="F239" s="120" t="s">
        <v>938</v>
      </c>
      <c r="G239" s="82" t="s">
        <v>822</v>
      </c>
      <c r="H239" s="82" t="s">
        <v>1507</v>
      </c>
      <c r="J239" s="121"/>
      <c r="K239" s="121">
        <v>104000</v>
      </c>
      <c r="L239" s="121"/>
      <c r="M239" s="122">
        <v>104000</v>
      </c>
      <c r="N239" s="122">
        <f>+IF(Tableau330[[#This Row],[CODE TVA]]="",0,ROUND(Tableau330[[#This Row],[MONTANT HT]]*0.18*Tableau330[[#This Row],[PRORATA D]],1))</f>
        <v>0</v>
      </c>
      <c r="O239" s="122">
        <f>+IFERROR(Tableau330[[#This Row],[MONTANT HT]]+Tableau330[[#This Row],[TVA]],0)</f>
        <v>104000</v>
      </c>
      <c r="P239" s="122"/>
      <c r="Q239" s="122"/>
      <c r="R239" s="122">
        <f>+Tableau330[[#This Row],[MONTANT TTC]]+Tableau330[[#This Row],[TIMBRE ]]+Tableau330[[#This Row],[AUTRES TAXES]]</f>
        <v>104000</v>
      </c>
      <c r="S239" s="122">
        <v>104000</v>
      </c>
      <c r="T239" s="122">
        <f>+ROUND(Tableau330[[#This Row],[NET A PAYER]],0)-Tableau330[[#This Row],[MONTANT PAYE]]</f>
        <v>0</v>
      </c>
      <c r="U239" s="122"/>
      <c r="V239" s="123">
        <f>+Tableau330[[#This Row],[DELAI_PAIEMENT]]+Tableau330[[#This Row],[DATE ]]</f>
        <v>45961</v>
      </c>
      <c r="X239" s="82" t="s">
        <v>1337</v>
      </c>
      <c r="Y239" s="82" t="s">
        <v>623</v>
      </c>
      <c r="Z239" s="120" t="s">
        <v>1451</v>
      </c>
    </row>
    <row r="240" spans="1:27">
      <c r="A240" s="83">
        <v>45961</v>
      </c>
      <c r="B240" s="83" t="str">
        <f>IF(ISBLANK(Tableau330[[#This Row],[DATE ]]),"",UPPER(PROPER(TEXT(Tableau330[[#This Row],[DATE ]],"mmmm yyyy"))))</f>
        <v>OCTOBRE 2025</v>
      </c>
      <c r="C240" s="83" t="s">
        <v>1332</v>
      </c>
      <c r="D240" s="120" t="s">
        <v>1636</v>
      </c>
      <c r="E240" s="82" t="s">
        <v>1176</v>
      </c>
      <c r="F240" s="120" t="s">
        <v>1177</v>
      </c>
      <c r="H240" s="82" t="s">
        <v>1637</v>
      </c>
      <c r="I240" s="82" t="s">
        <v>12</v>
      </c>
      <c r="J240" s="121">
        <v>1</v>
      </c>
      <c r="K240" s="121"/>
      <c r="L240" s="121">
        <v>181812</v>
      </c>
      <c r="M240" s="121">
        <v>181812</v>
      </c>
      <c r="N240" s="122">
        <f>+IF(Tableau330[[#This Row],[CODE TVA]]="",0,ROUND(Tableau330[[#This Row],[MONTANT HT]]*0.18*Tableau330[[#This Row],[PRORATA D]],1))</f>
        <v>32726.2</v>
      </c>
      <c r="O240" s="122">
        <f>+IFERROR(Tableau330[[#This Row],[MONTANT HT]]+Tableau330[[#This Row],[TVA]],0)</f>
        <v>214538.2</v>
      </c>
      <c r="P240" s="122"/>
      <c r="Q240" s="122">
        <v>5454</v>
      </c>
      <c r="R240" s="122">
        <f>+Tableau330[[#This Row],[MONTANT TTC]]+Tableau330[[#This Row],[TIMBRE ]]+Tableau330[[#This Row],[AUTRES TAXES]]</f>
        <v>219992.2</v>
      </c>
      <c r="S240" s="122">
        <v>219992</v>
      </c>
      <c r="T240" s="122">
        <f>+ROUND(Tableau330[[#This Row],[NET A PAYER]],0)-Tableau330[[#This Row],[MONTANT PAYE]]</f>
        <v>0</v>
      </c>
      <c r="U240" s="122">
        <v>24</v>
      </c>
      <c r="V240" s="123">
        <f>+Tableau330[[#This Row],[DELAI_PAIEMENT]]+Tableau330[[#This Row],[DATE ]]</f>
        <v>45985</v>
      </c>
      <c r="Y240" s="82" t="s">
        <v>623</v>
      </c>
      <c r="Z240" s="120" t="s">
        <v>1451</v>
      </c>
    </row>
    <row r="241" spans="1:27">
      <c r="A241" s="83">
        <v>45962</v>
      </c>
      <c r="B241" s="83" t="str">
        <f>IF(ISBLANK(Tableau330[[#This Row],[DATE ]]),"",UPPER(PROPER(TEXT(Tableau330[[#This Row],[DATE ]],"mmmm yyyy"))))</f>
        <v>NOVEMBRE 2025</v>
      </c>
      <c r="C241" s="83" t="s">
        <v>824</v>
      </c>
      <c r="D241" s="120" t="s">
        <v>1467</v>
      </c>
      <c r="E241" s="82" t="s">
        <v>1265</v>
      </c>
      <c r="F241" s="120" t="s">
        <v>1266</v>
      </c>
      <c r="G241" s="82" t="s">
        <v>822</v>
      </c>
      <c r="H241" s="82" t="s">
        <v>1468</v>
      </c>
      <c r="I241" s="82" t="s">
        <v>12</v>
      </c>
      <c r="J241" s="121">
        <v>1</v>
      </c>
      <c r="K241" s="121">
        <v>50847.5</v>
      </c>
      <c r="L241" s="121"/>
      <c r="M241" s="122">
        <v>50847.5</v>
      </c>
      <c r="N241" s="122">
        <f>+IF(Tableau330[[#This Row],[CODE TVA]]="",0,ROUND(Tableau330[[#This Row],[MONTANT HT]]*0.18*Tableau330[[#This Row],[PRORATA D]],1))</f>
        <v>9152.6</v>
      </c>
      <c r="O241" s="122">
        <f>+IFERROR(Tableau330[[#This Row],[MONTANT HT]]+Tableau330[[#This Row],[TVA]],0)</f>
        <v>60000.1</v>
      </c>
      <c r="P241" s="122"/>
      <c r="Q241" s="122"/>
      <c r="R241" s="122">
        <f>+Tableau330[[#This Row],[MONTANT TTC]]+Tableau330[[#This Row],[TIMBRE ]]+Tableau330[[#This Row],[AUTRES TAXES]]</f>
        <v>60000.1</v>
      </c>
      <c r="S241" s="122">
        <v>60000</v>
      </c>
      <c r="T241" s="122">
        <f>+ROUND(Tableau330[[#This Row],[NET A PAYER]],0)-Tableau330[[#This Row],[MONTANT PAYE]]</f>
        <v>0</v>
      </c>
      <c r="U241" s="122"/>
      <c r="V241" s="123">
        <f>+Tableau330[[#This Row],[DELAI_PAIEMENT]]+Tableau330[[#This Row],[DATE ]]</f>
        <v>45962</v>
      </c>
      <c r="X241" s="82" t="s">
        <v>1337</v>
      </c>
      <c r="Y241" s="82" t="s">
        <v>623</v>
      </c>
      <c r="Z241" s="120" t="s">
        <v>1451</v>
      </c>
    </row>
    <row r="242" spans="1:27">
      <c r="A242" s="83">
        <v>45964</v>
      </c>
      <c r="B242" s="83" t="str">
        <f>IF(ISBLANK(Tableau330[[#This Row],[DATE ]]),"",UPPER(PROPER(TEXT(Tableau330[[#This Row],[DATE ]],"mmmm yyyy"))))</f>
        <v>NOVEMBRE 2025</v>
      </c>
      <c r="C242" s="83" t="s">
        <v>836</v>
      </c>
      <c r="D242" s="120" t="s">
        <v>1496</v>
      </c>
      <c r="E242" s="82" t="s">
        <v>1470</v>
      </c>
      <c r="F242" s="120" t="s">
        <v>1471</v>
      </c>
      <c r="G242" s="82" t="s">
        <v>828</v>
      </c>
      <c r="H242" s="82" t="s">
        <v>1497</v>
      </c>
      <c r="J242" s="121"/>
      <c r="K242" s="121">
        <v>212000</v>
      </c>
      <c r="L242" s="121"/>
      <c r="M242" s="122">
        <v>212000</v>
      </c>
      <c r="N242" s="122">
        <f>+IF(Tableau330[[#This Row],[CODE TVA]]="",0,ROUND(Tableau330[[#This Row],[MONTANT HT]]*0.18*Tableau330[[#This Row],[PRORATA D]],1))</f>
        <v>0</v>
      </c>
      <c r="O242" s="122">
        <f>+IFERROR(Tableau330[[#This Row],[MONTANT HT]]+Tableau330[[#This Row],[TVA]],0)</f>
        <v>212000</v>
      </c>
      <c r="P242" s="122"/>
      <c r="Q242" s="122"/>
      <c r="R242" s="122">
        <f>+Tableau330[[#This Row],[MONTANT TTC]]+Tableau330[[#This Row],[TIMBRE ]]+Tableau330[[#This Row],[AUTRES TAXES]]</f>
        <v>212000</v>
      </c>
      <c r="S242" s="122">
        <v>212000</v>
      </c>
      <c r="T242" s="122">
        <f>+ROUND(Tableau330[[#This Row],[NET A PAYER]],0)-Tableau330[[#This Row],[MONTANT PAYE]]</f>
        <v>0</v>
      </c>
      <c r="U242" s="122"/>
      <c r="V242" s="123">
        <f>+Tableau330[[#This Row],[DELAI_PAIEMENT]]+Tableau330[[#This Row],[DATE ]]</f>
        <v>45964</v>
      </c>
      <c r="X242" s="82" t="s">
        <v>1337</v>
      </c>
      <c r="Y242" s="82" t="s">
        <v>623</v>
      </c>
      <c r="Z242" s="120" t="s">
        <v>1451</v>
      </c>
      <c r="AA242" s="82" t="s">
        <v>1157</v>
      </c>
    </row>
    <row r="243" spans="1:27">
      <c r="A243" s="83">
        <v>45964</v>
      </c>
      <c r="B243" s="83" t="str">
        <f>IF(ISBLANK(Tableau330[[#This Row],[DATE ]]),"",UPPER(PROPER(TEXT(Tableau330[[#This Row],[DATE ]],"mmmm yyyy"))))</f>
        <v>NOVEMBRE 2025</v>
      </c>
      <c r="C243" s="83" t="s">
        <v>824</v>
      </c>
      <c r="D243" s="120" t="s">
        <v>1498</v>
      </c>
      <c r="E243" s="82" t="s">
        <v>1265</v>
      </c>
      <c r="F243" s="120" t="s">
        <v>1266</v>
      </c>
      <c r="G243" s="82" t="s">
        <v>822</v>
      </c>
      <c r="H243" s="82" t="s">
        <v>1499</v>
      </c>
      <c r="I243" s="82" t="s">
        <v>12</v>
      </c>
      <c r="J243" s="121">
        <v>1</v>
      </c>
      <c r="K243" s="121">
        <v>16949</v>
      </c>
      <c r="L243" s="121"/>
      <c r="M243" s="122">
        <v>16949</v>
      </c>
      <c r="N243" s="122">
        <f>+IF(Tableau330[[#This Row],[CODE TVA]]="",0,ROUND(Tableau330[[#This Row],[MONTANT HT]]*0.18*Tableau330[[#This Row],[PRORATA D]],1))</f>
        <v>3050.8</v>
      </c>
      <c r="O243" s="122">
        <f>+IFERROR(Tableau330[[#This Row],[MONTANT HT]]+Tableau330[[#This Row],[TVA]],0)</f>
        <v>19999.8</v>
      </c>
      <c r="P243" s="122"/>
      <c r="Q243" s="122"/>
      <c r="R243" s="122">
        <f>+Tableau330[[#This Row],[MONTANT TTC]]+Tableau330[[#This Row],[TIMBRE ]]+Tableau330[[#This Row],[AUTRES TAXES]]</f>
        <v>19999.8</v>
      </c>
      <c r="S243" s="122">
        <v>20000</v>
      </c>
      <c r="T243" s="122">
        <f>+ROUND(Tableau330[[#This Row],[NET A PAYER]],0)-Tableau330[[#This Row],[MONTANT PAYE]]</f>
        <v>0</v>
      </c>
      <c r="U243" s="122"/>
      <c r="V243" s="123">
        <f>+Tableau330[[#This Row],[DELAI_PAIEMENT]]+Tableau330[[#This Row],[DATE ]]</f>
        <v>45964</v>
      </c>
      <c r="X243" s="82" t="s">
        <v>1337</v>
      </c>
      <c r="Y243" s="82" t="s">
        <v>623</v>
      </c>
      <c r="Z243" s="120" t="s">
        <v>1451</v>
      </c>
    </row>
    <row r="244" spans="1:27">
      <c r="A244" s="83">
        <v>45964</v>
      </c>
      <c r="B244" s="83" t="str">
        <f>IF(ISBLANK(Tableau330[[#This Row],[DATE ]]),"",UPPER(PROPER(TEXT(Tableau330[[#This Row],[DATE ]],"mmmm yyyy"))))</f>
        <v>NOVEMBRE 2025</v>
      </c>
      <c r="C244" s="83" t="s">
        <v>824</v>
      </c>
      <c r="D244" s="120" t="s">
        <v>1500</v>
      </c>
      <c r="E244" s="82" t="s">
        <v>1231</v>
      </c>
      <c r="F244" s="120" t="s">
        <v>1232</v>
      </c>
      <c r="G244" s="82" t="s">
        <v>951</v>
      </c>
      <c r="H244" s="82" t="s">
        <v>1501</v>
      </c>
      <c r="J244" s="121"/>
      <c r="K244" s="121">
        <v>25000</v>
      </c>
      <c r="L244" s="121"/>
      <c r="M244" s="122">
        <v>25000</v>
      </c>
      <c r="N244" s="122">
        <f>+IF(Tableau330[[#This Row],[CODE TVA]]="",0,ROUND(Tableau330[[#This Row],[MONTANT HT]]*0.18*Tableau330[[#This Row],[PRORATA D]],1))</f>
        <v>0</v>
      </c>
      <c r="O244" s="122">
        <f>+IFERROR(Tableau330[[#This Row],[MONTANT HT]]+Tableau330[[#This Row],[TVA]],0)</f>
        <v>25000</v>
      </c>
      <c r="P244" s="122"/>
      <c r="Q244" s="122"/>
      <c r="R244" s="122">
        <f>+Tableau330[[#This Row],[MONTANT TTC]]+Tableau330[[#This Row],[TIMBRE ]]+Tableau330[[#This Row],[AUTRES TAXES]]</f>
        <v>25000</v>
      </c>
      <c r="S244" s="122">
        <v>25000</v>
      </c>
      <c r="T244" s="122">
        <f>+ROUND(Tableau330[[#This Row],[NET A PAYER]],0)-Tableau330[[#This Row],[MONTANT PAYE]]</f>
        <v>0</v>
      </c>
      <c r="U244" s="122"/>
      <c r="V244" s="123">
        <f>+Tableau330[[#This Row],[DELAI_PAIEMENT]]+Tableau330[[#This Row],[DATE ]]</f>
        <v>45964</v>
      </c>
      <c r="X244" s="82" t="s">
        <v>1337</v>
      </c>
      <c r="Y244" s="82" t="s">
        <v>623</v>
      </c>
      <c r="Z244" s="120" t="s">
        <v>1451</v>
      </c>
    </row>
    <row r="245" spans="1:27">
      <c r="A245" s="83">
        <v>45964</v>
      </c>
      <c r="B245" s="83" t="str">
        <f>IF(ISBLANK(Tableau330[[#This Row],[DATE ]]),"",UPPER(PROPER(TEXT(Tableau330[[#This Row],[DATE ]],"mmmm yyyy"))))</f>
        <v>NOVEMBRE 2025</v>
      </c>
      <c r="C245" s="83" t="s">
        <v>824</v>
      </c>
      <c r="D245" s="120" t="s">
        <v>1502</v>
      </c>
      <c r="E245" s="82" t="s">
        <v>1265</v>
      </c>
      <c r="F245" s="120" t="s">
        <v>1348</v>
      </c>
      <c r="G245" s="82" t="s">
        <v>822</v>
      </c>
      <c r="H245" s="82" t="s">
        <v>1503</v>
      </c>
      <c r="I245" s="82" t="s">
        <v>12</v>
      </c>
      <c r="J245" s="121">
        <v>1</v>
      </c>
      <c r="K245" s="121">
        <v>101695</v>
      </c>
      <c r="L245" s="121"/>
      <c r="M245" s="122">
        <v>101695</v>
      </c>
      <c r="N245" s="122">
        <f>+IF(Tableau330[[#This Row],[CODE TVA]]="",0,ROUND(Tableau330[[#This Row],[MONTANT HT]]*0.18*Tableau330[[#This Row],[PRORATA D]],1))</f>
        <v>18305.099999999999</v>
      </c>
      <c r="O245" s="122">
        <f>+IFERROR(Tableau330[[#This Row],[MONTANT HT]]+Tableau330[[#This Row],[TVA]],0)</f>
        <v>120000.1</v>
      </c>
      <c r="P245" s="122"/>
      <c r="Q245" s="122"/>
      <c r="R245" s="122">
        <f>+Tableau330[[#This Row],[MONTANT TTC]]+Tableau330[[#This Row],[TIMBRE ]]+Tableau330[[#This Row],[AUTRES TAXES]]</f>
        <v>120000.1</v>
      </c>
      <c r="S245" s="122">
        <v>120000</v>
      </c>
      <c r="T245" s="122">
        <f>+ROUND(Tableau330[[#This Row],[NET A PAYER]],0)-Tableau330[[#This Row],[MONTANT PAYE]]</f>
        <v>0</v>
      </c>
      <c r="U245" s="122"/>
      <c r="V245" s="123">
        <f>+Tableau330[[#This Row],[DELAI_PAIEMENT]]+Tableau330[[#This Row],[DATE ]]</f>
        <v>45964</v>
      </c>
      <c r="X245" s="82" t="s">
        <v>1337</v>
      </c>
      <c r="Y245" s="82" t="s">
        <v>623</v>
      </c>
      <c r="Z245" s="120" t="s">
        <v>1451</v>
      </c>
    </row>
    <row r="246" spans="1:27">
      <c r="A246" s="83">
        <v>45964</v>
      </c>
      <c r="B246" s="83" t="str">
        <f>IF(ISBLANK(Tableau330[[#This Row],[DATE ]]),"",UPPER(PROPER(TEXT(Tableau330[[#This Row],[DATE ]],"mmmm yyyy"))))</f>
        <v>NOVEMBRE 2025</v>
      </c>
      <c r="C246" s="83" t="s">
        <v>824</v>
      </c>
      <c r="D246" s="120" t="s">
        <v>1504</v>
      </c>
      <c r="E246" s="82" t="s">
        <v>1265</v>
      </c>
      <c r="F246" s="120" t="s">
        <v>1348</v>
      </c>
      <c r="G246" s="82" t="s">
        <v>822</v>
      </c>
      <c r="H246" s="82" t="s">
        <v>1505</v>
      </c>
      <c r="I246" s="82" t="s">
        <v>12</v>
      </c>
      <c r="J246" s="121">
        <v>1</v>
      </c>
      <c r="K246" s="121">
        <v>203390</v>
      </c>
      <c r="L246" s="121"/>
      <c r="M246" s="122">
        <v>203390</v>
      </c>
      <c r="N246" s="122">
        <f>+IF(Tableau330[[#This Row],[CODE TVA]]="",0,ROUND(Tableau330[[#This Row],[MONTANT HT]]*0.18*Tableau330[[#This Row],[PRORATA D]],1))</f>
        <v>36610.199999999997</v>
      </c>
      <c r="O246" s="122">
        <f>+IFERROR(Tableau330[[#This Row],[MONTANT HT]]+Tableau330[[#This Row],[TVA]],0)</f>
        <v>240000.2</v>
      </c>
      <c r="P246" s="122"/>
      <c r="Q246" s="122"/>
      <c r="R246" s="122">
        <f>+Tableau330[[#This Row],[MONTANT TTC]]+Tableau330[[#This Row],[TIMBRE ]]+Tableau330[[#This Row],[AUTRES TAXES]]</f>
        <v>240000.2</v>
      </c>
      <c r="S246" s="122">
        <v>240000</v>
      </c>
      <c r="T246" s="122">
        <f>+ROUND(Tableau330[[#This Row],[NET A PAYER]],0)-Tableau330[[#This Row],[MONTANT PAYE]]</f>
        <v>0</v>
      </c>
      <c r="U246" s="122"/>
      <c r="V246" s="123">
        <f>+Tableau330[[#This Row],[DELAI_PAIEMENT]]+Tableau330[[#This Row],[DATE ]]</f>
        <v>45964</v>
      </c>
      <c r="X246" s="82" t="s">
        <v>1337</v>
      </c>
      <c r="Y246" s="82" t="s">
        <v>623</v>
      </c>
      <c r="Z246" s="120" t="s">
        <v>1451</v>
      </c>
    </row>
    <row r="247" spans="1:27">
      <c r="A247" s="83">
        <v>45964</v>
      </c>
      <c r="B247" s="83" t="str">
        <f>IF(ISBLANK(Tableau330[[#This Row],[DATE ]]),"",UPPER(PROPER(TEXT(Tableau330[[#This Row],[DATE ]],"mmmm yyyy"))))</f>
        <v>NOVEMBRE 2025</v>
      </c>
      <c r="C247" s="83" t="s">
        <v>836</v>
      </c>
      <c r="D247" s="120" t="s">
        <v>1508</v>
      </c>
      <c r="E247" s="82" t="s">
        <v>1510</v>
      </c>
      <c r="F247" s="120" t="s">
        <v>1509</v>
      </c>
      <c r="H247" s="82" t="s">
        <v>1511</v>
      </c>
      <c r="I247" s="82" t="s">
        <v>12</v>
      </c>
      <c r="J247" s="121"/>
      <c r="K247" s="121">
        <v>79000</v>
      </c>
      <c r="L247" s="121"/>
      <c r="M247" s="122">
        <v>79000</v>
      </c>
      <c r="N247" s="122">
        <f>+IF(Tableau330[[#This Row],[CODE TVA]]="",0,ROUND(Tableau330[[#This Row],[MONTANT HT]]*0.18*Tableau330[[#This Row],[PRORATA D]],1))</f>
        <v>0</v>
      </c>
      <c r="O247" s="122">
        <f>+IFERROR(Tableau330[[#This Row],[MONTANT HT]]+Tableau330[[#This Row],[TVA]],0)</f>
        <v>79000</v>
      </c>
      <c r="P247" s="122"/>
      <c r="Q247" s="122"/>
      <c r="R247" s="122">
        <f>+Tableau330[[#This Row],[MONTANT TTC]]+Tableau330[[#This Row],[TIMBRE ]]+Tableau330[[#This Row],[AUTRES TAXES]]</f>
        <v>79000</v>
      </c>
      <c r="S247" s="122">
        <v>79000</v>
      </c>
      <c r="T247" s="122">
        <f>+ROUND(Tableau330[[#This Row],[NET A PAYER]],0)-Tableau330[[#This Row],[MONTANT PAYE]]</f>
        <v>0</v>
      </c>
      <c r="U247" s="122"/>
      <c r="V247" s="123">
        <f>+Tableau330[[#This Row],[DELAI_PAIEMENT]]+Tableau330[[#This Row],[DATE ]]</f>
        <v>45964</v>
      </c>
      <c r="X247" s="82" t="s">
        <v>1337</v>
      </c>
      <c r="Y247" s="82" t="s">
        <v>623</v>
      </c>
      <c r="Z247" s="120" t="s">
        <v>1451</v>
      </c>
    </row>
    <row r="248" spans="1:27">
      <c r="A248" s="83">
        <v>45966</v>
      </c>
      <c r="B248" s="83" t="str">
        <f>IF(ISBLANK(Tableau330[[#This Row],[DATE ]]),"",UPPER(PROPER(TEXT(Tableau330[[#This Row],[DATE ]],"mmmm yyyy"))))</f>
        <v>NOVEMBRE 2025</v>
      </c>
      <c r="C248" s="83" t="s">
        <v>819</v>
      </c>
      <c r="D248" s="120" t="s">
        <v>1626</v>
      </c>
      <c r="E248" s="82" t="s">
        <v>1627</v>
      </c>
      <c r="F248" s="120" t="s">
        <v>1628</v>
      </c>
      <c r="H248" s="82" t="s">
        <v>1629</v>
      </c>
      <c r="J248" s="121"/>
      <c r="K248" s="121">
        <v>24500</v>
      </c>
      <c r="L248" s="121"/>
      <c r="M248" s="122">
        <v>24500</v>
      </c>
      <c r="N248" s="122">
        <f>+IF(Tableau330[[#This Row],[CODE TVA]]="",0,ROUND(Tableau330[[#This Row],[MONTANT HT]]*0.18*Tableau330[[#This Row],[PRORATA D]],1))</f>
        <v>0</v>
      </c>
      <c r="O248" s="122">
        <f>+IFERROR(Tableau330[[#This Row],[MONTANT HT]]+Tableau330[[#This Row],[TVA]],0)</f>
        <v>24500</v>
      </c>
      <c r="P248" s="122"/>
      <c r="Q248" s="122"/>
      <c r="R248" s="122">
        <f>+Tableau330[[#This Row],[MONTANT TTC]]+Tableau330[[#This Row],[TIMBRE ]]+Tableau330[[#This Row],[AUTRES TAXES]]</f>
        <v>24500</v>
      </c>
      <c r="S248" s="122">
        <v>24500</v>
      </c>
      <c r="T248" s="122">
        <f>+ROUND(Tableau330[[#This Row],[NET A PAYER]],0)-Tableau330[[#This Row],[MONTANT PAYE]]</f>
        <v>0</v>
      </c>
      <c r="U248" s="122"/>
      <c r="V248" s="123">
        <f>+Tableau330[[#This Row],[DELAI_PAIEMENT]]+Tableau330[[#This Row],[DATE ]]</f>
        <v>45966</v>
      </c>
      <c r="Y248" s="82" t="s">
        <v>623</v>
      </c>
      <c r="Z248" s="120" t="s">
        <v>1451</v>
      </c>
    </row>
    <row r="249" spans="1:27">
      <c r="A249" s="83">
        <v>45967</v>
      </c>
      <c r="B249" s="83" t="str">
        <f>IF(ISBLANK(Tableau330[[#This Row],[DATE ]]),"",UPPER(PROPER(TEXT(Tableau330[[#This Row],[DATE ]],"mmmm yyyy"))))</f>
        <v>NOVEMBRE 2025</v>
      </c>
      <c r="C249" s="83" t="s">
        <v>836</v>
      </c>
      <c r="D249" s="120" t="s">
        <v>1477</v>
      </c>
      <c r="E249" s="82" t="s">
        <v>1478</v>
      </c>
      <c r="F249" s="120"/>
      <c r="H249" s="82" t="s">
        <v>1479</v>
      </c>
      <c r="J249" s="121"/>
      <c r="K249" s="121">
        <v>196000</v>
      </c>
      <c r="L249" s="121"/>
      <c r="M249" s="122">
        <v>196000</v>
      </c>
      <c r="N249" s="122">
        <f>+IF(Tableau330[[#This Row],[CODE TVA]]="",0,ROUND(Tableau330[[#This Row],[MONTANT HT]]*0.18*Tableau330[[#This Row],[PRORATA D]],1))</f>
        <v>0</v>
      </c>
      <c r="O249" s="122">
        <f>+IFERROR(Tableau330[[#This Row],[MONTANT HT]]+Tableau330[[#This Row],[TVA]],0)</f>
        <v>196000</v>
      </c>
      <c r="P249" s="122"/>
      <c r="Q249" s="122"/>
      <c r="R249" s="122">
        <f>+Tableau330[[#This Row],[MONTANT TTC]]+Tableau330[[#This Row],[TIMBRE ]]+Tableau330[[#This Row],[AUTRES TAXES]]</f>
        <v>196000</v>
      </c>
      <c r="S249" s="122">
        <v>196000</v>
      </c>
      <c r="T249" s="122">
        <f>+ROUND(Tableau330[[#This Row],[NET A PAYER]],0)-Tableau330[[#This Row],[MONTANT PAYE]]</f>
        <v>0</v>
      </c>
      <c r="U249" s="122"/>
      <c r="V249" s="123">
        <f>+Tableau330[[#This Row],[DELAI_PAIEMENT]]+Tableau330[[#This Row],[DATE ]]</f>
        <v>45967</v>
      </c>
      <c r="X249" s="82" t="s">
        <v>1337</v>
      </c>
      <c r="Y249" s="82" t="s">
        <v>623</v>
      </c>
      <c r="Z249" s="120" t="s">
        <v>1451</v>
      </c>
    </row>
    <row r="250" spans="1:27">
      <c r="A250" s="83">
        <v>45967</v>
      </c>
      <c r="B250" s="83" t="str">
        <f>IF(ISBLANK(Tableau330[[#This Row],[DATE ]]),"",UPPER(PROPER(TEXT(Tableau330[[#This Row],[DATE ]],"mmmm yyyy"))))</f>
        <v>NOVEMBRE 2025</v>
      </c>
      <c r="C250" s="83" t="s">
        <v>824</v>
      </c>
      <c r="D250" s="120" t="s">
        <v>1486</v>
      </c>
      <c r="E250" s="82" t="s">
        <v>832</v>
      </c>
      <c r="F250" s="120" t="s">
        <v>833</v>
      </c>
      <c r="G250" s="82" t="s">
        <v>822</v>
      </c>
      <c r="H250" s="82" t="s">
        <v>1487</v>
      </c>
      <c r="I250" s="82" t="s">
        <v>12</v>
      </c>
      <c r="J250" s="121">
        <v>1</v>
      </c>
      <c r="K250" s="121">
        <v>12678</v>
      </c>
      <c r="L250" s="121"/>
      <c r="M250" s="122">
        <v>12678</v>
      </c>
      <c r="N250" s="122">
        <f>+IF(Tableau330[[#This Row],[CODE TVA]]="",0,ROUND(Tableau330[[#This Row],[MONTANT HT]]*0.18*Tableau330[[#This Row],[PRORATA D]],1))</f>
        <v>2282</v>
      </c>
      <c r="O250" s="122">
        <f>+IFERROR(Tableau330[[#This Row],[MONTANT HT]]+Tableau330[[#This Row],[TVA]],0)</f>
        <v>14960</v>
      </c>
      <c r="P250" s="122"/>
      <c r="Q250" s="122"/>
      <c r="R250" s="122">
        <f>+Tableau330[[#This Row],[MONTANT TTC]]+Tableau330[[#This Row],[TIMBRE ]]+Tableau330[[#This Row],[AUTRES TAXES]]</f>
        <v>14960</v>
      </c>
      <c r="S250" s="122">
        <v>14960</v>
      </c>
      <c r="T250" s="122">
        <f>+ROUND(Tableau330[[#This Row],[NET A PAYER]],0)-Tableau330[[#This Row],[MONTANT PAYE]]</f>
        <v>0</v>
      </c>
      <c r="U250" s="122"/>
      <c r="V250" s="123">
        <f>+Tableau330[[#This Row],[DELAI_PAIEMENT]]+Tableau330[[#This Row],[DATE ]]</f>
        <v>45967</v>
      </c>
      <c r="X250" s="82" t="s">
        <v>1337</v>
      </c>
      <c r="Y250" s="82" t="s">
        <v>623</v>
      </c>
      <c r="Z250" s="120" t="s">
        <v>1451</v>
      </c>
    </row>
    <row r="251" spans="1:27">
      <c r="A251" s="83">
        <v>45967</v>
      </c>
      <c r="B251" s="83" t="str">
        <f>IF(ISBLANK(Tableau330[[#This Row],[DATE ]]),"",UPPER(PROPER(TEXT(Tableau330[[#This Row],[DATE ]],"mmmm yyyy"))))</f>
        <v>NOVEMBRE 2025</v>
      </c>
      <c r="C251" s="83" t="s">
        <v>836</v>
      </c>
      <c r="D251" s="120" t="s">
        <v>1488</v>
      </c>
      <c r="E251" s="82" t="s">
        <v>1470</v>
      </c>
      <c r="F251" s="120" t="s">
        <v>1471</v>
      </c>
      <c r="G251" s="82" t="s">
        <v>828</v>
      </c>
      <c r="H251" s="82" t="s">
        <v>1489</v>
      </c>
      <c r="J251" s="121"/>
      <c r="K251" s="121">
        <v>130000</v>
      </c>
      <c r="L251" s="121"/>
      <c r="M251" s="122">
        <v>130000</v>
      </c>
      <c r="N251" s="122">
        <f>+IF(Tableau330[[#This Row],[CODE TVA]]="",0,ROUND(Tableau330[[#This Row],[MONTANT HT]]*0.18*Tableau330[[#This Row],[PRORATA D]],1))</f>
        <v>0</v>
      </c>
      <c r="O251" s="122">
        <f>+IFERROR(Tableau330[[#This Row],[MONTANT HT]]+Tableau330[[#This Row],[TVA]],0)</f>
        <v>130000</v>
      </c>
      <c r="P251" s="122"/>
      <c r="Q251" s="122"/>
      <c r="R251" s="122">
        <f>+Tableau330[[#This Row],[MONTANT TTC]]+Tableau330[[#This Row],[TIMBRE ]]+Tableau330[[#This Row],[AUTRES TAXES]]</f>
        <v>130000</v>
      </c>
      <c r="S251" s="122">
        <v>130000</v>
      </c>
      <c r="T251" s="122">
        <f>+ROUND(Tableau330[[#This Row],[NET A PAYER]],0)-Tableau330[[#This Row],[MONTANT PAYE]]</f>
        <v>0</v>
      </c>
      <c r="U251" s="122"/>
      <c r="V251" s="123">
        <f>+Tableau330[[#This Row],[DELAI_PAIEMENT]]+Tableau330[[#This Row],[DATE ]]</f>
        <v>45967</v>
      </c>
      <c r="X251" s="82" t="s">
        <v>1337</v>
      </c>
      <c r="Y251" s="82" t="s">
        <v>623</v>
      </c>
      <c r="Z251" s="120" t="s">
        <v>1451</v>
      </c>
      <c r="AA251" s="82" t="s">
        <v>1157</v>
      </c>
    </row>
    <row r="252" spans="1:27">
      <c r="A252" s="83">
        <v>45967</v>
      </c>
      <c r="B252" s="83" t="str">
        <f>IF(ISBLANK(Tableau330[[#This Row],[DATE ]]),"",UPPER(PROPER(TEXT(Tableau330[[#This Row],[DATE ]],"mmmm yyyy"))))</f>
        <v>NOVEMBRE 2025</v>
      </c>
      <c r="C252" s="83" t="s">
        <v>824</v>
      </c>
      <c r="D252" s="120" t="s">
        <v>1495</v>
      </c>
      <c r="E252" s="82" t="s">
        <v>863</v>
      </c>
      <c r="F252" s="120" t="s">
        <v>864</v>
      </c>
      <c r="G252" s="82" t="s">
        <v>822</v>
      </c>
      <c r="H252" s="82" t="s">
        <v>1416</v>
      </c>
      <c r="J252" s="121"/>
      <c r="K252" s="121">
        <v>73000</v>
      </c>
      <c r="L252" s="121"/>
      <c r="M252" s="122">
        <v>73000</v>
      </c>
      <c r="N252" s="122">
        <f>+IF(Tableau330[[#This Row],[CODE TVA]]="",0,ROUND(Tableau330[[#This Row],[MONTANT HT]]*0.18*Tableau330[[#This Row],[PRORATA D]],1))</f>
        <v>0</v>
      </c>
      <c r="O252" s="122">
        <f>+IFERROR(Tableau330[[#This Row],[MONTANT HT]]+Tableau330[[#This Row],[TVA]],0)</f>
        <v>73000</v>
      </c>
      <c r="P252" s="122"/>
      <c r="Q252" s="122"/>
      <c r="R252" s="122">
        <f>+Tableau330[[#This Row],[MONTANT TTC]]+Tableau330[[#This Row],[TIMBRE ]]+Tableau330[[#This Row],[AUTRES TAXES]]</f>
        <v>73000</v>
      </c>
      <c r="S252" s="122">
        <v>73000</v>
      </c>
      <c r="T252" s="122">
        <f>+ROUND(Tableau330[[#This Row],[NET A PAYER]],0)-Tableau330[[#This Row],[MONTANT PAYE]]</f>
        <v>0</v>
      </c>
      <c r="U252" s="122"/>
      <c r="V252" s="123">
        <f>+Tableau330[[#This Row],[DELAI_PAIEMENT]]+Tableau330[[#This Row],[DATE ]]</f>
        <v>45967</v>
      </c>
      <c r="X252" s="82" t="s">
        <v>1337</v>
      </c>
      <c r="Y252" s="82" t="s">
        <v>623</v>
      </c>
      <c r="Z252" s="120" t="s">
        <v>1451</v>
      </c>
    </row>
    <row r="253" spans="1:27">
      <c r="A253" s="83">
        <v>45967</v>
      </c>
      <c r="B253" s="83" t="str">
        <f>IF(ISBLANK(Tableau330[[#This Row],[DATE ]]),"",UPPER(PROPER(TEXT(Tableau330[[#This Row],[DATE ]],"mmmm yyyy"))))</f>
        <v>NOVEMBRE 2025</v>
      </c>
      <c r="C253" s="83" t="s">
        <v>824</v>
      </c>
      <c r="D253" s="120" t="s">
        <v>1512</v>
      </c>
      <c r="E253" s="82" t="s">
        <v>832</v>
      </c>
      <c r="F253" s="120" t="s">
        <v>833</v>
      </c>
      <c r="G253" s="82" t="s">
        <v>822</v>
      </c>
      <c r="H253" s="82" t="s">
        <v>1513</v>
      </c>
      <c r="I253" s="82" t="s">
        <v>12</v>
      </c>
      <c r="J253" s="136">
        <v>6.178229566535414E-4</v>
      </c>
      <c r="K253" s="122">
        <f>121394+5367</f>
        <v>126761</v>
      </c>
      <c r="L253" s="121"/>
      <c r="M253" s="122">
        <f>121394+5367</f>
        <v>126761</v>
      </c>
      <c r="N253" s="122">
        <f>+IF(Tableau330[[#This Row],[CODE TVA]]="",0,ROUND(Tableau330[[#This Row],[MONTANT HT]]*0.18*Tableau330[[#This Row],[PRORATA D]],1))</f>
        <v>14.1</v>
      </c>
      <c r="O253" s="122">
        <f>+IFERROR(Tableau330[[#This Row],[MONTANT HT]]+Tableau330[[#This Row],[TVA]],0)</f>
        <v>126775.1</v>
      </c>
      <c r="P253" s="122"/>
      <c r="Q253" s="122"/>
      <c r="R253" s="122">
        <f>+Tableau330[[#This Row],[MONTANT TTC]]+Tableau330[[#This Row],[TIMBRE ]]+Tableau330[[#This Row],[AUTRES TAXES]]</f>
        <v>126775.1</v>
      </c>
      <c r="S253" s="122">
        <v>126775</v>
      </c>
      <c r="T253" s="122">
        <f>+ROUND(Tableau330[[#This Row],[NET A PAYER]],0)-Tableau330[[#This Row],[MONTANT PAYE]]</f>
        <v>0</v>
      </c>
      <c r="U253" s="122"/>
      <c r="V253" s="123">
        <f>+Tableau330[[#This Row],[DELAI_PAIEMENT]]+Tableau330[[#This Row],[DATE ]]</f>
        <v>45967</v>
      </c>
      <c r="X253" s="82" t="s">
        <v>1337</v>
      </c>
      <c r="Y253" s="82" t="s">
        <v>623</v>
      </c>
      <c r="Z253" s="120" t="s">
        <v>1451</v>
      </c>
    </row>
    <row r="254" spans="1:27">
      <c r="A254" s="83">
        <v>45968</v>
      </c>
      <c r="B254" s="83" t="str">
        <f>IF(ISBLANK(Tableau330[[#This Row],[DATE ]]),"",UPPER(PROPER(TEXT(Tableau330[[#This Row],[DATE ]],"mmmm yyyy"))))</f>
        <v>NOVEMBRE 2025</v>
      </c>
      <c r="C254" s="83" t="s">
        <v>824</v>
      </c>
      <c r="D254" s="120" t="s">
        <v>1630</v>
      </c>
      <c r="E254" s="82" t="s">
        <v>1265</v>
      </c>
      <c r="F254" s="120" t="s">
        <v>1266</v>
      </c>
      <c r="H254" s="82" t="s">
        <v>1631</v>
      </c>
      <c r="I254" s="82" t="s">
        <v>12</v>
      </c>
      <c r="J254" s="121">
        <v>1</v>
      </c>
      <c r="K254" s="121">
        <v>50847</v>
      </c>
      <c r="L254" s="121"/>
      <c r="M254" s="122">
        <v>50847</v>
      </c>
      <c r="N254" s="122">
        <f>+IF(Tableau330[[#This Row],[CODE TVA]]="",0,ROUND(Tableau330[[#This Row],[MONTANT HT]]*0.18*Tableau330[[#This Row],[PRORATA D]],1))</f>
        <v>9152.5</v>
      </c>
      <c r="O254" s="122">
        <f>+IFERROR(Tableau330[[#This Row],[MONTANT HT]]+Tableau330[[#This Row],[TVA]],0)</f>
        <v>59999.5</v>
      </c>
      <c r="P254" s="122"/>
      <c r="Q254" s="122"/>
      <c r="R254" s="122">
        <f>+Tableau330[[#This Row],[MONTANT TTC]]+Tableau330[[#This Row],[TIMBRE ]]+Tableau330[[#This Row],[AUTRES TAXES]]</f>
        <v>59999.5</v>
      </c>
      <c r="S254" s="122">
        <v>60000</v>
      </c>
      <c r="T254" s="122">
        <f>+ROUND(Tableau330[[#This Row],[NET A PAYER]],0)-Tableau330[[#This Row],[MONTANT PAYE]]</f>
        <v>0</v>
      </c>
      <c r="U254" s="122"/>
      <c r="V254" s="123">
        <f>+Tableau330[[#This Row],[DELAI_PAIEMENT]]+Tableau330[[#This Row],[DATE ]]</f>
        <v>45968</v>
      </c>
      <c r="Y254" s="82" t="s">
        <v>623</v>
      </c>
      <c r="Z254" s="120" t="s">
        <v>1451</v>
      </c>
    </row>
    <row r="255" spans="1:27">
      <c r="A255" s="83">
        <v>45969</v>
      </c>
      <c r="B255" s="83" t="str">
        <f>IF(ISBLANK(Tableau330[[#This Row],[DATE ]]),"",UPPER(PROPER(TEXT(Tableau330[[#This Row],[DATE ]],"mmmm yyyy"))))</f>
        <v>NOVEMBRE 2025</v>
      </c>
      <c r="C255" s="83" t="s">
        <v>824</v>
      </c>
      <c r="D255" s="120" t="s">
        <v>1480</v>
      </c>
      <c r="E255" s="82" t="s">
        <v>1481</v>
      </c>
      <c r="F255" s="120" t="s">
        <v>1482</v>
      </c>
      <c r="G255" s="82" t="s">
        <v>822</v>
      </c>
      <c r="H255" s="82" t="s">
        <v>1483</v>
      </c>
      <c r="I255" s="82" t="s">
        <v>12</v>
      </c>
      <c r="J255" s="121">
        <v>1</v>
      </c>
      <c r="K255" s="121">
        <v>241525</v>
      </c>
      <c r="L255" s="121"/>
      <c r="M255" s="122">
        <v>241525</v>
      </c>
      <c r="N255" s="122">
        <f>+IF(Tableau330[[#This Row],[CODE TVA]]="",0,ROUND(Tableau330[[#This Row],[MONTANT HT]]*0.18*Tableau330[[#This Row],[PRORATA D]],1))</f>
        <v>43474.5</v>
      </c>
      <c r="O255" s="122">
        <f>+IFERROR(Tableau330[[#This Row],[MONTANT HT]]+Tableau330[[#This Row],[TVA]],0)</f>
        <v>284999.5</v>
      </c>
      <c r="P255" s="122"/>
      <c r="Q255" s="122"/>
      <c r="R255" s="122">
        <f>+Tableau330[[#This Row],[MONTANT TTC]]+Tableau330[[#This Row],[TIMBRE ]]+Tableau330[[#This Row],[AUTRES TAXES]]</f>
        <v>284999.5</v>
      </c>
      <c r="S255" s="122">
        <v>285000</v>
      </c>
      <c r="T255" s="122">
        <f>+ROUND(Tableau330[[#This Row],[NET A PAYER]],0)-Tableau330[[#This Row],[MONTANT PAYE]]</f>
        <v>0</v>
      </c>
      <c r="U255" s="122"/>
      <c r="V255" s="123">
        <f>+Tableau330[[#This Row],[DELAI_PAIEMENT]]+Tableau330[[#This Row],[DATE ]]</f>
        <v>45969</v>
      </c>
      <c r="X255" s="82" t="s">
        <v>1337</v>
      </c>
      <c r="Y255" s="82" t="s">
        <v>623</v>
      </c>
      <c r="Z255" s="120" t="s">
        <v>1451</v>
      </c>
    </row>
    <row r="256" spans="1:27">
      <c r="A256" s="83">
        <v>45971</v>
      </c>
      <c r="B256" s="83" t="str">
        <f>IF(ISBLANK(Tableau330[[#This Row],[DATE ]]),"",UPPER(PROPER(TEXT(Tableau330[[#This Row],[DATE ]],"mmmm yyyy"))))</f>
        <v>NOVEMBRE 2025</v>
      </c>
      <c r="C256" s="83" t="s">
        <v>824</v>
      </c>
      <c r="D256" s="120" t="s">
        <v>1452</v>
      </c>
      <c r="E256" s="82" t="s">
        <v>1304</v>
      </c>
      <c r="F256" s="120" t="s">
        <v>942</v>
      </c>
      <c r="G256" s="82" t="s">
        <v>828</v>
      </c>
      <c r="H256" s="82" t="s">
        <v>1453</v>
      </c>
      <c r="J256" s="121"/>
      <c r="K256" s="121"/>
      <c r="L256" s="121"/>
      <c r="M256" s="122">
        <v>31000</v>
      </c>
      <c r="N256" s="122">
        <f>+IF(Tableau330[[#This Row],[CODE TVA]]="",0,ROUND(Tableau330[[#This Row],[MONTANT HT]]*0.18*Tableau330[[#This Row],[PRORATA D]],1))</f>
        <v>0</v>
      </c>
      <c r="O256" s="122">
        <f>+IFERROR(Tableau330[[#This Row],[MONTANT HT]]+Tableau330[[#This Row],[TVA]],0)</f>
        <v>31000</v>
      </c>
      <c r="P256" s="122"/>
      <c r="Q256" s="122"/>
      <c r="R256" s="122">
        <f>+Tableau330[[#This Row],[MONTANT TTC]]+Tableau330[[#This Row],[TIMBRE ]]+Tableau330[[#This Row],[AUTRES TAXES]]</f>
        <v>31000</v>
      </c>
      <c r="S256" s="122">
        <v>31000</v>
      </c>
      <c r="T256" s="122">
        <f>+ROUND(Tableau330[[#This Row],[NET A PAYER]],0)-Tableau330[[#This Row],[MONTANT PAYE]]</f>
        <v>0</v>
      </c>
      <c r="U256" s="122"/>
      <c r="V256" s="123">
        <f>+Tableau330[[#This Row],[DELAI_PAIEMENT]]+Tableau330[[#This Row],[DATE ]]</f>
        <v>45971</v>
      </c>
      <c r="X256" s="82" t="s">
        <v>1337</v>
      </c>
      <c r="Y256" s="82" t="s">
        <v>623</v>
      </c>
      <c r="Z256" s="120" t="s">
        <v>1451</v>
      </c>
    </row>
    <row r="257" spans="1:27">
      <c r="A257" s="83">
        <v>45971</v>
      </c>
      <c r="B257" s="83" t="str">
        <f>IF(ISBLANK(Tableau330[[#This Row],[DATE ]]),"",UPPER(PROPER(TEXT(Tableau330[[#This Row],[DATE ]],"mmmm yyyy"))))</f>
        <v>NOVEMBRE 2025</v>
      </c>
      <c r="C257" s="83" t="s">
        <v>824</v>
      </c>
      <c r="D257" s="120" t="s">
        <v>1456</v>
      </c>
      <c r="E257" s="82" t="s">
        <v>1265</v>
      </c>
      <c r="F257" s="120" t="s">
        <v>1266</v>
      </c>
      <c r="G257" s="82" t="s">
        <v>822</v>
      </c>
      <c r="H257" s="82" t="s">
        <v>1457</v>
      </c>
      <c r="I257" s="82" t="s">
        <v>12</v>
      </c>
      <c r="J257" s="121">
        <v>1</v>
      </c>
      <c r="K257" s="121">
        <v>76271</v>
      </c>
      <c r="L257" s="121"/>
      <c r="M257" s="122">
        <v>76271</v>
      </c>
      <c r="N257" s="122">
        <f>+IF(Tableau330[[#This Row],[CODE TVA]]="",0,ROUND(Tableau330[[#This Row],[MONTANT HT]]*0.18*Tableau330[[#This Row],[PRORATA D]],1))</f>
        <v>13728.8</v>
      </c>
      <c r="O257" s="122">
        <f>+IFERROR(Tableau330[[#This Row],[MONTANT HT]]+Tableau330[[#This Row],[TVA]],0)</f>
        <v>89999.8</v>
      </c>
      <c r="P257" s="122"/>
      <c r="Q257" s="122"/>
      <c r="R257" s="122">
        <f>+Tableau330[[#This Row],[MONTANT TTC]]+Tableau330[[#This Row],[TIMBRE ]]+Tableau330[[#This Row],[AUTRES TAXES]]</f>
        <v>89999.8</v>
      </c>
      <c r="S257" s="122">
        <v>90000</v>
      </c>
      <c r="T257" s="122">
        <f>+ROUND(Tableau330[[#This Row],[NET A PAYER]],0)-Tableau330[[#This Row],[MONTANT PAYE]]</f>
        <v>0</v>
      </c>
      <c r="U257" s="122"/>
      <c r="V257" s="123">
        <f>+Tableau330[[#This Row],[DELAI_PAIEMENT]]+Tableau330[[#This Row],[DATE ]]</f>
        <v>45971</v>
      </c>
      <c r="X257" s="82" t="s">
        <v>1337</v>
      </c>
      <c r="Y257" s="82" t="s">
        <v>623</v>
      </c>
      <c r="Z257" s="120" t="s">
        <v>1451</v>
      </c>
    </row>
    <row r="258" spans="1:27">
      <c r="A258" s="83">
        <v>45972</v>
      </c>
      <c r="B258" s="83" t="str">
        <f>IF(ISBLANK(Tableau330[[#This Row],[DATE ]]),"",UPPER(PROPER(TEXT(Tableau330[[#This Row],[DATE ]],"mmmm yyyy"))))</f>
        <v>NOVEMBRE 2025</v>
      </c>
      <c r="C258" s="83" t="s">
        <v>824</v>
      </c>
      <c r="D258" s="120" t="s">
        <v>1460</v>
      </c>
      <c r="E258" s="82" t="s">
        <v>971</v>
      </c>
      <c r="F258" s="120" t="s">
        <v>972</v>
      </c>
      <c r="G258" s="82" t="s">
        <v>822</v>
      </c>
      <c r="H258" s="82" t="s">
        <v>1461</v>
      </c>
      <c r="I258" s="82" t="s">
        <v>12</v>
      </c>
      <c r="J258" s="121">
        <v>1</v>
      </c>
      <c r="K258" s="121">
        <v>191480</v>
      </c>
      <c r="L258" s="121"/>
      <c r="M258" s="122">
        <v>191480</v>
      </c>
      <c r="N258" s="122">
        <f>+IF(Tableau330[[#This Row],[CODE TVA]]="",0,ROUND(Tableau330[[#This Row],[MONTANT HT]]*0.18*Tableau330[[#This Row],[PRORATA D]],1))</f>
        <v>34466.400000000001</v>
      </c>
      <c r="O258" s="122">
        <f>+IFERROR(Tableau330[[#This Row],[MONTANT HT]]+Tableau330[[#This Row],[TVA]],0)</f>
        <v>225946.4</v>
      </c>
      <c r="P258" s="122">
        <v>500</v>
      </c>
      <c r="Q258" s="122"/>
      <c r="R258" s="122">
        <f>+Tableau330[[#This Row],[MONTANT TTC]]+Tableau330[[#This Row],[TIMBRE ]]+Tableau330[[#This Row],[AUTRES TAXES]]</f>
        <v>226446.4</v>
      </c>
      <c r="S258" s="122">
        <v>226446</v>
      </c>
      <c r="T258" s="122">
        <f>+ROUND(Tableau330[[#This Row],[NET A PAYER]],0)-Tableau330[[#This Row],[MONTANT PAYE]]</f>
        <v>0</v>
      </c>
      <c r="U258" s="122"/>
      <c r="V258" s="123">
        <f>+Tableau330[[#This Row],[DELAI_PAIEMENT]]+Tableau330[[#This Row],[DATE ]]</f>
        <v>45972</v>
      </c>
      <c r="X258" s="82" t="s">
        <v>1337</v>
      </c>
      <c r="Y258" s="82" t="s">
        <v>623</v>
      </c>
      <c r="Z258" s="120" t="s">
        <v>1451</v>
      </c>
    </row>
    <row r="259" spans="1:27">
      <c r="A259" s="83">
        <v>45973</v>
      </c>
      <c r="B259" s="83" t="str">
        <f>IF(ISBLANK(Tableau330[[#This Row],[DATE ]]),"",UPPER(PROPER(TEXT(Tableau330[[#This Row],[DATE ]],"mmmm yyyy"))))</f>
        <v>NOVEMBRE 2025</v>
      </c>
      <c r="C259" s="83" t="s">
        <v>824</v>
      </c>
      <c r="D259" s="120" t="s">
        <v>1449</v>
      </c>
      <c r="E259" s="82" t="s">
        <v>1304</v>
      </c>
      <c r="F259" s="120" t="s">
        <v>942</v>
      </c>
      <c r="G259" s="82" t="s">
        <v>828</v>
      </c>
      <c r="H259" s="82" t="s">
        <v>1450</v>
      </c>
      <c r="J259" s="121"/>
      <c r="K259" s="121"/>
      <c r="L259" s="121"/>
      <c r="M259" s="122">
        <v>15500</v>
      </c>
      <c r="N259" s="122">
        <f>+IF(Tableau330[[#This Row],[CODE TVA]]="",0,ROUND(Tableau330[[#This Row],[MONTANT HT]]*0.18*Tableau330[[#This Row],[PRORATA D]],1))</f>
        <v>0</v>
      </c>
      <c r="O259" s="122">
        <f>+IFERROR(Tableau330[[#This Row],[MONTANT HT]]+Tableau330[[#This Row],[TVA]],0)</f>
        <v>15500</v>
      </c>
      <c r="P259" s="122"/>
      <c r="Q259" s="122"/>
      <c r="R259" s="122">
        <f>+Tableau330[[#This Row],[MONTANT TTC]]+Tableau330[[#This Row],[TIMBRE ]]+Tableau330[[#This Row],[AUTRES TAXES]]</f>
        <v>15500</v>
      </c>
      <c r="S259" s="122">
        <v>15500</v>
      </c>
      <c r="T259" s="122">
        <f>+ROUND(Tableau330[[#This Row],[NET A PAYER]],0)-Tableau330[[#This Row],[MONTANT PAYE]]</f>
        <v>0</v>
      </c>
      <c r="U259" s="122"/>
      <c r="V259" s="123">
        <f>+Tableau330[[#This Row],[DELAI_PAIEMENT]]+Tableau330[[#This Row],[DATE ]]</f>
        <v>45973</v>
      </c>
      <c r="X259" s="82" t="s">
        <v>1337</v>
      </c>
      <c r="Y259" s="82" t="s">
        <v>623</v>
      </c>
      <c r="Z259" s="120" t="s">
        <v>1451</v>
      </c>
    </row>
    <row r="260" spans="1:27">
      <c r="A260" s="83">
        <v>45973</v>
      </c>
      <c r="B260" s="83" t="str">
        <f>IF(ISBLANK(Tableau330[[#This Row],[DATE ]]),"",UPPER(PROPER(TEXT(Tableau330[[#This Row],[DATE ]],"mmmm yyyy"))))</f>
        <v>NOVEMBRE 2025</v>
      </c>
      <c r="C260" s="83" t="s">
        <v>824</v>
      </c>
      <c r="D260" s="120" t="s">
        <v>1454</v>
      </c>
      <c r="E260" s="82" t="s">
        <v>832</v>
      </c>
      <c r="F260" s="120" t="s">
        <v>833</v>
      </c>
      <c r="G260" s="82" t="s">
        <v>828</v>
      </c>
      <c r="H260" s="82" t="s">
        <v>1455</v>
      </c>
      <c r="I260" s="82" t="s">
        <v>12</v>
      </c>
      <c r="J260" s="121">
        <v>0</v>
      </c>
      <c r="K260" s="121">
        <v>19050</v>
      </c>
      <c r="L260" s="121"/>
      <c r="M260" s="122">
        <v>19050</v>
      </c>
      <c r="N260" s="122">
        <f>+IF(Tableau330[[#This Row],[CODE TVA]]="",0,ROUND(Tableau330[[#This Row],[MONTANT HT]]*0.18*Tableau330[[#This Row],[PRORATA D]],1))</f>
        <v>0</v>
      </c>
      <c r="O260" s="122">
        <f>+IFERROR(Tableau330[[#This Row],[MONTANT HT]]+Tableau330[[#This Row],[TVA]],0)</f>
        <v>19050</v>
      </c>
      <c r="P260" s="122"/>
      <c r="Q260" s="122"/>
      <c r="R260" s="122">
        <f>+Tableau330[[#This Row],[MONTANT TTC]]+Tableau330[[#This Row],[TIMBRE ]]+Tableau330[[#This Row],[AUTRES TAXES]]</f>
        <v>19050</v>
      </c>
      <c r="S260" s="122">
        <v>19050</v>
      </c>
      <c r="T260" s="122">
        <f>+ROUND(Tableau330[[#This Row],[NET A PAYER]],0)-Tableau330[[#This Row],[MONTANT PAYE]]</f>
        <v>0</v>
      </c>
      <c r="U260" s="122"/>
      <c r="V260" s="123">
        <f>+Tableau330[[#This Row],[DELAI_PAIEMENT]]+Tableau330[[#This Row],[DATE ]]</f>
        <v>45973</v>
      </c>
      <c r="X260" s="82" t="s">
        <v>1337</v>
      </c>
      <c r="Y260" s="82" t="s">
        <v>623</v>
      </c>
      <c r="Z260" s="120" t="s">
        <v>1451</v>
      </c>
    </row>
    <row r="261" spans="1:27">
      <c r="A261" s="83">
        <v>45974</v>
      </c>
      <c r="B261" s="83" t="str">
        <f>IF(ISBLANK(Tableau330[[#This Row],[DATE ]]),"",UPPER(PROPER(TEXT(Tableau330[[#This Row],[DATE ]],"mmmm yyyy"))))</f>
        <v>NOVEMBRE 2025</v>
      </c>
      <c r="C261" s="83" t="s">
        <v>870</v>
      </c>
      <c r="D261" s="120" t="s">
        <v>1458</v>
      </c>
      <c r="E261" s="82" t="s">
        <v>971</v>
      </c>
      <c r="F261" s="120" t="s">
        <v>972</v>
      </c>
      <c r="G261" s="82" t="s">
        <v>822</v>
      </c>
      <c r="H261" s="82" t="s">
        <v>1459</v>
      </c>
      <c r="J261" s="121"/>
      <c r="K261" s="121"/>
      <c r="L261" s="121"/>
      <c r="M261" s="122">
        <v>32950</v>
      </c>
      <c r="N261" s="122">
        <f>+IF(Tableau330[[#This Row],[CODE TVA]]="",0,ROUND(Tableau330[[#This Row],[MONTANT HT]]*0.18*Tableau330[[#This Row],[PRORATA D]],1))</f>
        <v>0</v>
      </c>
      <c r="O261" s="122">
        <f>+IFERROR(Tableau330[[#This Row],[MONTANT HT]]+Tableau330[[#This Row],[TVA]],0)</f>
        <v>32950</v>
      </c>
      <c r="P261" s="122"/>
      <c r="Q261" s="122"/>
      <c r="R261" s="122">
        <f>+Tableau330[[#This Row],[MONTANT TTC]]+Tableau330[[#This Row],[TIMBRE ]]+Tableau330[[#This Row],[AUTRES TAXES]]</f>
        <v>32950</v>
      </c>
      <c r="S261" s="122">
        <v>32950</v>
      </c>
      <c r="T261" s="122">
        <f>+ROUND(Tableau330[[#This Row],[NET A PAYER]],0)-Tableau330[[#This Row],[MONTANT PAYE]]</f>
        <v>0</v>
      </c>
      <c r="U261" s="122"/>
      <c r="V261" s="123">
        <f>+Tableau330[[#This Row],[DELAI_PAIEMENT]]+Tableau330[[#This Row],[DATE ]]</f>
        <v>45974</v>
      </c>
      <c r="X261" s="82" t="s">
        <v>1337</v>
      </c>
      <c r="Y261" s="82" t="s">
        <v>623</v>
      </c>
      <c r="Z261" s="120" t="s">
        <v>1451</v>
      </c>
    </row>
    <row r="262" spans="1:27">
      <c r="A262" s="83">
        <v>45974</v>
      </c>
      <c r="B262" s="83" t="str">
        <f>IF(ISBLANK(Tableau330[[#This Row],[DATE ]]),"",UPPER(PROPER(TEXT(Tableau330[[#This Row],[DATE ]],"mmmm yyyy"))))</f>
        <v>NOVEMBRE 2025</v>
      </c>
      <c r="C262" s="83" t="s">
        <v>824</v>
      </c>
      <c r="D262" s="120" t="s">
        <v>1464</v>
      </c>
      <c r="E262" s="82" t="s">
        <v>857</v>
      </c>
      <c r="F262" s="120" t="s">
        <v>1465</v>
      </c>
      <c r="G262" s="82" t="s">
        <v>822</v>
      </c>
      <c r="H262" s="82" t="s">
        <v>1466</v>
      </c>
      <c r="I262" s="82" t="s">
        <v>12</v>
      </c>
      <c r="J262" s="121">
        <v>1</v>
      </c>
      <c r="K262" s="121">
        <v>13559</v>
      </c>
      <c r="L262" s="121"/>
      <c r="M262" s="122">
        <v>13559</v>
      </c>
      <c r="N262" s="122">
        <f>+IF(Tableau330[[#This Row],[CODE TVA]]="",0,ROUND(Tableau330[[#This Row],[MONTANT HT]]*0.18*Tableau330[[#This Row],[PRORATA D]],1))</f>
        <v>2440.6</v>
      </c>
      <c r="O262" s="122">
        <f>+IFERROR(Tableau330[[#This Row],[MONTANT HT]]+Tableau330[[#This Row],[TVA]],0)</f>
        <v>15999.6</v>
      </c>
      <c r="P262" s="122"/>
      <c r="Q262" s="122"/>
      <c r="R262" s="122">
        <f>+Tableau330[[#This Row],[MONTANT TTC]]+Tableau330[[#This Row],[TIMBRE ]]+Tableau330[[#This Row],[AUTRES TAXES]]</f>
        <v>15999.6</v>
      </c>
      <c r="S262" s="122">
        <v>16000</v>
      </c>
      <c r="T262" s="122">
        <f>+ROUND(Tableau330[[#This Row],[NET A PAYER]],0)-Tableau330[[#This Row],[MONTANT PAYE]]</f>
        <v>0</v>
      </c>
      <c r="U262" s="122"/>
      <c r="V262" s="123">
        <f>+Tableau330[[#This Row],[DELAI_PAIEMENT]]+Tableau330[[#This Row],[DATE ]]</f>
        <v>45974</v>
      </c>
      <c r="X262" s="82" t="s">
        <v>1337</v>
      </c>
      <c r="Y262" s="82" t="s">
        <v>623</v>
      </c>
      <c r="Z262" s="120" t="s">
        <v>1451</v>
      </c>
    </row>
    <row r="263" spans="1:27">
      <c r="A263" s="83">
        <v>45974</v>
      </c>
      <c r="B263" s="83" t="str">
        <f>IF(ISBLANK(Tableau330[[#This Row],[DATE ]]),"",UPPER(PROPER(TEXT(Tableau330[[#This Row],[DATE ]],"mmmm yyyy"))))</f>
        <v>NOVEMBRE 2025</v>
      </c>
      <c r="C263" s="83" t="s">
        <v>836</v>
      </c>
      <c r="D263" s="120" t="s">
        <v>1469</v>
      </c>
      <c r="E263" s="82" t="s">
        <v>1470</v>
      </c>
      <c r="F263" s="120" t="s">
        <v>1471</v>
      </c>
      <c r="G263" s="82" t="s">
        <v>828</v>
      </c>
      <c r="H263" s="82" t="s">
        <v>1472</v>
      </c>
      <c r="J263" s="121"/>
      <c r="K263" s="121">
        <v>128000</v>
      </c>
      <c r="L263" s="121"/>
      <c r="M263" s="122">
        <v>128000</v>
      </c>
      <c r="N263" s="122">
        <f>+IF(Tableau330[[#This Row],[CODE TVA]]="",0,ROUND(Tableau330[[#This Row],[MONTANT HT]]*0.18*Tableau330[[#This Row],[PRORATA D]],1))</f>
        <v>0</v>
      </c>
      <c r="O263" s="122">
        <f>+IFERROR(Tableau330[[#This Row],[MONTANT HT]]+Tableau330[[#This Row],[TVA]],0)</f>
        <v>128000</v>
      </c>
      <c r="P263" s="122"/>
      <c r="Q263" s="122"/>
      <c r="R263" s="122">
        <f>+Tableau330[[#This Row],[MONTANT TTC]]+Tableau330[[#This Row],[TIMBRE ]]+Tableau330[[#This Row],[AUTRES TAXES]]</f>
        <v>128000</v>
      </c>
      <c r="S263" s="122">
        <v>128000</v>
      </c>
      <c r="T263" s="122">
        <f>+ROUND(Tableau330[[#This Row],[NET A PAYER]],0)-Tableau330[[#This Row],[MONTANT PAYE]]</f>
        <v>0</v>
      </c>
      <c r="U263" s="122"/>
      <c r="V263" s="123">
        <f>+Tableau330[[#This Row],[DELAI_PAIEMENT]]+Tableau330[[#This Row],[DATE ]]</f>
        <v>45974</v>
      </c>
      <c r="X263" s="82" t="s">
        <v>1337</v>
      </c>
      <c r="Y263" s="82" t="s">
        <v>623</v>
      </c>
      <c r="Z263" s="120" t="s">
        <v>1451</v>
      </c>
    </row>
    <row r="264" spans="1:27">
      <c r="A264" s="83">
        <v>45974</v>
      </c>
      <c r="B264" s="83" t="str">
        <f>IF(ISBLANK(Tableau330[[#This Row],[DATE ]]),"",UPPER(PROPER(TEXT(Tableau330[[#This Row],[DATE ]],"mmmm yyyy"))))</f>
        <v>NOVEMBRE 2025</v>
      </c>
      <c r="C264" s="83" t="s">
        <v>824</v>
      </c>
      <c r="D264" s="120" t="s">
        <v>1473</v>
      </c>
      <c r="E264" s="82" t="s">
        <v>1474</v>
      </c>
      <c r="F264" s="120" t="s">
        <v>1475</v>
      </c>
      <c r="G264" s="82" t="s">
        <v>951</v>
      </c>
      <c r="H264" s="82" t="s">
        <v>1476</v>
      </c>
      <c r="J264" s="121"/>
      <c r="K264" s="121">
        <v>400000</v>
      </c>
      <c r="L264" s="121"/>
      <c r="M264" s="122">
        <v>400000</v>
      </c>
      <c r="N264" s="122">
        <f>+IF(Tableau330[[#This Row],[CODE TVA]]="",0,ROUND(Tableau330[[#This Row],[MONTANT HT]]*0.18*Tableau330[[#This Row],[PRORATA D]],1))</f>
        <v>0</v>
      </c>
      <c r="O264" s="122">
        <f>+IFERROR(Tableau330[[#This Row],[MONTANT HT]]+Tableau330[[#This Row],[TVA]],0)</f>
        <v>400000</v>
      </c>
      <c r="P264" s="122"/>
      <c r="Q264" s="122"/>
      <c r="R264" s="122">
        <f>+Tableau330[[#This Row],[MONTANT TTC]]+Tableau330[[#This Row],[TIMBRE ]]+Tableau330[[#This Row],[AUTRES TAXES]]</f>
        <v>400000</v>
      </c>
      <c r="S264" s="122">
        <v>400000</v>
      </c>
      <c r="T264" s="122">
        <f>+ROUND(Tableau330[[#This Row],[NET A PAYER]],0)-Tableau330[[#This Row],[MONTANT PAYE]]</f>
        <v>0</v>
      </c>
      <c r="U264" s="122"/>
      <c r="V264" s="123">
        <f>+Tableau330[[#This Row],[DELAI_PAIEMENT]]+Tableau330[[#This Row],[DATE ]]</f>
        <v>45974</v>
      </c>
      <c r="X264" s="82" t="s">
        <v>1337</v>
      </c>
      <c r="Y264" s="82" t="s">
        <v>623</v>
      </c>
      <c r="Z264" s="120" t="s">
        <v>1451</v>
      </c>
    </row>
    <row r="265" spans="1:27">
      <c r="A265" s="137">
        <v>45977</v>
      </c>
      <c r="B265" s="137" t="str">
        <f>IF(ISBLANK(Tableau330[[#This Row],[DATE ]]),"",UPPER(PROPER(TEXT(Tableau330[[#This Row],[DATE ]],"mmmm yyyy"))))</f>
        <v>NOVEMBRE 2025</v>
      </c>
      <c r="C265" s="137" t="s">
        <v>1332</v>
      </c>
      <c r="D265" s="138" t="s">
        <v>1585</v>
      </c>
      <c r="E265" s="139" t="s">
        <v>1586</v>
      </c>
      <c r="F265" s="138"/>
      <c r="G265" s="139"/>
      <c r="H265" s="139" t="s">
        <v>1587</v>
      </c>
      <c r="I265" s="139"/>
      <c r="J265" s="140"/>
      <c r="K265" s="140">
        <v>20000</v>
      </c>
      <c r="L265" s="140"/>
      <c r="M265" s="141">
        <v>20000</v>
      </c>
      <c r="N265" s="141">
        <f>+IF(Tableau330[[#This Row],[CODE TVA]]="",0,ROUND(Tableau330[[#This Row],[MONTANT HT]]*0.18*Tableau330[[#This Row],[PRORATA D]],1))</f>
        <v>0</v>
      </c>
      <c r="O265" s="141">
        <f>+IFERROR(Tableau330[[#This Row],[MONTANT HT]]+Tableau330[[#This Row],[TVA]],0)</f>
        <v>20000</v>
      </c>
      <c r="P265" s="141"/>
      <c r="Q265" s="141"/>
      <c r="R265" s="141">
        <f>+Tableau330[[#This Row],[MONTANT TTC]]+Tableau330[[#This Row],[TIMBRE ]]+Tableau330[[#This Row],[AUTRES TAXES]]</f>
        <v>20000</v>
      </c>
      <c r="S265" s="141">
        <v>20000</v>
      </c>
      <c r="T265" s="141">
        <f>+ROUND(Tableau330[[#This Row],[NET A PAYER]],0)-Tableau330[[#This Row],[MONTANT PAYE]]</f>
        <v>0</v>
      </c>
      <c r="U265" s="141"/>
      <c r="V265" s="142">
        <f>+Tableau330[[#This Row],[DELAI_PAIEMENT]]+Tableau330[[#This Row],[DATE ]]</f>
        <v>45977</v>
      </c>
      <c r="W265" s="139"/>
      <c r="X265" s="139"/>
      <c r="Y265" s="139" t="s">
        <v>623</v>
      </c>
      <c r="Z265" s="138" t="s">
        <v>1582</v>
      </c>
      <c r="AA265" s="139" t="s">
        <v>1589</v>
      </c>
    </row>
    <row r="266" spans="1:27">
      <c r="A266" s="83">
        <v>45978</v>
      </c>
      <c r="B266" s="83" t="str">
        <f>IF(ISBLANK(Tableau330[[#This Row],[DATE ]]),"",UPPER(PROPER(TEXT(Tableau330[[#This Row],[DATE ]],"mmmm yyyy"))))</f>
        <v>NOVEMBRE 2025</v>
      </c>
      <c r="C266" s="83" t="s">
        <v>824</v>
      </c>
      <c r="D266" s="120" t="s">
        <v>1618</v>
      </c>
      <c r="E266" s="82" t="s">
        <v>937</v>
      </c>
      <c r="F266" s="120" t="s">
        <v>938</v>
      </c>
      <c r="H266" s="82" t="s">
        <v>1620</v>
      </c>
      <c r="J266" s="121"/>
      <c r="K266" s="121">
        <v>104000</v>
      </c>
      <c r="L266" s="121"/>
      <c r="M266" s="122">
        <v>104000</v>
      </c>
      <c r="N266" s="122">
        <f>+IF(Tableau330[[#This Row],[CODE TVA]]="",0,ROUND(Tableau330[[#This Row],[MONTANT HT]]*0.18*Tableau330[[#This Row],[PRORATA D]],1))</f>
        <v>0</v>
      </c>
      <c r="O266" s="122">
        <f>+IFERROR(Tableau330[[#This Row],[MONTANT HT]]+Tableau330[[#This Row],[TVA]],0)</f>
        <v>104000</v>
      </c>
      <c r="P266" s="122"/>
      <c r="Q266" s="122"/>
      <c r="R266" s="122">
        <f>+Tableau330[[#This Row],[MONTANT TTC]]+Tableau330[[#This Row],[TIMBRE ]]+Tableau330[[#This Row],[AUTRES TAXES]]</f>
        <v>104000</v>
      </c>
      <c r="S266" s="122">
        <v>104000</v>
      </c>
      <c r="T266" s="122">
        <f>+ROUND(Tableau330[[#This Row],[NET A PAYER]],0)-Tableau330[[#This Row],[MONTANT PAYE]]</f>
        <v>0</v>
      </c>
      <c r="U266" s="122"/>
      <c r="V266" s="123">
        <f>+Tableau330[[#This Row],[DELAI_PAIEMENT]]+Tableau330[[#This Row],[DATE ]]</f>
        <v>45978</v>
      </c>
      <c r="Y266" s="82" t="s">
        <v>623</v>
      </c>
      <c r="Z266" s="120" t="s">
        <v>1451</v>
      </c>
    </row>
    <row r="267" spans="1:27">
      <c r="A267" s="83">
        <v>45979</v>
      </c>
      <c r="B267" s="83" t="str">
        <f>IF(ISBLANK(Tableau330[[#This Row],[DATE ]]),"",UPPER(PROPER(TEXT(Tableau330[[#This Row],[DATE ]],"mmmm yyyy"))))</f>
        <v>NOVEMBRE 2025</v>
      </c>
      <c r="C267" s="83" t="s">
        <v>824</v>
      </c>
      <c r="D267" s="120" t="s">
        <v>1484</v>
      </c>
      <c r="E267" s="82" t="s">
        <v>1265</v>
      </c>
      <c r="F267" s="120" t="s">
        <v>1266</v>
      </c>
      <c r="G267" s="82" t="s">
        <v>822</v>
      </c>
      <c r="H267" s="82" t="s">
        <v>1485</v>
      </c>
      <c r="I267" s="82" t="s">
        <v>12</v>
      </c>
      <c r="J267" s="121">
        <v>1</v>
      </c>
      <c r="K267" s="121">
        <v>25424</v>
      </c>
      <c r="L267" s="121"/>
      <c r="M267" s="122">
        <v>25424</v>
      </c>
      <c r="N267" s="122">
        <f>+IF(Tableau330[[#This Row],[CODE TVA]]="",0,ROUND(Tableau330[[#This Row],[MONTANT HT]]*0.18*Tableau330[[#This Row],[PRORATA D]],1))</f>
        <v>4576.3</v>
      </c>
      <c r="O267" s="122">
        <f>+IFERROR(Tableau330[[#This Row],[MONTANT HT]]+Tableau330[[#This Row],[TVA]],0)</f>
        <v>30000.3</v>
      </c>
      <c r="P267" s="122"/>
      <c r="Q267" s="122"/>
      <c r="R267" s="122">
        <f>+Tableau330[[#This Row],[MONTANT TTC]]+Tableau330[[#This Row],[TIMBRE ]]+Tableau330[[#This Row],[AUTRES TAXES]]</f>
        <v>30000.3</v>
      </c>
      <c r="S267" s="122">
        <v>30000</v>
      </c>
      <c r="T267" s="122">
        <f>+ROUND(Tableau330[[#This Row],[NET A PAYER]],0)-Tableau330[[#This Row],[MONTANT PAYE]]</f>
        <v>0</v>
      </c>
      <c r="U267" s="122"/>
      <c r="V267" s="123">
        <f>+Tableau330[[#This Row],[DELAI_PAIEMENT]]+Tableau330[[#This Row],[DATE ]]</f>
        <v>45979</v>
      </c>
      <c r="X267" s="82" t="s">
        <v>1337</v>
      </c>
      <c r="Y267" s="82" t="s">
        <v>623</v>
      </c>
      <c r="Z267" s="120" t="s">
        <v>1451</v>
      </c>
    </row>
    <row r="268" spans="1:27">
      <c r="A268" s="83">
        <v>45979</v>
      </c>
      <c r="B268" s="83" t="str">
        <f>IF(ISBLANK(Tableau330[[#This Row],[DATE ]]),"",UPPER(PROPER(TEXT(Tableau330[[#This Row],[DATE ]],"mmmm yyyy"))))</f>
        <v>NOVEMBRE 2025</v>
      </c>
      <c r="C268" s="83" t="s">
        <v>1187</v>
      </c>
      <c r="D268" s="120" t="s">
        <v>1611</v>
      </c>
      <c r="E268" s="82" t="s">
        <v>1612</v>
      </c>
      <c r="F268" s="120" t="s">
        <v>1613</v>
      </c>
      <c r="H268" s="82" t="s">
        <v>1614</v>
      </c>
      <c r="J268" s="121"/>
      <c r="K268" s="121">
        <v>55000</v>
      </c>
      <c r="L268" s="121"/>
      <c r="M268" s="122">
        <v>55000</v>
      </c>
      <c r="N268" s="122">
        <f>+IF(Tableau330[[#This Row],[CODE TVA]]="",0,ROUND(Tableau330[[#This Row],[MONTANT HT]]*0.18*Tableau330[[#This Row],[PRORATA D]],1))</f>
        <v>0</v>
      </c>
      <c r="O268" s="122">
        <f>+IFERROR(Tableau330[[#This Row],[MONTANT HT]]+Tableau330[[#This Row],[TVA]],0)</f>
        <v>55000</v>
      </c>
      <c r="P268" s="122"/>
      <c r="Q268" s="122"/>
      <c r="R268" s="122">
        <f>+Tableau330[[#This Row],[MONTANT TTC]]+Tableau330[[#This Row],[TIMBRE ]]+Tableau330[[#This Row],[AUTRES TAXES]]</f>
        <v>55000</v>
      </c>
      <c r="S268" s="122">
        <v>55000</v>
      </c>
      <c r="T268" s="122">
        <f>+ROUND(Tableau330[[#This Row],[NET A PAYER]],0)-Tableau330[[#This Row],[MONTANT PAYE]]</f>
        <v>0</v>
      </c>
      <c r="U268" s="122"/>
      <c r="V268" s="123">
        <f>+Tableau330[[#This Row],[DELAI_PAIEMENT]]+Tableau330[[#This Row],[DATE ]]</f>
        <v>45979</v>
      </c>
      <c r="Y268" s="82" t="s">
        <v>623</v>
      </c>
      <c r="Z268" s="120" t="s">
        <v>1451</v>
      </c>
    </row>
    <row r="269" spans="1:27">
      <c r="A269" s="83">
        <v>45979</v>
      </c>
      <c r="B269" s="83" t="str">
        <f>IF(ISBLANK(Tableau330[[#This Row],[DATE ]]),"",UPPER(PROPER(TEXT(Tableau330[[#This Row],[DATE ]],"mmmm yyyy"))))</f>
        <v>NOVEMBRE 2025</v>
      </c>
      <c r="C269" s="83" t="s">
        <v>824</v>
      </c>
      <c r="D269" s="120" t="s">
        <v>1634</v>
      </c>
      <c r="E269" s="82" t="s">
        <v>1265</v>
      </c>
      <c r="F269" s="120" t="s">
        <v>1266</v>
      </c>
      <c r="H269" s="82" t="s">
        <v>1635</v>
      </c>
      <c r="I269" s="82" t="s">
        <v>12</v>
      </c>
      <c r="J269" s="121">
        <v>1</v>
      </c>
      <c r="K269" s="121">
        <v>25424</v>
      </c>
      <c r="L269" s="121"/>
      <c r="M269" s="122">
        <v>25424</v>
      </c>
      <c r="N269" s="122">
        <f>+IF(Tableau330[[#This Row],[CODE TVA]]="",0,ROUND(Tableau330[[#This Row],[MONTANT HT]]*0.18*Tableau330[[#This Row],[PRORATA D]],1))</f>
        <v>4576.3</v>
      </c>
      <c r="O269" s="122">
        <f>+IFERROR(Tableau330[[#This Row],[MONTANT HT]]+Tableau330[[#This Row],[TVA]],0)</f>
        <v>30000.3</v>
      </c>
      <c r="P269" s="122"/>
      <c r="Q269" s="122"/>
      <c r="R269" s="122">
        <f>+Tableau330[[#This Row],[MONTANT TTC]]+Tableau330[[#This Row],[TIMBRE ]]+Tableau330[[#This Row],[AUTRES TAXES]]</f>
        <v>30000.3</v>
      </c>
      <c r="S269" s="122">
        <v>30000</v>
      </c>
      <c r="T269" s="122">
        <f>+ROUND(Tableau330[[#This Row],[NET A PAYER]],0)-Tableau330[[#This Row],[MONTANT PAYE]]</f>
        <v>0</v>
      </c>
      <c r="U269" s="122"/>
      <c r="V269" s="123">
        <f>+Tableau330[[#This Row],[DELAI_PAIEMENT]]+Tableau330[[#This Row],[DATE ]]</f>
        <v>45979</v>
      </c>
      <c r="Y269" s="82" t="s">
        <v>623</v>
      </c>
      <c r="Z269" s="120" t="s">
        <v>1451</v>
      </c>
    </row>
    <row r="270" spans="1:27">
      <c r="A270" s="83">
        <v>45981</v>
      </c>
      <c r="B270" s="83" t="str">
        <f>IF(ISBLANK(Tableau330[[#This Row],[DATE ]]),"",UPPER(PROPER(TEXT(Tableau330[[#This Row],[DATE ]],"mmmm yyyy"))))</f>
        <v>NOVEMBRE 2025</v>
      </c>
      <c r="C270" s="83" t="s">
        <v>824</v>
      </c>
      <c r="D270" s="120" t="s">
        <v>1462</v>
      </c>
      <c r="E270" s="82" t="s">
        <v>1308</v>
      </c>
      <c r="F270" s="120" t="s">
        <v>1309</v>
      </c>
      <c r="G270" s="82" t="s">
        <v>828</v>
      </c>
      <c r="H270" s="82" t="s">
        <v>1463</v>
      </c>
      <c r="J270" s="121"/>
      <c r="K270" s="121">
        <v>16155</v>
      </c>
      <c r="L270" s="121"/>
      <c r="M270" s="122">
        <v>16155</v>
      </c>
      <c r="N270" s="122">
        <f>+IF(Tableau330[[#This Row],[CODE TVA]]="",0,ROUND(Tableau330[[#This Row],[MONTANT HT]]*0.18*Tableau330[[#This Row],[PRORATA D]],1))</f>
        <v>0</v>
      </c>
      <c r="O270" s="122">
        <f>+IFERROR(Tableau330[[#This Row],[MONTANT HT]]+Tableau330[[#This Row],[TVA]],0)</f>
        <v>16155</v>
      </c>
      <c r="P270" s="122"/>
      <c r="Q270" s="122"/>
      <c r="R270" s="122">
        <f>+Tableau330[[#This Row],[MONTANT TTC]]+Tableau330[[#This Row],[TIMBRE ]]+Tableau330[[#This Row],[AUTRES TAXES]]</f>
        <v>16155</v>
      </c>
      <c r="S270" s="122">
        <v>16155</v>
      </c>
      <c r="T270" s="122">
        <f>+ROUND(Tableau330[[#This Row],[NET A PAYER]],0)-Tableau330[[#This Row],[MONTANT PAYE]]</f>
        <v>0</v>
      </c>
      <c r="U270" s="122"/>
      <c r="V270" s="123">
        <f>+Tableau330[[#This Row],[DELAI_PAIEMENT]]+Tableau330[[#This Row],[DATE ]]</f>
        <v>45981</v>
      </c>
      <c r="X270" s="82" t="s">
        <v>1337</v>
      </c>
      <c r="Y270" s="82" t="s">
        <v>623</v>
      </c>
      <c r="Z270" s="120" t="s">
        <v>1451</v>
      </c>
    </row>
    <row r="271" spans="1:27">
      <c r="A271" s="83">
        <v>45982</v>
      </c>
      <c r="B271" s="83" t="str">
        <f>IF(ISBLANK(Tableau330[[#This Row],[DATE ]]),"",UPPER(PROPER(TEXT(Tableau330[[#This Row],[DATE ]],"mmmm yyyy"))))</f>
        <v>NOVEMBRE 2025</v>
      </c>
      <c r="C271" s="83" t="s">
        <v>824</v>
      </c>
      <c r="D271" s="120" t="s">
        <v>1445</v>
      </c>
      <c r="E271" s="82" t="s">
        <v>1446</v>
      </c>
      <c r="F271" s="120" t="s">
        <v>1447</v>
      </c>
      <c r="H271" s="82" t="s">
        <v>1448</v>
      </c>
      <c r="J271" s="121"/>
      <c r="K271" s="122">
        <v>2095000</v>
      </c>
      <c r="L271" s="121"/>
      <c r="M271" s="122">
        <v>2095000</v>
      </c>
      <c r="N271" s="122">
        <f>+IF(Tableau330[[#This Row],[CODE TVA]]="",0,ROUND(Tableau330[[#This Row],[MONTANT HT]]*0.18*Tableau330[[#This Row],[PRORATA D]],1))</f>
        <v>0</v>
      </c>
      <c r="O271" s="122">
        <f>+IFERROR(Tableau330[[#This Row],[MONTANT HT]]+Tableau330[[#This Row],[TVA]],0)</f>
        <v>2095000</v>
      </c>
      <c r="P271" s="122"/>
      <c r="Q271" s="122"/>
      <c r="R271" s="122">
        <f>+Tableau330[[#This Row],[MONTANT TTC]]+Tableau330[[#This Row],[TIMBRE ]]+Tableau330[[#This Row],[AUTRES TAXES]]</f>
        <v>2095000</v>
      </c>
      <c r="S271" s="122">
        <f>1047500+1047500</f>
        <v>2095000</v>
      </c>
      <c r="T271" s="122">
        <f>+ROUND(Tableau330[[#This Row],[NET A PAYER]],0)-Tableau330[[#This Row],[MONTANT PAYE]]</f>
        <v>0</v>
      </c>
      <c r="U271" s="122"/>
      <c r="V271" s="123">
        <f>+Tableau330[[#This Row],[DELAI_PAIEMENT]]+Tableau330[[#This Row],[DATE ]]</f>
        <v>45982</v>
      </c>
      <c r="X271" s="82" t="s">
        <v>1338</v>
      </c>
      <c r="Y271" s="82" t="s">
        <v>1579</v>
      </c>
      <c r="Z271" s="120" t="s">
        <v>1580</v>
      </c>
    </row>
    <row r="272" spans="1:27">
      <c r="A272" s="83">
        <v>45982</v>
      </c>
      <c r="B272" s="83" t="str">
        <f>IF(ISBLANK(Tableau330[[#This Row],[DATE ]]),"",UPPER(PROPER(TEXT(Tableau330[[#This Row],[DATE ]],"mmmm yyyy"))))</f>
        <v>NOVEMBRE 2025</v>
      </c>
      <c r="C272" s="83" t="s">
        <v>824</v>
      </c>
      <c r="D272" s="120" t="s">
        <v>1567</v>
      </c>
      <c r="E272" s="82" t="s">
        <v>1566</v>
      </c>
      <c r="F272" s="120" t="s">
        <v>1568</v>
      </c>
      <c r="H272" s="82" t="s">
        <v>1569</v>
      </c>
      <c r="I272" s="82" t="s">
        <v>12</v>
      </c>
      <c r="J272" s="121">
        <v>1</v>
      </c>
      <c r="K272" s="121">
        <v>12712</v>
      </c>
      <c r="L272" s="121"/>
      <c r="M272" s="122">
        <v>12712</v>
      </c>
      <c r="N272" s="122">
        <f>+IF(Tableau330[[#This Row],[CODE TVA]]="",0,ROUND(Tableau330[[#This Row],[MONTANT HT]]*0.18*Tableau330[[#This Row],[PRORATA D]],1))</f>
        <v>2288.1999999999998</v>
      </c>
      <c r="O272" s="122">
        <f>+IFERROR(Tableau330[[#This Row],[MONTANT HT]]+Tableau330[[#This Row],[TVA]],0)</f>
        <v>15000.2</v>
      </c>
      <c r="P272" s="122"/>
      <c r="Q272" s="122"/>
      <c r="R272" s="122">
        <f>+Tableau330[[#This Row],[MONTANT TTC]]+Tableau330[[#This Row],[TIMBRE ]]+Tableau330[[#This Row],[AUTRES TAXES]]</f>
        <v>15000.2</v>
      </c>
      <c r="S272" s="122">
        <v>15000</v>
      </c>
      <c r="T272" s="122">
        <f>+ROUND(Tableau330[[#This Row],[NET A PAYER]],0)-Tableau330[[#This Row],[MONTANT PAYE]]</f>
        <v>0</v>
      </c>
      <c r="U272" s="122"/>
      <c r="V272" s="123">
        <f>+Tableau330[[#This Row],[DELAI_PAIEMENT]]+Tableau330[[#This Row],[DATE ]]</f>
        <v>45982</v>
      </c>
      <c r="Y272" s="82" t="s">
        <v>623</v>
      </c>
      <c r="Z272" s="120" t="s">
        <v>1451</v>
      </c>
    </row>
    <row r="273" spans="1:26">
      <c r="A273" s="83">
        <v>45983</v>
      </c>
      <c r="B273" s="83" t="str">
        <f>IF(ISBLANK(Tableau330[[#This Row],[DATE ]]),"",UPPER(PROPER(TEXT(Tableau330[[#This Row],[DATE ]],"mmmm yyyy"))))</f>
        <v>NOVEMBRE 2025</v>
      </c>
      <c r="C273" s="83" t="s">
        <v>824</v>
      </c>
      <c r="D273" s="120" t="s">
        <v>1570</v>
      </c>
      <c r="E273" s="82" t="s">
        <v>857</v>
      </c>
      <c r="F273" s="120" t="s">
        <v>858</v>
      </c>
      <c r="H273" s="82" t="s">
        <v>1571</v>
      </c>
      <c r="I273" s="82" t="s">
        <v>12</v>
      </c>
      <c r="J273" s="121">
        <v>1</v>
      </c>
      <c r="K273" s="121">
        <v>92669</v>
      </c>
      <c r="L273" s="121"/>
      <c r="M273" s="122">
        <v>92669</v>
      </c>
      <c r="N273" s="122">
        <f>+IF(Tableau330[[#This Row],[CODE TVA]]="",0,ROUND(Tableau330[[#This Row],[MONTANT HT]]*0.18*Tableau330[[#This Row],[PRORATA D]],1))</f>
        <v>16680.400000000001</v>
      </c>
      <c r="O273" s="122">
        <f>+IFERROR(Tableau330[[#This Row],[MONTANT HT]]+Tableau330[[#This Row],[TVA]],0)</f>
        <v>109349.4</v>
      </c>
      <c r="P273" s="122"/>
      <c r="Q273" s="122"/>
      <c r="R273" s="122">
        <f>+Tableau330[[#This Row],[MONTANT TTC]]+Tableau330[[#This Row],[TIMBRE ]]+Tableau330[[#This Row],[AUTRES TAXES]]</f>
        <v>109349.4</v>
      </c>
      <c r="S273" s="122">
        <v>109349</v>
      </c>
      <c r="T273" s="122">
        <f>+ROUND(Tableau330[[#This Row],[NET A PAYER]],0)-Tableau330[[#This Row],[MONTANT PAYE]]</f>
        <v>0</v>
      </c>
      <c r="U273" s="122"/>
      <c r="V273" s="123">
        <f>+Tableau330[[#This Row],[DELAI_PAIEMENT]]+Tableau330[[#This Row],[DATE ]]</f>
        <v>45983</v>
      </c>
      <c r="Y273" s="82" t="s">
        <v>623</v>
      </c>
      <c r="Z273" s="120" t="s">
        <v>1451</v>
      </c>
    </row>
    <row r="274" spans="1:26">
      <c r="A274" s="83">
        <v>45986</v>
      </c>
      <c r="B274" s="83" t="str">
        <f>IF(ISBLANK(Tableau330[[#This Row],[DATE ]]),"",UPPER(PROPER(TEXT(Tableau330[[#This Row],[DATE ]],"mmmm yyyy"))))</f>
        <v>NOVEMBRE 2025</v>
      </c>
      <c r="C274" s="83" t="s">
        <v>1518</v>
      </c>
      <c r="D274" s="120" t="s">
        <v>1520</v>
      </c>
      <c r="E274" s="82" t="s">
        <v>1519</v>
      </c>
      <c r="F274" s="120"/>
      <c r="H274" s="82" t="s">
        <v>1522</v>
      </c>
      <c r="J274" s="121"/>
      <c r="K274" s="121"/>
      <c r="L274" s="121">
        <v>623066</v>
      </c>
      <c r="M274" s="121">
        <v>623066</v>
      </c>
      <c r="N274" s="122">
        <f>+IF(Tableau330[[#This Row],[CODE TVA]]="",0,ROUND(Tableau330[[#This Row],[MONTANT HT]]*0.18*Tableau330[[#This Row],[PRORATA D]],1))</f>
        <v>0</v>
      </c>
      <c r="O274" s="122">
        <f>+IFERROR(Tableau330[[#This Row],[MONTANT HT]]+Tableau330[[#This Row],[TVA]],0)</f>
        <v>623066</v>
      </c>
      <c r="P274" s="122"/>
      <c r="Q274" s="122"/>
      <c r="R274" s="122">
        <f>+Tableau330[[#This Row],[MONTANT TTC]]+Tableau330[[#This Row],[TIMBRE ]]+Tableau330[[#This Row],[AUTRES TAXES]]</f>
        <v>623066</v>
      </c>
      <c r="S274" s="122"/>
      <c r="T274" s="122">
        <f>+ROUND(Tableau330[[#This Row],[NET A PAYER]],0)-Tableau330[[#This Row],[MONTANT PAYE]]</f>
        <v>623066</v>
      </c>
      <c r="U274" s="122"/>
      <c r="V274" s="123">
        <f>+Tableau330[[#This Row],[DELAI_PAIEMENT]]+Tableau330[[#This Row],[DATE ]]</f>
        <v>45986</v>
      </c>
      <c r="Z274" s="120"/>
    </row>
    <row r="275" spans="1:26">
      <c r="A275" s="83">
        <v>45986</v>
      </c>
      <c r="B275" s="83" t="str">
        <f>IF(ISBLANK(Tableau330[[#This Row],[DATE ]]),"",UPPER(PROPER(TEXT(Tableau330[[#This Row],[DATE ]],"mmmm yyyy"))))</f>
        <v>NOVEMBRE 2025</v>
      </c>
      <c r="C275" s="83" t="s">
        <v>1518</v>
      </c>
      <c r="D275" s="120" t="s">
        <v>1524</v>
      </c>
      <c r="E275" s="82" t="s">
        <v>1521</v>
      </c>
      <c r="F275" s="120"/>
      <c r="H275" s="82" t="s">
        <v>1523</v>
      </c>
      <c r="J275" s="121"/>
      <c r="K275" s="121"/>
      <c r="L275" s="121">
        <v>1300000</v>
      </c>
      <c r="M275" s="121">
        <v>1300000</v>
      </c>
      <c r="N275" s="122">
        <f>+IF(Tableau330[[#This Row],[CODE TVA]]="",0,ROUND(Tableau330[[#This Row],[MONTANT HT]]*0.18*Tableau330[[#This Row],[PRORATA D]],1))</f>
        <v>0</v>
      </c>
      <c r="O275" s="122">
        <f>+IFERROR(Tableau330[[#This Row],[MONTANT HT]]+Tableau330[[#This Row],[TVA]],0)</f>
        <v>1300000</v>
      </c>
      <c r="P275" s="122"/>
      <c r="Q275" s="122"/>
      <c r="R275" s="122">
        <f>+Tableau330[[#This Row],[MONTANT TTC]]+Tableau330[[#This Row],[TIMBRE ]]+Tableau330[[#This Row],[AUTRES TAXES]]</f>
        <v>1300000</v>
      </c>
      <c r="S275" s="122"/>
      <c r="T275" s="122">
        <f>+ROUND(Tableau330[[#This Row],[NET A PAYER]],0)-Tableau330[[#This Row],[MONTANT PAYE]]</f>
        <v>1300000</v>
      </c>
      <c r="U275" s="122"/>
      <c r="V275" s="123">
        <f>+Tableau330[[#This Row],[DELAI_PAIEMENT]]+Tableau330[[#This Row],[DATE ]]</f>
        <v>45986</v>
      </c>
      <c r="Z275" s="120"/>
    </row>
    <row r="276" spans="1:26">
      <c r="A276" s="83">
        <v>45986</v>
      </c>
      <c r="B276" s="83" t="str">
        <f>IF(ISBLANK(Tableau330[[#This Row],[DATE ]]),"",UPPER(PROPER(TEXT(Tableau330[[#This Row],[DATE ]],"mmmm yyyy"))))</f>
        <v>NOVEMBRE 2025</v>
      </c>
      <c r="C276" s="83" t="s">
        <v>1518</v>
      </c>
      <c r="D276" s="120" t="s">
        <v>1525</v>
      </c>
      <c r="E276" s="82" t="s">
        <v>1526</v>
      </c>
      <c r="F276" s="120"/>
      <c r="H276" s="82" t="s">
        <v>1529</v>
      </c>
      <c r="J276" s="121"/>
      <c r="K276" s="121"/>
      <c r="L276" s="121">
        <v>1000000</v>
      </c>
      <c r="M276" s="121">
        <v>1000000</v>
      </c>
      <c r="N276" s="122">
        <f>+IF(Tableau330[[#This Row],[CODE TVA]]="",0,ROUND(Tableau330[[#This Row],[MONTANT HT]]*0.18*Tableau330[[#This Row],[PRORATA D]],1))</f>
        <v>0</v>
      </c>
      <c r="O276" s="122">
        <f>+IFERROR(Tableau330[[#This Row],[MONTANT HT]]+Tableau330[[#This Row],[TVA]],0)</f>
        <v>1000000</v>
      </c>
      <c r="P276" s="122"/>
      <c r="Q276" s="122"/>
      <c r="R276" s="122">
        <f>+Tableau330[[#This Row],[MONTANT TTC]]+Tableau330[[#This Row],[TIMBRE ]]+Tableau330[[#This Row],[AUTRES TAXES]]</f>
        <v>1000000</v>
      </c>
      <c r="S276" s="122">
        <v>1000000</v>
      </c>
      <c r="T276" s="122">
        <f>+ROUND(Tableau330[[#This Row],[NET A PAYER]],0)-Tableau330[[#This Row],[MONTANT PAYE]]</f>
        <v>0</v>
      </c>
      <c r="U276" s="122"/>
      <c r="V276" s="123">
        <f>+Tableau330[[#This Row],[DELAI_PAIEMENT]]+Tableau330[[#This Row],[DATE ]]</f>
        <v>45986</v>
      </c>
      <c r="X276" s="82" t="s">
        <v>1337</v>
      </c>
      <c r="Y276" s="82" t="s">
        <v>617</v>
      </c>
      <c r="Z276" s="120" t="s">
        <v>1639</v>
      </c>
    </row>
    <row r="277" spans="1:26">
      <c r="A277" s="83">
        <v>45986</v>
      </c>
      <c r="B277" s="83" t="str">
        <f>IF(ISBLANK(Tableau330[[#This Row],[DATE ]]),"",UPPER(PROPER(TEXT(Tableau330[[#This Row],[DATE ]],"mmmm yyyy"))))</f>
        <v>NOVEMBRE 2025</v>
      </c>
      <c r="C277" s="83" t="s">
        <v>1518</v>
      </c>
      <c r="D277" s="120" t="s">
        <v>1528</v>
      </c>
      <c r="E277" s="82" t="s">
        <v>1526</v>
      </c>
      <c r="F277" s="120"/>
      <c r="H277" s="82" t="s">
        <v>1527</v>
      </c>
      <c r="J277" s="121"/>
      <c r="K277" s="121"/>
      <c r="L277" s="121">
        <v>653837</v>
      </c>
      <c r="M277" s="121">
        <v>653837</v>
      </c>
      <c r="N277" s="122">
        <f>+IF(Tableau330[[#This Row],[CODE TVA]]="",0,ROUND(Tableau330[[#This Row],[MONTANT HT]]*0.18*Tableau330[[#This Row],[PRORATA D]],1))</f>
        <v>0</v>
      </c>
      <c r="O277" s="122">
        <f>+IFERROR(Tableau330[[#This Row],[MONTANT HT]]+Tableau330[[#This Row],[TVA]],0)</f>
        <v>653837</v>
      </c>
      <c r="P277" s="122"/>
      <c r="Q277" s="122"/>
      <c r="R277" s="122">
        <f>+Tableau330[[#This Row],[MONTANT TTC]]+Tableau330[[#This Row],[TIMBRE ]]+Tableau330[[#This Row],[AUTRES TAXES]]</f>
        <v>653837</v>
      </c>
      <c r="S277" s="122">
        <v>653837</v>
      </c>
      <c r="T277" s="122">
        <f>+ROUND(Tableau330[[#This Row],[NET A PAYER]],0)-Tableau330[[#This Row],[MONTANT PAYE]]</f>
        <v>0</v>
      </c>
      <c r="U277" s="122"/>
      <c r="V277" s="123">
        <f>+Tableau330[[#This Row],[DELAI_PAIEMENT]]+Tableau330[[#This Row],[DATE ]]</f>
        <v>45986</v>
      </c>
      <c r="X277" s="82" t="s">
        <v>1337</v>
      </c>
      <c r="Y277" s="82" t="s">
        <v>617</v>
      </c>
      <c r="Z277" s="120" t="s">
        <v>1639</v>
      </c>
    </row>
    <row r="278" spans="1:26">
      <c r="A278" s="83">
        <v>45986</v>
      </c>
      <c r="B278" s="83" t="str">
        <f>IF(ISBLANK(Tableau330[[#This Row],[DATE ]]),"",UPPER(PROPER(TEXT(Tableau330[[#This Row],[DATE ]],"mmmm yyyy"))))</f>
        <v>NOVEMBRE 2025</v>
      </c>
      <c r="C278" s="83" t="s">
        <v>1518</v>
      </c>
      <c r="D278" s="120" t="s">
        <v>1530</v>
      </c>
      <c r="E278" s="82" t="s">
        <v>1531</v>
      </c>
      <c r="F278" s="120"/>
      <c r="H278" s="82" t="s">
        <v>1532</v>
      </c>
      <c r="J278" s="121"/>
      <c r="K278" s="121"/>
      <c r="L278" s="121">
        <v>1153849</v>
      </c>
      <c r="M278" s="121">
        <v>1153849</v>
      </c>
      <c r="N278" s="122">
        <f>+IF(Tableau330[[#This Row],[CODE TVA]]="",0,ROUND(Tableau330[[#This Row],[MONTANT HT]]*0.18*Tableau330[[#This Row],[PRORATA D]],1))</f>
        <v>0</v>
      </c>
      <c r="O278" s="122">
        <f>+IFERROR(Tableau330[[#This Row],[MONTANT HT]]+Tableau330[[#This Row],[TVA]],0)</f>
        <v>1153849</v>
      </c>
      <c r="P278" s="122"/>
      <c r="Q278" s="122"/>
      <c r="R278" s="122">
        <f>+Tableau330[[#This Row],[MONTANT TTC]]+Tableau330[[#This Row],[TIMBRE ]]+Tableau330[[#This Row],[AUTRES TAXES]]</f>
        <v>1153849</v>
      </c>
      <c r="S278" s="122">
        <v>1875000</v>
      </c>
      <c r="T278" s="122">
        <f>+ROUND(Tableau330[[#This Row],[NET A PAYER]],0)-Tableau330[[#This Row],[MONTANT PAYE]]</f>
        <v>-721151</v>
      </c>
      <c r="U278" s="122"/>
      <c r="V278" s="123">
        <f>+Tableau330[[#This Row],[DELAI_PAIEMENT]]+Tableau330[[#This Row],[DATE ]]</f>
        <v>45986</v>
      </c>
      <c r="Z278" s="120"/>
    </row>
    <row r="279" spans="1:26">
      <c r="A279" s="83">
        <v>45986</v>
      </c>
      <c r="B279" s="83" t="str">
        <f>IF(ISBLANK(Tableau330[[#This Row],[DATE ]]),"",UPPER(PROPER(TEXT(Tableau330[[#This Row],[DATE ]],"mmmm yyyy"))))</f>
        <v>NOVEMBRE 2025</v>
      </c>
      <c r="C279" s="83" t="s">
        <v>1518</v>
      </c>
      <c r="D279" s="120" t="s">
        <v>1534</v>
      </c>
      <c r="E279" s="82" t="s">
        <v>1533</v>
      </c>
      <c r="F279" s="120"/>
      <c r="H279" s="82" t="s">
        <v>1540</v>
      </c>
      <c r="J279" s="121"/>
      <c r="K279" s="121"/>
      <c r="L279" s="121">
        <v>800000</v>
      </c>
      <c r="M279" s="121">
        <v>800000</v>
      </c>
      <c r="N279" s="122">
        <f>+IF(Tableau330[[#This Row],[CODE TVA]]="",0,ROUND(Tableau330[[#This Row],[MONTANT HT]]*0.18*Tableau330[[#This Row],[PRORATA D]],1))</f>
        <v>0</v>
      </c>
      <c r="O279" s="122">
        <f>+IFERROR(Tableau330[[#This Row],[MONTANT HT]]+Tableau330[[#This Row],[TVA]],0)</f>
        <v>800000</v>
      </c>
      <c r="P279" s="122"/>
      <c r="Q279" s="122"/>
      <c r="R279" s="122">
        <f>+Tableau330[[#This Row],[MONTANT TTC]]+Tableau330[[#This Row],[TIMBRE ]]+Tableau330[[#This Row],[AUTRES TAXES]]</f>
        <v>800000</v>
      </c>
      <c r="S279" s="122">
        <v>800000</v>
      </c>
      <c r="T279" s="122">
        <f>+ROUND(Tableau330[[#This Row],[NET A PAYER]],0)-Tableau330[[#This Row],[MONTANT PAYE]]</f>
        <v>0</v>
      </c>
      <c r="U279" s="122"/>
      <c r="V279" s="123">
        <f>+Tableau330[[#This Row],[DELAI_PAIEMENT]]+Tableau330[[#This Row],[DATE ]]</f>
        <v>45986</v>
      </c>
      <c r="X279" s="82" t="s">
        <v>1337</v>
      </c>
      <c r="Y279" s="82" t="s">
        <v>623</v>
      </c>
      <c r="Z279" s="120" t="s">
        <v>1582</v>
      </c>
    </row>
    <row r="280" spans="1:26">
      <c r="A280" s="83">
        <v>45986</v>
      </c>
      <c r="B280" s="83" t="str">
        <f>IF(ISBLANK(Tableau330[[#This Row],[DATE ]]),"",UPPER(PROPER(TEXT(Tableau330[[#This Row],[DATE ]],"mmmm yyyy"))))</f>
        <v>NOVEMBRE 2025</v>
      </c>
      <c r="C280" s="83" t="s">
        <v>1518</v>
      </c>
      <c r="D280" s="120" t="s">
        <v>1535</v>
      </c>
      <c r="E280" s="82" t="s">
        <v>1536</v>
      </c>
      <c r="F280" s="120"/>
      <c r="H280" s="82" t="s">
        <v>1539</v>
      </c>
      <c r="J280" s="121"/>
      <c r="K280" s="121"/>
      <c r="L280" s="121">
        <v>211540</v>
      </c>
      <c r="M280" s="121">
        <v>211540</v>
      </c>
      <c r="N280" s="122">
        <f>+IF(Tableau330[[#This Row],[CODE TVA]]="",0,ROUND(Tableau330[[#This Row],[MONTANT HT]]*0.18*Tableau330[[#This Row],[PRORATA D]],1))</f>
        <v>0</v>
      </c>
      <c r="O280" s="122">
        <f>+IFERROR(Tableau330[[#This Row],[MONTANT HT]]+Tableau330[[#This Row],[TVA]],0)</f>
        <v>211540</v>
      </c>
      <c r="P280" s="122"/>
      <c r="Q280" s="122"/>
      <c r="R280" s="122">
        <f>+Tableau330[[#This Row],[MONTANT TTC]]+Tableau330[[#This Row],[TIMBRE ]]+Tableau330[[#This Row],[AUTRES TAXES]]</f>
        <v>211540</v>
      </c>
      <c r="S280" s="122">
        <v>211540</v>
      </c>
      <c r="T280" s="122">
        <f>+ROUND(Tableau330[[#This Row],[NET A PAYER]],0)-Tableau330[[#This Row],[MONTANT PAYE]]</f>
        <v>0</v>
      </c>
      <c r="U280" s="122"/>
      <c r="V280" s="123">
        <f>+Tableau330[[#This Row],[DELAI_PAIEMENT]]+Tableau330[[#This Row],[DATE ]]</f>
        <v>45986</v>
      </c>
      <c r="X280" s="82" t="s">
        <v>1337</v>
      </c>
      <c r="Y280" s="82" t="s">
        <v>623</v>
      </c>
      <c r="Z280" s="120" t="s">
        <v>1582</v>
      </c>
    </row>
    <row r="281" spans="1:26">
      <c r="A281" s="83">
        <v>45986</v>
      </c>
      <c r="B281" s="83" t="str">
        <f>IF(ISBLANK(Tableau330[[#This Row],[DATE ]]),"",UPPER(PROPER(TEXT(Tableau330[[#This Row],[DATE ]],"mmmm yyyy"))))</f>
        <v>NOVEMBRE 2025</v>
      </c>
      <c r="C281" s="83" t="s">
        <v>1518</v>
      </c>
      <c r="D281" s="120" t="s">
        <v>1537</v>
      </c>
      <c r="E281" s="82" t="s">
        <v>1538</v>
      </c>
      <c r="F281" s="120"/>
      <c r="H281" s="82" t="s">
        <v>1541</v>
      </c>
      <c r="J281" s="121"/>
      <c r="K281" s="121"/>
      <c r="L281" s="121">
        <v>828000</v>
      </c>
      <c r="M281" s="121">
        <v>828000</v>
      </c>
      <c r="N281" s="122">
        <f>+IF(Tableau330[[#This Row],[CODE TVA]]="",0,ROUND(Tableau330[[#This Row],[MONTANT HT]]*0.18*Tableau330[[#This Row],[PRORATA D]],1))</f>
        <v>0</v>
      </c>
      <c r="O281" s="122">
        <f>+IFERROR(Tableau330[[#This Row],[MONTANT HT]]+Tableau330[[#This Row],[TVA]],0)</f>
        <v>828000</v>
      </c>
      <c r="P281" s="122"/>
      <c r="Q281" s="122"/>
      <c r="R281" s="122">
        <f>+Tableau330[[#This Row],[MONTANT TTC]]+Tableau330[[#This Row],[TIMBRE ]]+Tableau330[[#This Row],[AUTRES TAXES]]</f>
        <v>828000</v>
      </c>
      <c r="S281" s="122">
        <v>828000</v>
      </c>
      <c r="T281" s="122">
        <f>+ROUND(Tableau330[[#This Row],[NET A PAYER]],0)-Tableau330[[#This Row],[MONTANT PAYE]]</f>
        <v>0</v>
      </c>
      <c r="U281" s="122"/>
      <c r="V281" s="123">
        <f>+Tableau330[[#This Row],[DELAI_PAIEMENT]]+Tableau330[[#This Row],[DATE ]]</f>
        <v>45986</v>
      </c>
      <c r="X281" s="82" t="s">
        <v>1337</v>
      </c>
      <c r="Y281" s="82" t="s">
        <v>623</v>
      </c>
      <c r="Z281" s="120" t="s">
        <v>1582</v>
      </c>
    </row>
    <row r="282" spans="1:26">
      <c r="A282" s="83">
        <v>45986</v>
      </c>
      <c r="B282" s="83" t="str">
        <f>IF(ISBLANK(Tableau330[[#This Row],[DATE ]]),"",UPPER(PROPER(TEXT(Tableau330[[#This Row],[DATE ]],"mmmm yyyy"))))</f>
        <v>NOVEMBRE 2025</v>
      </c>
      <c r="C282" s="83" t="s">
        <v>1518</v>
      </c>
      <c r="D282" s="120" t="s">
        <v>1542</v>
      </c>
      <c r="E282" s="82" t="s">
        <v>714</v>
      </c>
      <c r="F282" s="120"/>
      <c r="H282" s="82" t="s">
        <v>1543</v>
      </c>
      <c r="J282" s="121"/>
      <c r="K282" s="121"/>
      <c r="L282" s="121">
        <v>850000</v>
      </c>
      <c r="M282" s="121">
        <v>850000</v>
      </c>
      <c r="N282" s="122">
        <f>+IF(Tableau330[[#This Row],[CODE TVA]]="",0,ROUND(Tableau330[[#This Row],[MONTANT HT]]*0.18*Tableau330[[#This Row],[PRORATA D]],1))</f>
        <v>0</v>
      </c>
      <c r="O282" s="122">
        <f>+IFERROR(Tableau330[[#This Row],[MONTANT HT]]+Tableau330[[#This Row],[TVA]],0)</f>
        <v>850000</v>
      </c>
      <c r="P282" s="122"/>
      <c r="Q282" s="122"/>
      <c r="R282" s="122">
        <f>+Tableau330[[#This Row],[MONTANT TTC]]+Tableau330[[#This Row],[TIMBRE ]]+Tableau330[[#This Row],[AUTRES TAXES]]</f>
        <v>850000</v>
      </c>
      <c r="S282" s="122">
        <v>850000</v>
      </c>
      <c r="T282" s="122">
        <f>+ROUND(Tableau330[[#This Row],[NET A PAYER]],0)-Tableau330[[#This Row],[MONTANT PAYE]]</f>
        <v>0</v>
      </c>
      <c r="U282" s="122"/>
      <c r="V282" s="123">
        <f>+Tableau330[[#This Row],[DELAI_PAIEMENT]]+Tableau330[[#This Row],[DATE ]]</f>
        <v>45986</v>
      </c>
      <c r="X282" s="82" t="s">
        <v>1337</v>
      </c>
      <c r="Y282" s="82" t="s">
        <v>617</v>
      </c>
      <c r="Z282" s="120" t="s">
        <v>1582</v>
      </c>
    </row>
    <row r="283" spans="1:26">
      <c r="A283" s="83">
        <v>45986</v>
      </c>
      <c r="B283" s="83" t="str">
        <f>IF(ISBLANK(Tableau330[[#This Row],[DATE ]]),"",UPPER(PROPER(TEXT(Tableau330[[#This Row],[DATE ]],"mmmm yyyy"))))</f>
        <v>NOVEMBRE 2025</v>
      </c>
      <c r="C283" s="83" t="s">
        <v>1518</v>
      </c>
      <c r="D283" s="120" t="s">
        <v>1544</v>
      </c>
      <c r="E283" s="82" t="s">
        <v>1545</v>
      </c>
      <c r="F283" s="120"/>
      <c r="H283" s="82" t="s">
        <v>1546</v>
      </c>
      <c r="J283" s="121"/>
      <c r="K283" s="121"/>
      <c r="L283" s="121">
        <v>2733326</v>
      </c>
      <c r="M283" s="121">
        <v>2733326</v>
      </c>
      <c r="N283" s="122">
        <f>+IF(Tableau330[[#This Row],[CODE TVA]]="",0,ROUND(Tableau330[[#This Row],[MONTANT HT]]*0.18*Tableau330[[#This Row],[PRORATA D]],1))</f>
        <v>0</v>
      </c>
      <c r="O283" s="122">
        <f>+IFERROR(Tableau330[[#This Row],[MONTANT HT]]+Tableau330[[#This Row],[TVA]],0)</f>
        <v>2733326</v>
      </c>
      <c r="P283" s="122"/>
      <c r="Q283" s="122"/>
      <c r="R283" s="122">
        <f>+Tableau330[[#This Row],[MONTANT TTC]]+Tableau330[[#This Row],[TIMBRE ]]+Tableau330[[#This Row],[AUTRES TAXES]]</f>
        <v>2733326</v>
      </c>
      <c r="S283" s="122">
        <v>2733326</v>
      </c>
      <c r="T283" s="122">
        <f>+ROUND(Tableau330[[#This Row],[NET A PAYER]],0)-Tableau330[[#This Row],[MONTANT PAYE]]</f>
        <v>0</v>
      </c>
      <c r="U283" s="122"/>
      <c r="V283" s="123">
        <f>+Tableau330[[#This Row],[DELAI_PAIEMENT]]+Tableau330[[#This Row],[DATE ]]</f>
        <v>45986</v>
      </c>
      <c r="X283" s="82" t="s">
        <v>1337</v>
      </c>
      <c r="Y283" s="82" t="s">
        <v>617</v>
      </c>
      <c r="Z283" s="120" t="s">
        <v>1638</v>
      </c>
    </row>
    <row r="284" spans="1:26">
      <c r="A284" s="83">
        <v>45986</v>
      </c>
      <c r="B284" s="83" t="str">
        <f>IF(ISBLANK(Tableau330[[#This Row],[DATE ]]),"",UPPER(PROPER(TEXT(Tableau330[[#This Row],[DATE ]],"mmmm yyyy"))))</f>
        <v>NOVEMBRE 2025</v>
      </c>
      <c r="C284" s="83" t="s">
        <v>1518</v>
      </c>
      <c r="D284" s="120" t="s">
        <v>1547</v>
      </c>
      <c r="E284" s="82" t="s">
        <v>1548</v>
      </c>
      <c r="F284" s="120"/>
      <c r="H284" s="82" t="s">
        <v>1549</v>
      </c>
      <c r="J284" s="121"/>
      <c r="K284" s="121"/>
      <c r="L284" s="121">
        <v>461550</v>
      </c>
      <c r="M284" s="121">
        <v>461550</v>
      </c>
      <c r="N284" s="122">
        <f>+IF(Tableau330[[#This Row],[CODE TVA]]="",0,ROUND(Tableau330[[#This Row],[MONTANT HT]]*0.18*Tableau330[[#This Row],[PRORATA D]],1))</f>
        <v>0</v>
      </c>
      <c r="O284" s="122">
        <f>+IFERROR(Tableau330[[#This Row],[MONTANT HT]]+Tableau330[[#This Row],[TVA]],0)</f>
        <v>461550</v>
      </c>
      <c r="P284" s="122"/>
      <c r="Q284" s="122"/>
      <c r="R284" s="122">
        <f>+Tableau330[[#This Row],[MONTANT TTC]]+Tableau330[[#This Row],[TIMBRE ]]+Tableau330[[#This Row],[AUTRES TAXES]]</f>
        <v>461550</v>
      </c>
      <c r="S284" s="122">
        <v>461550</v>
      </c>
      <c r="T284" s="122">
        <f>+ROUND(Tableau330[[#This Row],[NET A PAYER]],0)-Tableau330[[#This Row],[MONTANT PAYE]]</f>
        <v>0</v>
      </c>
      <c r="U284" s="122"/>
      <c r="V284" s="123">
        <f>+Tableau330[[#This Row],[DELAI_PAIEMENT]]+Tableau330[[#This Row],[DATE ]]</f>
        <v>45986</v>
      </c>
      <c r="X284" s="82" t="s">
        <v>1337</v>
      </c>
      <c r="Y284" s="82" t="s">
        <v>623</v>
      </c>
      <c r="Z284" s="120" t="s">
        <v>1582</v>
      </c>
    </row>
    <row r="285" spans="1:26">
      <c r="A285" s="83">
        <v>45986</v>
      </c>
      <c r="B285" s="83" t="str">
        <f>IF(ISBLANK(Tableau330[[#This Row],[DATE ]]),"",UPPER(PROPER(TEXT(Tableau330[[#This Row],[DATE ]],"mmmm yyyy"))))</f>
        <v>NOVEMBRE 2025</v>
      </c>
      <c r="C285" s="83" t="s">
        <v>1518</v>
      </c>
      <c r="D285" s="120" t="s">
        <v>1550</v>
      </c>
      <c r="E285" s="82" t="s">
        <v>1551</v>
      </c>
      <c r="F285" s="120"/>
      <c r="H285" s="82" t="s">
        <v>1552</v>
      </c>
      <c r="J285" s="121"/>
      <c r="K285" s="121"/>
      <c r="L285" s="121">
        <v>173075</v>
      </c>
      <c r="M285" s="121">
        <v>173075</v>
      </c>
      <c r="N285" s="122">
        <f>+IF(Tableau330[[#This Row],[CODE TVA]]="",0,ROUND(Tableau330[[#This Row],[MONTANT HT]]*0.18*Tableau330[[#This Row],[PRORATA D]],1))</f>
        <v>0</v>
      </c>
      <c r="O285" s="122">
        <f>+IFERROR(Tableau330[[#This Row],[MONTANT HT]]+Tableau330[[#This Row],[TVA]],0)</f>
        <v>173075</v>
      </c>
      <c r="P285" s="122"/>
      <c r="Q285" s="122"/>
      <c r="R285" s="122">
        <f>+Tableau330[[#This Row],[MONTANT TTC]]+Tableau330[[#This Row],[TIMBRE ]]+Tableau330[[#This Row],[AUTRES TAXES]]</f>
        <v>173075</v>
      </c>
      <c r="S285" s="122">
        <v>450000</v>
      </c>
      <c r="T285" s="122">
        <f>+ROUND(Tableau330[[#This Row],[NET A PAYER]],0)-Tableau330[[#This Row],[MONTANT PAYE]]</f>
        <v>-276925</v>
      </c>
      <c r="U285" s="122"/>
      <c r="V285" s="123">
        <f>+Tableau330[[#This Row],[DELAI_PAIEMENT]]+Tableau330[[#This Row],[DATE ]]</f>
        <v>45986</v>
      </c>
      <c r="Z285" s="120"/>
    </row>
    <row r="286" spans="1:26">
      <c r="A286" s="83">
        <v>45986</v>
      </c>
      <c r="B286" s="83" t="str">
        <f>IF(ISBLANK(Tableau330[[#This Row],[DATE ]]),"",UPPER(PROPER(TEXT(Tableau330[[#This Row],[DATE ]],"mmmm yyyy"))))</f>
        <v>NOVEMBRE 2025</v>
      </c>
      <c r="C286" s="83" t="s">
        <v>1518</v>
      </c>
      <c r="D286" s="120" t="s">
        <v>1553</v>
      </c>
      <c r="E286" s="82" t="s">
        <v>1554</v>
      </c>
      <c r="F286" s="120"/>
      <c r="H286" s="82" t="s">
        <v>1555</v>
      </c>
      <c r="J286" s="121"/>
      <c r="K286" s="121"/>
      <c r="L286" s="121">
        <v>2200000</v>
      </c>
      <c r="M286" s="121">
        <v>2200000</v>
      </c>
      <c r="N286" s="122">
        <f>+IF(Tableau330[[#This Row],[CODE TVA]]="",0,ROUND(Tableau330[[#This Row],[MONTANT HT]]*0.18*Tableau330[[#This Row],[PRORATA D]],1))</f>
        <v>0</v>
      </c>
      <c r="O286" s="122">
        <f>+IFERROR(Tableau330[[#This Row],[MONTANT HT]]+Tableau330[[#This Row],[TVA]],0)</f>
        <v>2200000</v>
      </c>
      <c r="P286" s="122"/>
      <c r="Q286" s="122"/>
      <c r="R286" s="122">
        <f>+Tableau330[[#This Row],[MONTANT TTC]]+Tableau330[[#This Row],[TIMBRE ]]+Tableau330[[#This Row],[AUTRES TAXES]]</f>
        <v>2200000</v>
      </c>
      <c r="S286" s="122">
        <v>2200000</v>
      </c>
      <c r="T286" s="122">
        <f>+ROUND(Tableau330[[#This Row],[NET A PAYER]],0)-Tableau330[[#This Row],[MONTANT PAYE]]</f>
        <v>0</v>
      </c>
      <c r="U286" s="122"/>
      <c r="V286" s="123">
        <f>+Tableau330[[#This Row],[DELAI_PAIEMENT]]+Tableau330[[#This Row],[DATE ]]</f>
        <v>45986</v>
      </c>
      <c r="X286" s="82" t="s">
        <v>1337</v>
      </c>
      <c r="Y286" s="82" t="s">
        <v>617</v>
      </c>
      <c r="Z286" s="120" t="s">
        <v>1640</v>
      </c>
    </row>
    <row r="287" spans="1:26">
      <c r="A287" s="83">
        <v>45986</v>
      </c>
      <c r="B287" s="83" t="str">
        <f>IF(ISBLANK(Tableau330[[#This Row],[DATE ]]),"",UPPER(PROPER(TEXT(Tableau330[[#This Row],[DATE ]],"mmmm yyyy"))))</f>
        <v>NOVEMBRE 2025</v>
      </c>
      <c r="C287" s="83" t="s">
        <v>1518</v>
      </c>
      <c r="D287" s="120" t="s">
        <v>1560</v>
      </c>
      <c r="E287" s="82" t="s">
        <v>1556</v>
      </c>
      <c r="F287" s="120"/>
      <c r="H287" s="82" t="s">
        <v>1557</v>
      </c>
      <c r="J287" s="121"/>
      <c r="K287" s="121"/>
      <c r="L287" s="121">
        <v>6210000</v>
      </c>
      <c r="M287" s="121">
        <v>6210000</v>
      </c>
      <c r="N287" s="122">
        <f>+IF(Tableau330[[#This Row],[CODE TVA]]="",0,ROUND(Tableau330[[#This Row],[MONTANT HT]]*0.18*Tableau330[[#This Row],[PRORATA D]],1))</f>
        <v>0</v>
      </c>
      <c r="O287" s="122">
        <f>+IFERROR(Tableau330[[#This Row],[MONTANT HT]]+Tableau330[[#This Row],[TVA]],0)</f>
        <v>6210000</v>
      </c>
      <c r="P287" s="122"/>
      <c r="Q287" s="122"/>
      <c r="R287" s="122">
        <f>+Tableau330[[#This Row],[MONTANT TTC]]+Tableau330[[#This Row],[TIMBRE ]]+Tableau330[[#This Row],[AUTRES TAXES]]</f>
        <v>6210000</v>
      </c>
      <c r="S287" s="122">
        <v>6210000</v>
      </c>
      <c r="T287" s="122">
        <f>+ROUND(Tableau330[[#This Row],[NET A PAYER]],0)-Tableau330[[#This Row],[MONTANT PAYE]]</f>
        <v>0</v>
      </c>
      <c r="U287" s="122"/>
      <c r="V287" s="123">
        <f>+Tableau330[[#This Row],[DELAI_PAIEMENT]]+Tableau330[[#This Row],[DATE ]]</f>
        <v>45986</v>
      </c>
      <c r="X287" s="82" t="s">
        <v>1337</v>
      </c>
      <c r="Y287" s="82" t="s">
        <v>617</v>
      </c>
      <c r="Z287" s="120" t="s">
        <v>1641</v>
      </c>
    </row>
    <row r="288" spans="1:26">
      <c r="A288" s="83">
        <v>45986</v>
      </c>
      <c r="B288" s="83" t="str">
        <f>IF(ISBLANK(Tableau330[[#This Row],[DATE ]]),"",UPPER(PROPER(TEXT(Tableau330[[#This Row],[DATE ]],"mmmm yyyy"))))</f>
        <v>NOVEMBRE 2025</v>
      </c>
      <c r="C288" s="83" t="s">
        <v>1518</v>
      </c>
      <c r="D288" s="120" t="s">
        <v>1558</v>
      </c>
      <c r="E288" s="82" t="s">
        <v>1554</v>
      </c>
      <c r="F288" s="120"/>
      <c r="H288" s="82" t="s">
        <v>1559</v>
      </c>
      <c r="J288" s="121"/>
      <c r="K288" s="121"/>
      <c r="L288" s="121">
        <v>1184610</v>
      </c>
      <c r="M288" s="121">
        <v>1184610</v>
      </c>
      <c r="N288" s="122">
        <f>+IF(Tableau330[[#This Row],[CODE TVA]]="",0,ROUND(Tableau330[[#This Row],[MONTANT HT]]*0.18*Tableau330[[#This Row],[PRORATA D]],1))</f>
        <v>0</v>
      </c>
      <c r="O288" s="122">
        <f>+IFERROR(Tableau330[[#This Row],[MONTANT HT]]+Tableau330[[#This Row],[TVA]],0)</f>
        <v>1184610</v>
      </c>
      <c r="P288" s="122"/>
      <c r="Q288" s="122"/>
      <c r="R288" s="122">
        <f>+Tableau330[[#This Row],[MONTANT TTC]]+Tableau330[[#This Row],[TIMBRE ]]+Tableau330[[#This Row],[AUTRES TAXES]]</f>
        <v>1184610</v>
      </c>
      <c r="S288" s="122">
        <v>1184610</v>
      </c>
      <c r="T288" s="122">
        <f>+ROUND(Tableau330[[#This Row],[NET A PAYER]],0)-Tableau330[[#This Row],[MONTANT PAYE]]</f>
        <v>0</v>
      </c>
      <c r="U288" s="122"/>
      <c r="V288" s="123">
        <f>+Tableau330[[#This Row],[DELAI_PAIEMENT]]+Tableau330[[#This Row],[DATE ]]</f>
        <v>45986</v>
      </c>
      <c r="X288" s="82" t="s">
        <v>1337</v>
      </c>
      <c r="Y288" s="82" t="s">
        <v>617</v>
      </c>
      <c r="Z288" s="120" t="s">
        <v>1640</v>
      </c>
    </row>
    <row r="289" spans="1:27">
      <c r="A289" s="83">
        <v>45986</v>
      </c>
      <c r="B289" s="83" t="str">
        <f>IF(ISBLANK(Tableau330[[#This Row],[DATE ]]),"",UPPER(PROPER(TEXT(Tableau330[[#This Row],[DATE ]],"mmmm yyyy"))))</f>
        <v>NOVEMBRE 2025</v>
      </c>
      <c r="C289" s="83" t="s">
        <v>1518</v>
      </c>
      <c r="D289" s="120" t="s">
        <v>1561</v>
      </c>
      <c r="E289" s="82" t="s">
        <v>84</v>
      </c>
      <c r="F289" s="120"/>
      <c r="H289" s="82" t="s">
        <v>1562</v>
      </c>
      <c r="J289" s="121"/>
      <c r="K289" s="121"/>
      <c r="L289" s="121">
        <v>800000</v>
      </c>
      <c r="M289" s="121">
        <v>800000</v>
      </c>
      <c r="N289" s="122">
        <f>+IF(Tableau330[[#This Row],[CODE TVA]]="",0,ROUND(Tableau330[[#This Row],[MONTANT HT]]*0.18*Tableau330[[#This Row],[PRORATA D]],1))</f>
        <v>0</v>
      </c>
      <c r="O289" s="122">
        <f>+IFERROR(Tableau330[[#This Row],[MONTANT HT]]+Tableau330[[#This Row],[TVA]],0)</f>
        <v>800000</v>
      </c>
      <c r="P289" s="122"/>
      <c r="Q289" s="122"/>
      <c r="R289" s="122">
        <f>+Tableau330[[#This Row],[MONTANT TTC]]+Tableau330[[#This Row],[TIMBRE ]]+Tableau330[[#This Row],[AUTRES TAXES]]</f>
        <v>800000</v>
      </c>
      <c r="S289" s="122">
        <f>505000+295000</f>
        <v>800000</v>
      </c>
      <c r="T289" s="122">
        <f>+ROUND(Tableau330[[#This Row],[NET A PAYER]],0)-Tableau330[[#This Row],[MONTANT PAYE]]</f>
        <v>0</v>
      </c>
      <c r="U289" s="122"/>
      <c r="V289" s="123">
        <f>+Tableau330[[#This Row],[DELAI_PAIEMENT]]+Tableau330[[#This Row],[DATE ]]</f>
        <v>45986</v>
      </c>
      <c r="X289" s="82" t="s">
        <v>1337</v>
      </c>
      <c r="Y289" s="82" t="s">
        <v>623</v>
      </c>
      <c r="Z289" s="120" t="s">
        <v>1582</v>
      </c>
    </row>
    <row r="290" spans="1:27">
      <c r="A290" s="83">
        <v>45986</v>
      </c>
      <c r="B290" s="83" t="str">
        <f>IF(ISBLANK(Tableau330[[#This Row],[DATE ]]),"",UPPER(PROPER(TEXT(Tableau330[[#This Row],[DATE ]],"mmmm yyyy"))))</f>
        <v>NOVEMBRE 2025</v>
      </c>
      <c r="C290" s="83" t="s">
        <v>1518</v>
      </c>
      <c r="D290" s="120" t="s">
        <v>1563</v>
      </c>
      <c r="E290" s="82" t="s">
        <v>1564</v>
      </c>
      <c r="F290" s="120"/>
      <c r="H290" s="82" t="s">
        <v>1565</v>
      </c>
      <c r="J290" s="121"/>
      <c r="K290" s="121"/>
      <c r="L290" s="121">
        <v>500000</v>
      </c>
      <c r="M290" s="122">
        <v>500000</v>
      </c>
      <c r="N290" s="122">
        <f>+IF(Tableau330[[#This Row],[CODE TVA]]="",0,ROUND(Tableau330[[#This Row],[MONTANT HT]]*0.18*Tableau330[[#This Row],[PRORATA D]],1))</f>
        <v>0</v>
      </c>
      <c r="O290" s="122">
        <f>+IFERROR(Tableau330[[#This Row],[MONTANT HT]]+Tableau330[[#This Row],[TVA]],0)</f>
        <v>500000</v>
      </c>
      <c r="P290" s="122"/>
      <c r="Q290" s="122"/>
      <c r="R290" s="122">
        <f>+Tableau330[[#This Row],[MONTANT TTC]]+Tableau330[[#This Row],[TIMBRE ]]+Tableau330[[#This Row],[AUTRES TAXES]]</f>
        <v>500000</v>
      </c>
      <c r="S290" s="122">
        <v>500000</v>
      </c>
      <c r="T290" s="122">
        <f>+ROUND(Tableau330[[#This Row],[NET A PAYER]],0)-Tableau330[[#This Row],[MONTANT PAYE]]</f>
        <v>0</v>
      </c>
      <c r="U290" s="122"/>
      <c r="V290" s="123">
        <f>+Tableau330[[#This Row],[DELAI_PAIEMENT]]+Tableau330[[#This Row],[DATE ]]</f>
        <v>45986</v>
      </c>
      <c r="X290" s="82" t="s">
        <v>1337</v>
      </c>
      <c r="Y290" s="82" t="s">
        <v>623</v>
      </c>
      <c r="Z290" s="120" t="s">
        <v>1582</v>
      </c>
    </row>
    <row r="291" spans="1:27">
      <c r="A291" s="83">
        <v>45986</v>
      </c>
      <c r="B291" s="83" t="str">
        <f>IF(ISBLANK(Tableau330[[#This Row],[DATE ]]),"",UPPER(PROPER(TEXT(Tableau330[[#This Row],[DATE ]],"mmmm yyyy"))))</f>
        <v>NOVEMBRE 2025</v>
      </c>
      <c r="C291" s="83" t="s">
        <v>836</v>
      </c>
      <c r="D291" s="120" t="s">
        <v>1572</v>
      </c>
      <c r="E291" s="82" t="s">
        <v>1470</v>
      </c>
      <c r="F291" s="120" t="s">
        <v>1471</v>
      </c>
      <c r="H291" s="82" t="s">
        <v>1573</v>
      </c>
      <c r="J291" s="121"/>
      <c r="K291" s="121">
        <v>128000</v>
      </c>
      <c r="L291" s="121"/>
      <c r="M291" s="122">
        <v>128000</v>
      </c>
      <c r="N291" s="122">
        <f>+IF(Tableau330[[#This Row],[CODE TVA]]="",0,ROUND(Tableau330[[#This Row],[MONTANT HT]]*0.18*Tableau330[[#This Row],[PRORATA D]],1))</f>
        <v>0</v>
      </c>
      <c r="O291" s="122">
        <f>+IFERROR(Tableau330[[#This Row],[MONTANT HT]]+Tableau330[[#This Row],[TVA]],0)</f>
        <v>128000</v>
      </c>
      <c r="P291" s="122"/>
      <c r="Q291" s="122"/>
      <c r="R291" s="122">
        <f>+Tableau330[[#This Row],[MONTANT TTC]]+Tableau330[[#This Row],[TIMBRE ]]+Tableau330[[#This Row],[AUTRES TAXES]]</f>
        <v>128000</v>
      </c>
      <c r="S291" s="122">
        <v>128000</v>
      </c>
      <c r="T291" s="122">
        <f>+ROUND(Tableau330[[#This Row],[NET A PAYER]],0)-Tableau330[[#This Row],[MONTANT PAYE]]</f>
        <v>0</v>
      </c>
      <c r="U291" s="122"/>
      <c r="V291" s="123">
        <f>+Tableau330[[#This Row],[DELAI_PAIEMENT]]+Tableau330[[#This Row],[DATE ]]</f>
        <v>45986</v>
      </c>
      <c r="Y291" s="82" t="s">
        <v>623</v>
      </c>
      <c r="Z291" s="120" t="s">
        <v>1451</v>
      </c>
    </row>
    <row r="292" spans="1:27">
      <c r="A292" s="83">
        <v>45986</v>
      </c>
      <c r="B292" s="83" t="str">
        <f>IF(ISBLANK(Tableau330[[#This Row],[DATE ]]),"",UPPER(PROPER(TEXT(Tableau330[[#This Row],[DATE ]],"mmmm yyyy"))))</f>
        <v>NOVEMBRE 2025</v>
      </c>
      <c r="C292" s="83" t="s">
        <v>836</v>
      </c>
      <c r="D292" s="120" t="s">
        <v>1574</v>
      </c>
      <c r="E292" s="82" t="s">
        <v>1470</v>
      </c>
      <c r="F292" s="120" t="s">
        <v>1471</v>
      </c>
      <c r="H292" s="82" t="s">
        <v>1573</v>
      </c>
      <c r="J292" s="121"/>
      <c r="K292" s="121">
        <v>128000</v>
      </c>
      <c r="L292" s="121"/>
      <c r="M292" s="122">
        <v>128000</v>
      </c>
      <c r="N292" s="122">
        <f>+IF(Tableau330[[#This Row],[CODE TVA]]="",0,ROUND(Tableau330[[#This Row],[MONTANT HT]]*0.18*Tableau330[[#This Row],[PRORATA D]],1))</f>
        <v>0</v>
      </c>
      <c r="O292" s="122">
        <f>+IFERROR(Tableau330[[#This Row],[MONTANT HT]]+Tableau330[[#This Row],[TVA]],0)</f>
        <v>128000</v>
      </c>
      <c r="P292" s="122"/>
      <c r="Q292" s="122"/>
      <c r="R292" s="122">
        <f>+Tableau330[[#This Row],[MONTANT TTC]]+Tableau330[[#This Row],[TIMBRE ]]+Tableau330[[#This Row],[AUTRES TAXES]]</f>
        <v>128000</v>
      </c>
      <c r="S292" s="122">
        <v>128000</v>
      </c>
      <c r="T292" s="122">
        <f>+ROUND(Tableau330[[#This Row],[NET A PAYER]],0)-Tableau330[[#This Row],[MONTANT PAYE]]</f>
        <v>0</v>
      </c>
      <c r="U292" s="122"/>
      <c r="V292" s="123">
        <f>+Tableau330[[#This Row],[DELAI_PAIEMENT]]+Tableau330[[#This Row],[DATE ]]</f>
        <v>45986</v>
      </c>
      <c r="Y292" s="82" t="s">
        <v>623</v>
      </c>
      <c r="Z292" s="120" t="s">
        <v>1451</v>
      </c>
    </row>
    <row r="293" spans="1:27">
      <c r="A293" s="83">
        <v>45986</v>
      </c>
      <c r="B293" s="83" t="str">
        <f>IF(ISBLANK(Tableau330[[#This Row],[DATE ]]),"",UPPER(PROPER(TEXT(Tableau330[[#This Row],[DATE ]],"mmmm yyyy"))))</f>
        <v>NOVEMBRE 2025</v>
      </c>
      <c r="C293" s="83" t="s">
        <v>824</v>
      </c>
      <c r="D293" s="120" t="s">
        <v>1575</v>
      </c>
      <c r="E293" s="82" t="s">
        <v>832</v>
      </c>
      <c r="F293" s="120" t="s">
        <v>833</v>
      </c>
      <c r="H293" s="82" t="s">
        <v>1576</v>
      </c>
      <c r="J293" s="121"/>
      <c r="K293" s="121">
        <v>7075</v>
      </c>
      <c r="L293" s="121"/>
      <c r="M293" s="122">
        <v>7075</v>
      </c>
      <c r="N293" s="122">
        <f>+IF(Tableau330[[#This Row],[CODE TVA]]="",0,ROUND(Tableau330[[#This Row],[MONTANT HT]]*0.18*Tableau330[[#This Row],[PRORATA D]],1))</f>
        <v>0</v>
      </c>
      <c r="O293" s="122">
        <f>+IFERROR(Tableau330[[#This Row],[MONTANT HT]]+Tableau330[[#This Row],[TVA]],0)</f>
        <v>7075</v>
      </c>
      <c r="P293" s="122"/>
      <c r="Q293" s="122"/>
      <c r="R293" s="122">
        <f>+Tableau330[[#This Row],[MONTANT TTC]]+Tableau330[[#This Row],[TIMBRE ]]+Tableau330[[#This Row],[AUTRES TAXES]]</f>
        <v>7075</v>
      </c>
      <c r="S293" s="122">
        <v>7075</v>
      </c>
      <c r="T293" s="122">
        <f>+ROUND(Tableau330[[#This Row],[NET A PAYER]],0)-Tableau330[[#This Row],[MONTANT PAYE]]</f>
        <v>0</v>
      </c>
      <c r="U293" s="122"/>
      <c r="V293" s="123">
        <f>+Tableau330[[#This Row],[DELAI_PAIEMENT]]+Tableau330[[#This Row],[DATE ]]</f>
        <v>45986</v>
      </c>
      <c r="Y293" s="82" t="s">
        <v>623</v>
      </c>
      <c r="Z293" s="120" t="s">
        <v>1451</v>
      </c>
    </row>
    <row r="294" spans="1:27">
      <c r="A294" s="83">
        <v>45987</v>
      </c>
      <c r="B294" s="83" t="str">
        <f>IF(ISBLANK(Tableau330[[#This Row],[DATE ]]),"",UPPER(PROPER(TEXT(Tableau330[[#This Row],[DATE ]],"mmmm yyyy"))))</f>
        <v>NOVEMBRE 2025</v>
      </c>
      <c r="C294" s="83" t="s">
        <v>824</v>
      </c>
      <c r="D294" s="120" t="s">
        <v>1615</v>
      </c>
      <c r="E294" s="82" t="s">
        <v>1616</v>
      </c>
      <c r="F294" s="143" t="s">
        <v>1619</v>
      </c>
      <c r="H294" s="82" t="s">
        <v>1617</v>
      </c>
      <c r="J294" s="121"/>
      <c r="K294" s="121">
        <v>80000</v>
      </c>
      <c r="L294" s="121"/>
      <c r="M294" s="122">
        <v>80000</v>
      </c>
      <c r="N294" s="122">
        <f>+IF(Tableau330[[#This Row],[CODE TVA]]="",0,ROUND(Tableau330[[#This Row],[MONTANT HT]]*0.18*Tableau330[[#This Row],[PRORATA D]],1))</f>
        <v>0</v>
      </c>
      <c r="O294" s="122">
        <f>+IFERROR(Tableau330[[#This Row],[MONTANT HT]]+Tableau330[[#This Row],[TVA]],0)</f>
        <v>80000</v>
      </c>
      <c r="P294" s="122"/>
      <c r="Q294" s="122"/>
      <c r="R294" s="122">
        <f>+Tableau330[[#This Row],[MONTANT TTC]]+Tableau330[[#This Row],[TIMBRE ]]+Tableau330[[#This Row],[AUTRES TAXES]]</f>
        <v>80000</v>
      </c>
      <c r="S294" s="122">
        <v>80000</v>
      </c>
      <c r="T294" s="122">
        <f>+ROUND(Tableau330[[#This Row],[NET A PAYER]],0)-Tableau330[[#This Row],[MONTANT PAYE]]</f>
        <v>0</v>
      </c>
      <c r="U294" s="122"/>
      <c r="V294" s="123">
        <f>+Tableau330[[#This Row],[DELAI_PAIEMENT]]+Tableau330[[#This Row],[DATE ]]</f>
        <v>45987</v>
      </c>
      <c r="Y294" s="82" t="s">
        <v>623</v>
      </c>
      <c r="Z294" s="120" t="s">
        <v>1451</v>
      </c>
    </row>
    <row r="295" spans="1:27">
      <c r="A295" s="83">
        <v>45988</v>
      </c>
      <c r="B295" s="83" t="str">
        <f>IF(ISBLANK(Tableau330[[#This Row],[DATE ]]),"",UPPER(PROPER(TEXT(Tableau330[[#This Row],[DATE ]],"mmmm yyyy"))))</f>
        <v>NOVEMBRE 2025</v>
      </c>
      <c r="C295" s="83" t="s">
        <v>836</v>
      </c>
      <c r="D295" s="120" t="s">
        <v>1600</v>
      </c>
      <c r="E295" s="82" t="s">
        <v>1601</v>
      </c>
      <c r="F295" s="120"/>
      <c r="H295" s="82" t="s">
        <v>1602</v>
      </c>
      <c r="J295" s="121"/>
      <c r="K295" s="121">
        <v>160000</v>
      </c>
      <c r="L295" s="121"/>
      <c r="M295" s="122">
        <v>160000</v>
      </c>
      <c r="N295" s="122">
        <f>+IF(Tableau330[[#This Row],[CODE TVA]]="",0,ROUND(Tableau330[[#This Row],[MONTANT HT]]*0.18*Tableau330[[#This Row],[PRORATA D]],1))</f>
        <v>0</v>
      </c>
      <c r="O295" s="122">
        <f>+IFERROR(Tableau330[[#This Row],[MONTANT HT]]+Tableau330[[#This Row],[TVA]],0)</f>
        <v>160000</v>
      </c>
      <c r="P295" s="122"/>
      <c r="Q295" s="122"/>
      <c r="R295" s="122">
        <f>+Tableau330[[#This Row],[MONTANT TTC]]+Tableau330[[#This Row],[TIMBRE ]]+Tableau330[[#This Row],[AUTRES TAXES]]</f>
        <v>160000</v>
      </c>
      <c r="S295" s="122">
        <v>160000</v>
      </c>
      <c r="T295" s="122">
        <f>+ROUND(Tableau330[[#This Row],[NET A PAYER]],0)-Tableau330[[#This Row],[MONTANT PAYE]]</f>
        <v>0</v>
      </c>
      <c r="U295" s="122"/>
      <c r="V295" s="123">
        <f>+Tableau330[[#This Row],[DELAI_PAIEMENT]]+Tableau330[[#This Row],[DATE ]]</f>
        <v>45988</v>
      </c>
      <c r="Y295" s="82" t="s">
        <v>623</v>
      </c>
      <c r="Z295" s="120" t="s">
        <v>1451</v>
      </c>
    </row>
    <row r="296" spans="1:27">
      <c r="A296" s="83">
        <v>45988</v>
      </c>
      <c r="B296" s="83" t="str">
        <f>IF(ISBLANK(Tableau330[[#This Row],[DATE ]]),"",UPPER(PROPER(TEXT(Tableau330[[#This Row],[DATE ]],"mmmm yyyy"))))</f>
        <v>NOVEMBRE 2025</v>
      </c>
      <c r="C296" s="83" t="s">
        <v>824</v>
      </c>
      <c r="D296" s="120" t="s">
        <v>1603</v>
      </c>
      <c r="E296" s="82" t="s">
        <v>1235</v>
      </c>
      <c r="F296" s="120" t="s">
        <v>1236</v>
      </c>
      <c r="H296" s="82" t="s">
        <v>1604</v>
      </c>
      <c r="J296" s="121"/>
      <c r="K296" s="121">
        <v>30000</v>
      </c>
      <c r="L296" s="121"/>
      <c r="M296" s="122">
        <v>30000</v>
      </c>
      <c r="N296" s="122">
        <f>+IF(Tableau330[[#This Row],[CODE TVA]]="",0,ROUND(Tableau330[[#This Row],[MONTANT HT]]*0.18*Tableau330[[#This Row],[PRORATA D]],1))</f>
        <v>0</v>
      </c>
      <c r="O296" s="122">
        <f>+IFERROR(Tableau330[[#This Row],[MONTANT HT]]+Tableau330[[#This Row],[TVA]],0)</f>
        <v>30000</v>
      </c>
      <c r="P296" s="122"/>
      <c r="Q296" s="122"/>
      <c r="R296" s="122">
        <f>+Tableau330[[#This Row],[MONTANT TTC]]+Tableau330[[#This Row],[TIMBRE ]]+Tableau330[[#This Row],[AUTRES TAXES]]</f>
        <v>30000</v>
      </c>
      <c r="S296" s="122">
        <v>30000</v>
      </c>
      <c r="T296" s="122">
        <f>+ROUND(Tableau330[[#This Row],[NET A PAYER]],0)-Tableau330[[#This Row],[MONTANT PAYE]]</f>
        <v>0</v>
      </c>
      <c r="U296" s="122"/>
      <c r="V296" s="123">
        <f>+Tableau330[[#This Row],[DELAI_PAIEMENT]]+Tableau330[[#This Row],[DATE ]]</f>
        <v>45988</v>
      </c>
      <c r="Y296" s="82" t="s">
        <v>623</v>
      </c>
      <c r="Z296" s="120" t="s">
        <v>1451</v>
      </c>
    </row>
    <row r="297" spans="1:27">
      <c r="A297" s="83">
        <v>45989</v>
      </c>
      <c r="B297" s="83" t="str">
        <f>IF(ISBLANK(Tableau330[[#This Row],[DATE ]]),"",UPPER(PROPER(TEXT(Tableau330[[#This Row],[DATE ]],"mmmm yyyy"))))</f>
        <v>NOVEMBRE 2025</v>
      </c>
      <c r="C297" s="83" t="s">
        <v>836</v>
      </c>
      <c r="D297" s="120" t="s">
        <v>1605</v>
      </c>
      <c r="E297" s="82" t="s">
        <v>1606</v>
      </c>
      <c r="F297" s="120"/>
      <c r="H297" s="82" t="s">
        <v>1607</v>
      </c>
      <c r="J297" s="121"/>
      <c r="K297" s="121">
        <v>10000</v>
      </c>
      <c r="L297" s="121"/>
      <c r="M297" s="122">
        <v>10000</v>
      </c>
      <c r="N297" s="122">
        <f>+IF(Tableau330[[#This Row],[CODE TVA]]="",0,ROUND(Tableau330[[#This Row],[MONTANT HT]]*0.18*Tableau330[[#This Row],[PRORATA D]],1))</f>
        <v>0</v>
      </c>
      <c r="O297" s="122">
        <f>+IFERROR(Tableau330[[#This Row],[MONTANT HT]]+Tableau330[[#This Row],[TVA]],0)</f>
        <v>10000</v>
      </c>
      <c r="P297" s="122"/>
      <c r="Q297" s="122"/>
      <c r="R297" s="122">
        <f>+Tableau330[[#This Row],[MONTANT TTC]]+Tableau330[[#This Row],[TIMBRE ]]+Tableau330[[#This Row],[AUTRES TAXES]]</f>
        <v>10000</v>
      </c>
      <c r="S297" s="122">
        <v>10000</v>
      </c>
      <c r="T297" s="122">
        <f>+ROUND(Tableau330[[#This Row],[NET A PAYER]],0)-Tableau330[[#This Row],[MONTANT PAYE]]</f>
        <v>0</v>
      </c>
      <c r="U297" s="122"/>
      <c r="V297" s="123">
        <f>+Tableau330[[#This Row],[DELAI_PAIEMENT]]+Tableau330[[#This Row],[DATE ]]</f>
        <v>45989</v>
      </c>
      <c r="Y297" s="82" t="s">
        <v>623</v>
      </c>
      <c r="Z297" s="120" t="s">
        <v>1451</v>
      </c>
    </row>
    <row r="298" spans="1:27">
      <c r="A298" s="83">
        <v>45989</v>
      </c>
      <c r="B298" s="83" t="str">
        <f>IF(ISBLANK(Tableau330[[#This Row],[DATE ]]),"",UPPER(PROPER(TEXT(Tableau330[[#This Row],[DATE ]],"mmmm yyyy"))))</f>
        <v>NOVEMBRE 2025</v>
      </c>
      <c r="C298" s="83" t="s">
        <v>1187</v>
      </c>
      <c r="D298" s="120" t="s">
        <v>1608</v>
      </c>
      <c r="E298" s="82" t="s">
        <v>1609</v>
      </c>
      <c r="F298" s="120"/>
      <c r="H298" s="82" t="s">
        <v>1610</v>
      </c>
      <c r="J298" s="121"/>
      <c r="K298" s="121">
        <v>40000</v>
      </c>
      <c r="L298" s="121"/>
      <c r="M298" s="122">
        <v>40000</v>
      </c>
      <c r="N298" s="122">
        <f>+IF(Tableau330[[#This Row],[CODE TVA]]="",0,ROUND(Tableau330[[#This Row],[MONTANT HT]]*0.18*Tableau330[[#This Row],[PRORATA D]],1))</f>
        <v>0</v>
      </c>
      <c r="O298" s="122">
        <f>+IFERROR(Tableau330[[#This Row],[MONTANT HT]]+Tableau330[[#This Row],[TVA]],0)</f>
        <v>40000</v>
      </c>
      <c r="P298" s="122"/>
      <c r="Q298" s="122"/>
      <c r="R298" s="122">
        <f>+Tableau330[[#This Row],[MONTANT TTC]]+Tableau330[[#This Row],[TIMBRE ]]+Tableau330[[#This Row],[AUTRES TAXES]]</f>
        <v>40000</v>
      </c>
      <c r="S298" s="122">
        <v>40000</v>
      </c>
      <c r="T298" s="122">
        <f>+ROUND(Tableau330[[#This Row],[NET A PAYER]],0)-Tableau330[[#This Row],[MONTANT PAYE]]</f>
        <v>0</v>
      </c>
      <c r="U298" s="122"/>
      <c r="V298" s="123">
        <f>+Tableau330[[#This Row],[DELAI_PAIEMENT]]+Tableau330[[#This Row],[DATE ]]</f>
        <v>45989</v>
      </c>
      <c r="Y298" s="82" t="s">
        <v>623</v>
      </c>
      <c r="Z298" s="120" t="s">
        <v>1451</v>
      </c>
    </row>
    <row r="299" spans="1:27">
      <c r="A299" s="83">
        <v>45992</v>
      </c>
      <c r="B299" s="83" t="str">
        <f>IF(ISBLANK(Tableau330[[#This Row],[DATE ]]),"",UPPER(PROPER(TEXT(Tableau330[[#This Row],[DATE ]],"mmmm yyyy"))))</f>
        <v>DÉCEMBRE 2025</v>
      </c>
      <c r="C299" s="83" t="s">
        <v>824</v>
      </c>
      <c r="D299" s="120" t="s">
        <v>1621</v>
      </c>
      <c r="E299" s="82" t="s">
        <v>1622</v>
      </c>
      <c r="F299" s="120" t="s">
        <v>833</v>
      </c>
      <c r="H299" s="82" t="s">
        <v>1623</v>
      </c>
      <c r="J299" s="121"/>
      <c r="K299" s="121">
        <v>9000</v>
      </c>
      <c r="L299" s="121"/>
      <c r="M299" s="122">
        <v>9000</v>
      </c>
      <c r="N299" s="122">
        <f>+IF(Tableau330[[#This Row],[CODE TVA]]="",0,ROUND(Tableau330[[#This Row],[MONTANT HT]]*0.18*Tableau330[[#This Row],[PRORATA D]],1))</f>
        <v>0</v>
      </c>
      <c r="O299" s="122">
        <f>+IFERROR(Tableau330[[#This Row],[MONTANT HT]]+Tableau330[[#This Row],[TVA]],0)</f>
        <v>9000</v>
      </c>
      <c r="P299" s="122"/>
      <c r="Q299" s="122"/>
      <c r="R299" s="122">
        <f>+Tableau330[[#This Row],[MONTANT TTC]]+Tableau330[[#This Row],[TIMBRE ]]+Tableau330[[#This Row],[AUTRES TAXES]]</f>
        <v>9000</v>
      </c>
      <c r="S299" s="122">
        <v>9000</v>
      </c>
      <c r="T299" s="122">
        <f>+ROUND(Tableau330[[#This Row],[NET A PAYER]],0)-Tableau330[[#This Row],[MONTANT PAYE]]</f>
        <v>0</v>
      </c>
      <c r="U299" s="122"/>
      <c r="V299" s="123">
        <f>+Tableau330[[#This Row],[DELAI_PAIEMENT]]+Tableau330[[#This Row],[DATE ]]</f>
        <v>45992</v>
      </c>
      <c r="Y299" s="82" t="s">
        <v>623</v>
      </c>
      <c r="Z299" s="120" t="s">
        <v>1451</v>
      </c>
    </row>
    <row r="300" spans="1:27">
      <c r="A300" s="83">
        <v>45992</v>
      </c>
      <c r="B300" s="83" t="str">
        <f>IF(ISBLANK(Tableau330[[#This Row],[DATE ]]),"",UPPER(PROPER(TEXT(Tableau330[[#This Row],[DATE ]],"mmmm yyyy"))))</f>
        <v>DÉCEMBRE 2025</v>
      </c>
      <c r="C300" s="83" t="s">
        <v>824</v>
      </c>
      <c r="D300" s="120" t="s">
        <v>1624</v>
      </c>
      <c r="E300" s="82" t="s">
        <v>937</v>
      </c>
      <c r="F300" s="120" t="s">
        <v>938</v>
      </c>
      <c r="H300" s="82" t="s">
        <v>1625</v>
      </c>
      <c r="J300" s="121"/>
      <c r="K300" s="121">
        <v>104000</v>
      </c>
      <c r="L300" s="121"/>
      <c r="M300" s="122">
        <v>104000</v>
      </c>
      <c r="N300" s="122">
        <f>+IF(Tableau330[[#This Row],[CODE TVA]]="",0,ROUND(Tableau330[[#This Row],[MONTANT HT]]*0.18*Tableau330[[#This Row],[PRORATA D]],1))</f>
        <v>0</v>
      </c>
      <c r="O300" s="122">
        <f>+IFERROR(Tableau330[[#This Row],[MONTANT HT]]+Tableau330[[#This Row],[TVA]],0)</f>
        <v>104000</v>
      </c>
      <c r="P300" s="122"/>
      <c r="Q300" s="122"/>
      <c r="R300" s="122">
        <f>+Tableau330[[#This Row],[MONTANT TTC]]+Tableau330[[#This Row],[TIMBRE ]]+Tableau330[[#This Row],[AUTRES TAXES]]</f>
        <v>104000</v>
      </c>
      <c r="S300" s="122">
        <v>104000</v>
      </c>
      <c r="T300" s="122">
        <f>+ROUND(Tableau330[[#This Row],[NET A PAYER]],0)-Tableau330[[#This Row],[MONTANT PAYE]]</f>
        <v>0</v>
      </c>
      <c r="U300" s="122"/>
      <c r="V300" s="123">
        <f>+Tableau330[[#This Row],[DELAI_PAIEMENT]]+Tableau330[[#This Row],[DATE ]]</f>
        <v>45992</v>
      </c>
      <c r="Y300" s="82" t="s">
        <v>623</v>
      </c>
      <c r="Z300" s="120" t="s">
        <v>1451</v>
      </c>
    </row>
    <row r="301" spans="1:27">
      <c r="A301" s="83">
        <v>45992</v>
      </c>
      <c r="B301" s="83" t="str">
        <f>IF(ISBLANK(Tableau330[[#This Row],[DATE ]]),"",UPPER(PROPER(TEXT(Tableau330[[#This Row],[DATE ]],"mmmm yyyy"))))</f>
        <v>DÉCEMBRE 2025</v>
      </c>
      <c r="C301" s="83" t="s">
        <v>824</v>
      </c>
      <c r="D301" s="120" t="s">
        <v>1632</v>
      </c>
      <c r="E301" s="82" t="s">
        <v>1265</v>
      </c>
      <c r="F301" s="120" t="s">
        <v>1266</v>
      </c>
      <c r="H301" s="82" t="s">
        <v>1633</v>
      </c>
      <c r="I301" s="82" t="s">
        <v>12</v>
      </c>
      <c r="J301" s="121">
        <v>1</v>
      </c>
      <c r="K301" s="121">
        <v>25424</v>
      </c>
      <c r="L301" s="121"/>
      <c r="M301" s="122">
        <v>25424</v>
      </c>
      <c r="N301" s="122">
        <f>+IF(Tableau330[[#This Row],[CODE TVA]]="",0,ROUND(Tableau330[[#This Row],[MONTANT HT]]*0.18*Tableau330[[#This Row],[PRORATA D]],1))</f>
        <v>4576.3</v>
      </c>
      <c r="O301" s="122">
        <f>+IFERROR(Tableau330[[#This Row],[MONTANT HT]]+Tableau330[[#This Row],[TVA]],0)</f>
        <v>30000.3</v>
      </c>
      <c r="P301" s="122"/>
      <c r="Q301" s="122"/>
      <c r="R301" s="122">
        <f>+Tableau330[[#This Row],[MONTANT TTC]]+Tableau330[[#This Row],[TIMBRE ]]+Tableau330[[#This Row],[AUTRES TAXES]]</f>
        <v>30000.3</v>
      </c>
      <c r="S301" s="122">
        <v>30000</v>
      </c>
      <c r="T301" s="122">
        <f>+ROUND(Tableau330[[#This Row],[NET A PAYER]],0)-Tableau330[[#This Row],[MONTANT PAYE]]</f>
        <v>0</v>
      </c>
      <c r="U301" s="122"/>
      <c r="V301" s="123">
        <f>+Tableau330[[#This Row],[DELAI_PAIEMENT]]+Tableau330[[#This Row],[DATE ]]</f>
        <v>45992</v>
      </c>
      <c r="Y301" s="82" t="s">
        <v>623</v>
      </c>
      <c r="Z301" s="120" t="s">
        <v>1451</v>
      </c>
    </row>
    <row r="302" spans="1:27">
      <c r="A302" s="83">
        <v>45993</v>
      </c>
      <c r="B302" s="83" t="str">
        <f>IF(ISBLANK(Tableau330[[#This Row],[DATE ]]),"",UPPER(PROPER(TEXT(Tableau330[[#This Row],[DATE ]],"mmmm yyyy"))))</f>
        <v>DÉCEMBRE 2025</v>
      </c>
      <c r="C302" s="83" t="s">
        <v>824</v>
      </c>
      <c r="D302" s="120" t="s">
        <v>1577</v>
      </c>
      <c r="E302" s="82" t="s">
        <v>1446</v>
      </c>
      <c r="F302" s="120" t="s">
        <v>1447</v>
      </c>
      <c r="H302" s="82" t="s">
        <v>1578</v>
      </c>
      <c r="J302" s="121"/>
      <c r="K302" s="121">
        <v>4304500</v>
      </c>
      <c r="L302" s="121"/>
      <c r="M302" s="122">
        <v>4304500</v>
      </c>
      <c r="N302" s="122">
        <f>+IF(Tableau330[[#This Row],[CODE TVA]]="",0,ROUND(Tableau330[[#This Row],[MONTANT HT]]*0.18*Tableau330[[#This Row],[PRORATA D]],1))</f>
        <v>0</v>
      </c>
      <c r="O302" s="122">
        <f>+IFERROR(Tableau330[[#This Row],[MONTANT HT]]+Tableau330[[#This Row],[TVA]],0)</f>
        <v>4304500</v>
      </c>
      <c r="P302" s="122"/>
      <c r="Q302" s="122"/>
      <c r="R302" s="122">
        <f>+Tableau330[[#This Row],[MONTANT TTC]]+Tableau330[[#This Row],[TIMBRE ]]+Tableau330[[#This Row],[AUTRES TAXES]]</f>
        <v>4304500</v>
      </c>
      <c r="S302" s="122">
        <f>1628500+2676000</f>
        <v>4304500</v>
      </c>
      <c r="T302" s="122">
        <f>+ROUND(Tableau330[[#This Row],[NET A PAYER]],0)-Tableau330[[#This Row],[MONTANT PAYE]]</f>
        <v>0</v>
      </c>
      <c r="U302" s="122">
        <v>7</v>
      </c>
      <c r="V302" s="123">
        <f>+Tableau330[[#This Row],[DELAI_PAIEMENT]]+Tableau330[[#This Row],[DATE ]]</f>
        <v>46000</v>
      </c>
      <c r="X302" s="82" t="s">
        <v>1337</v>
      </c>
      <c r="Y302" s="82" t="s">
        <v>1579</v>
      </c>
      <c r="Z302" s="120" t="s">
        <v>1684</v>
      </c>
      <c r="AA302" s="82" t="s">
        <v>1685</v>
      </c>
    </row>
    <row r="303" spans="1:27">
      <c r="A303" s="83">
        <v>45993</v>
      </c>
      <c r="B303" s="83" t="str">
        <f>IF(ISBLANK(Tableau330[[#This Row],[DATE ]]),"",UPPER(PROPER(TEXT(Tableau330[[#This Row],[DATE ]],"mmmm yyyy"))))</f>
        <v>DÉCEMBRE 2025</v>
      </c>
      <c r="C303" s="83" t="s">
        <v>824</v>
      </c>
      <c r="D303" s="120" t="s">
        <v>1590</v>
      </c>
      <c r="E303" s="82" t="s">
        <v>1265</v>
      </c>
      <c r="F303" s="120" t="s">
        <v>1266</v>
      </c>
      <c r="H303" s="82" t="s">
        <v>1591</v>
      </c>
      <c r="I303" s="82" t="s">
        <v>12</v>
      </c>
      <c r="J303" s="121">
        <v>1</v>
      </c>
      <c r="K303" s="121">
        <v>42373</v>
      </c>
      <c r="L303" s="121"/>
      <c r="M303" s="122">
        <v>42373</v>
      </c>
      <c r="N303" s="122">
        <f>+IF(Tableau330[[#This Row],[CODE TVA]]="",0,ROUND(Tableau330[[#This Row],[MONTANT HT]]*0.18*Tableau330[[#This Row],[PRORATA D]],1))</f>
        <v>7627.1</v>
      </c>
      <c r="O303" s="122">
        <f>+IFERROR(Tableau330[[#This Row],[MONTANT HT]]+Tableau330[[#This Row],[TVA]],0)</f>
        <v>50000.1</v>
      </c>
      <c r="P303" s="122"/>
      <c r="Q303" s="122"/>
      <c r="R303" s="122">
        <f>+Tableau330[[#This Row],[MONTANT TTC]]+Tableau330[[#This Row],[TIMBRE ]]+Tableau330[[#This Row],[AUTRES TAXES]]</f>
        <v>50000.1</v>
      </c>
      <c r="S303" s="122">
        <v>50000</v>
      </c>
      <c r="T303" s="122">
        <f>+ROUND(Tableau330[[#This Row],[NET A PAYER]],0)-Tableau330[[#This Row],[MONTANT PAYE]]</f>
        <v>0</v>
      </c>
      <c r="U303" s="122"/>
      <c r="V303" s="123">
        <f>+Tableau330[[#This Row],[DELAI_PAIEMENT]]+Tableau330[[#This Row],[DATE ]]</f>
        <v>45993</v>
      </c>
      <c r="Y303" s="82" t="s">
        <v>623</v>
      </c>
      <c r="Z303" s="120" t="s">
        <v>1582</v>
      </c>
    </row>
    <row r="304" spans="1:27">
      <c r="A304" s="83">
        <v>45994</v>
      </c>
      <c r="B304" s="83" t="str">
        <f>IF(ISBLANK(Tableau330[[#This Row],[DATE ]]),"",UPPER(PROPER(TEXT(Tableau330[[#This Row],[DATE ]],"mmmm yyyy"))))</f>
        <v>DÉCEMBRE 2025</v>
      </c>
      <c r="C304" s="83" t="s">
        <v>824</v>
      </c>
      <c r="D304" s="120" t="s">
        <v>1581</v>
      </c>
      <c r="E304" s="82" t="s">
        <v>863</v>
      </c>
      <c r="F304" s="120" t="s">
        <v>864</v>
      </c>
      <c r="H304" s="82" t="s">
        <v>1416</v>
      </c>
      <c r="J304" s="121"/>
      <c r="K304" s="121">
        <v>61500</v>
      </c>
      <c r="L304" s="121"/>
      <c r="M304" s="122">
        <v>61500</v>
      </c>
      <c r="N304" s="122">
        <f>+IF(Tableau330[[#This Row],[CODE TVA]]="",0,ROUND(Tableau330[[#This Row],[MONTANT HT]]*0.18*Tableau330[[#This Row],[PRORATA D]],1))</f>
        <v>0</v>
      </c>
      <c r="O304" s="122">
        <f>+IFERROR(Tableau330[[#This Row],[MONTANT HT]]+Tableau330[[#This Row],[TVA]],0)</f>
        <v>61500</v>
      </c>
      <c r="P304" s="122"/>
      <c r="Q304" s="122"/>
      <c r="R304" s="122">
        <f>+Tableau330[[#This Row],[MONTANT TTC]]+Tableau330[[#This Row],[TIMBRE ]]+Tableau330[[#This Row],[AUTRES TAXES]]</f>
        <v>61500</v>
      </c>
      <c r="S304" s="122">
        <v>61500</v>
      </c>
      <c r="T304" s="122">
        <f>+ROUND(Tableau330[[#This Row],[NET A PAYER]],0)-Tableau330[[#This Row],[MONTANT PAYE]]</f>
        <v>0</v>
      </c>
      <c r="U304" s="122"/>
      <c r="V304" s="123">
        <f>+Tableau330[[#This Row],[DELAI_PAIEMENT]]+Tableau330[[#This Row],[DATE ]]</f>
        <v>45994</v>
      </c>
      <c r="Y304" s="82" t="s">
        <v>623</v>
      </c>
      <c r="Z304" s="120" t="s">
        <v>1582</v>
      </c>
    </row>
    <row r="305" spans="1:26">
      <c r="A305" s="83">
        <v>45994</v>
      </c>
      <c r="B305" s="83" t="str">
        <f>IF(ISBLANK(Tableau330[[#This Row],[DATE ]]),"",UPPER(PROPER(TEXT(Tableau330[[#This Row],[DATE ]],"mmmm yyyy"))))</f>
        <v>DÉCEMBRE 2025</v>
      </c>
      <c r="C305" s="83" t="s">
        <v>824</v>
      </c>
      <c r="D305" s="120" t="s">
        <v>1598</v>
      </c>
      <c r="E305" s="82" t="s">
        <v>832</v>
      </c>
      <c r="F305" s="120" t="s">
        <v>833</v>
      </c>
      <c r="H305" s="82" t="s">
        <v>1599</v>
      </c>
      <c r="J305" s="121"/>
      <c r="K305" s="121">
        <v>126700</v>
      </c>
      <c r="L305" s="121"/>
      <c r="M305" s="122">
        <v>126700</v>
      </c>
      <c r="N305" s="122">
        <f>+IF(Tableau330[[#This Row],[CODE TVA]]="",0,ROUND(Tableau330[[#This Row],[MONTANT HT]]*0.18*Tableau330[[#This Row],[PRORATA D]],1))</f>
        <v>0</v>
      </c>
      <c r="O305" s="122">
        <f>+IFERROR(Tableau330[[#This Row],[MONTANT HT]]+Tableau330[[#This Row],[TVA]],0)</f>
        <v>126700</v>
      </c>
      <c r="P305" s="122"/>
      <c r="Q305" s="122"/>
      <c r="R305" s="122">
        <f>+Tableau330[[#This Row],[MONTANT TTC]]+Tableau330[[#This Row],[TIMBRE ]]+Tableau330[[#This Row],[AUTRES TAXES]]</f>
        <v>126700</v>
      </c>
      <c r="S305" s="122">
        <v>126700</v>
      </c>
      <c r="T305" s="122">
        <f>+ROUND(Tableau330[[#This Row],[NET A PAYER]],0)-Tableau330[[#This Row],[MONTANT PAYE]]</f>
        <v>0</v>
      </c>
      <c r="U305" s="122"/>
      <c r="V305" s="123">
        <f>+Tableau330[[#This Row],[DELAI_PAIEMENT]]+Tableau330[[#This Row],[DATE ]]</f>
        <v>45994</v>
      </c>
      <c r="Y305" s="82" t="s">
        <v>623</v>
      </c>
      <c r="Z305" s="120" t="s">
        <v>1582</v>
      </c>
    </row>
    <row r="306" spans="1:26">
      <c r="A306" s="83">
        <v>45994</v>
      </c>
      <c r="B306" s="83" t="str">
        <f>IF(ISBLANK(Tableau330[[#This Row],[DATE ]]),"",UPPER(PROPER(TEXT(Tableau330[[#This Row],[DATE ]],"mmmm yyyy"))))</f>
        <v>DÉCEMBRE 2025</v>
      </c>
      <c r="C306" s="83" t="s">
        <v>824</v>
      </c>
      <c r="D306" s="120" t="s">
        <v>1662</v>
      </c>
      <c r="E306" s="82" t="s">
        <v>832</v>
      </c>
      <c r="F306" s="120" t="s">
        <v>833</v>
      </c>
      <c r="H306" s="82" t="s">
        <v>1661</v>
      </c>
      <c r="I306" s="82" t="s">
        <v>12</v>
      </c>
      <c r="J306" s="121">
        <v>1</v>
      </c>
      <c r="K306" s="121">
        <v>8475</v>
      </c>
      <c r="L306" s="121"/>
      <c r="M306" s="122">
        <v>8475</v>
      </c>
      <c r="N306" s="122">
        <f>+IF(Tableau330[[#This Row],[CODE TVA]]="",0,ROUND(Tableau330[[#This Row],[MONTANT HT]]*0.18*Tableau330[[#This Row],[PRORATA D]],1))</f>
        <v>1525.5</v>
      </c>
      <c r="O306" s="122">
        <f>+IFERROR(Tableau330[[#This Row],[MONTANT HT]]+Tableau330[[#This Row],[TVA]],0)</f>
        <v>10000.5</v>
      </c>
      <c r="P306" s="122"/>
      <c r="Q306" s="122"/>
      <c r="R306" s="122">
        <f>+Tableau330[[#This Row],[MONTANT TTC]]+Tableau330[[#This Row],[TIMBRE ]]+Tableau330[[#This Row],[AUTRES TAXES]]</f>
        <v>10000.5</v>
      </c>
      <c r="S306" s="122">
        <v>10000</v>
      </c>
      <c r="T306" s="122">
        <f>+ROUND(Tableau330[[#This Row],[NET A PAYER]],0)-Tableau330[[#This Row],[MONTANT PAYE]]</f>
        <v>1</v>
      </c>
      <c r="U306" s="122"/>
      <c r="V306" s="123">
        <f>+Tableau330[[#This Row],[DELAI_PAIEMENT]]+Tableau330[[#This Row],[DATE ]]</f>
        <v>45994</v>
      </c>
      <c r="Y306" s="82" t="s">
        <v>623</v>
      </c>
      <c r="Z306" s="120" t="s">
        <v>1582</v>
      </c>
    </row>
    <row r="307" spans="1:26">
      <c r="A307" s="83">
        <v>45994</v>
      </c>
      <c r="B307" s="83" t="str">
        <f>IF(ISBLANK(Tableau330[[#This Row],[DATE ]]),"",UPPER(PROPER(TEXT(Tableau330[[#This Row],[DATE ]],"mmmm yyyy"))))</f>
        <v>DÉCEMBRE 2025</v>
      </c>
      <c r="C307" s="83" t="s">
        <v>824</v>
      </c>
      <c r="D307" s="120" t="s">
        <v>1660</v>
      </c>
      <c r="E307" s="82" t="s">
        <v>832</v>
      </c>
      <c r="F307" s="120" t="s">
        <v>833</v>
      </c>
      <c r="H307" s="82" t="s">
        <v>1663</v>
      </c>
      <c r="I307" s="82" t="s">
        <v>12</v>
      </c>
      <c r="J307" s="121">
        <v>0.29231132847299235</v>
      </c>
      <c r="K307" s="121">
        <v>58315.54</v>
      </c>
      <c r="L307" s="121"/>
      <c r="M307" s="122">
        <f>55002.54+3478-165</f>
        <v>58315.54</v>
      </c>
      <c r="N307" s="122">
        <f>+IF(Tableau330[[#This Row],[CODE TVA]]="",0,ROUND(Tableau330[[#This Row],[MONTANT HT]]*0.18*Tableau330[[#This Row],[PRORATA D]],1))</f>
        <v>3068.3</v>
      </c>
      <c r="O307" s="122">
        <f>+IFERROR(Tableau330[[#This Row],[MONTANT HT]]+Tableau330[[#This Row],[TVA]],0)</f>
        <v>61383.840000000004</v>
      </c>
      <c r="P307" s="122"/>
      <c r="Q307" s="122"/>
      <c r="R307" s="122">
        <f>+Tableau330[[#This Row],[MONTANT TTC]]+Tableau330[[#This Row],[TIMBRE ]]+Tableau330[[#This Row],[AUTRES TAXES]]</f>
        <v>61383.840000000004</v>
      </c>
      <c r="S307" s="122"/>
      <c r="T307" s="122">
        <f>+ROUND(Tableau330[[#This Row],[NET A PAYER]],0)-Tableau330[[#This Row],[MONTANT PAYE]]</f>
        <v>61384</v>
      </c>
      <c r="U307" s="122"/>
      <c r="V307" s="123">
        <f>+Tableau330[[#This Row],[DELAI_PAIEMENT]]+Tableau330[[#This Row],[DATE ]]</f>
        <v>45994</v>
      </c>
      <c r="Z307" s="120"/>
    </row>
    <row r="308" spans="1:26">
      <c r="A308" s="83">
        <v>45995</v>
      </c>
      <c r="B308" s="83" t="str">
        <f>IF(ISBLANK(Tableau330[[#This Row],[DATE ]]),"",UPPER(PROPER(TEXT(Tableau330[[#This Row],[DATE ]],"mmmm yyyy"))))</f>
        <v>DÉCEMBRE 2025</v>
      </c>
      <c r="C308" s="83" t="s">
        <v>824</v>
      </c>
      <c r="D308" s="120" t="s">
        <v>1594</v>
      </c>
      <c r="E308" s="82" t="s">
        <v>1595</v>
      </c>
      <c r="F308" s="120" t="s">
        <v>1596</v>
      </c>
      <c r="H308" s="82" t="s">
        <v>1597</v>
      </c>
      <c r="J308" s="121"/>
      <c r="K308" s="121">
        <v>60000</v>
      </c>
      <c r="L308" s="121"/>
      <c r="M308" s="122">
        <v>60000</v>
      </c>
      <c r="N308" s="122">
        <f>+IF(Tableau330[[#This Row],[CODE TVA]]="",0,ROUND(Tableau330[[#This Row],[MONTANT HT]]*0.18*Tableau330[[#This Row],[PRORATA D]],1))</f>
        <v>0</v>
      </c>
      <c r="O308" s="122">
        <f>+IFERROR(Tableau330[[#This Row],[MONTANT HT]]+Tableau330[[#This Row],[TVA]],0)</f>
        <v>60000</v>
      </c>
      <c r="P308" s="122"/>
      <c r="Q308" s="122"/>
      <c r="R308" s="122">
        <f>+Tableau330[[#This Row],[MONTANT TTC]]+Tableau330[[#This Row],[TIMBRE ]]+Tableau330[[#This Row],[AUTRES TAXES]]</f>
        <v>60000</v>
      </c>
      <c r="S308" s="122">
        <v>60000</v>
      </c>
      <c r="T308" s="122">
        <f>+ROUND(Tableau330[[#This Row],[NET A PAYER]],0)-Tableau330[[#This Row],[MONTANT PAYE]]</f>
        <v>0</v>
      </c>
      <c r="U308" s="122"/>
      <c r="V308" s="123">
        <f>+Tableau330[[#This Row],[DELAI_PAIEMENT]]+Tableau330[[#This Row],[DATE ]]</f>
        <v>45995</v>
      </c>
      <c r="Y308" s="82" t="s">
        <v>623</v>
      </c>
      <c r="Z308" s="120" t="s">
        <v>1582</v>
      </c>
    </row>
    <row r="309" spans="1:26">
      <c r="A309" s="83">
        <v>46000</v>
      </c>
      <c r="B309" s="83" t="str">
        <f>IF(ISBLANK(Tableau330[[#This Row],[DATE ]]),"",UPPER(PROPER(TEXT(Tableau330[[#This Row],[DATE ]],"mmmm yyyy"))))</f>
        <v>DÉCEMBRE 2025</v>
      </c>
      <c r="C309" s="83" t="s">
        <v>824</v>
      </c>
      <c r="D309" s="120" t="s">
        <v>1643</v>
      </c>
      <c r="E309" s="82" t="s">
        <v>937</v>
      </c>
      <c r="F309" s="120" t="s">
        <v>938</v>
      </c>
      <c r="H309" s="82" t="s">
        <v>1644</v>
      </c>
      <c r="J309" s="121"/>
      <c r="K309" s="121">
        <v>104000</v>
      </c>
      <c r="L309" s="121"/>
      <c r="M309" s="122">
        <v>104000</v>
      </c>
      <c r="N309" s="122">
        <f>+IF(Tableau330[[#This Row],[CODE TVA]]="",0,ROUND(Tableau330[[#This Row],[MONTANT HT]]*0.18*Tableau330[[#This Row],[PRORATA D]],1))</f>
        <v>0</v>
      </c>
      <c r="O309" s="122">
        <f>+IFERROR(Tableau330[[#This Row],[MONTANT HT]]+Tableau330[[#This Row],[TVA]],0)</f>
        <v>104000</v>
      </c>
      <c r="P309" s="122"/>
      <c r="Q309" s="122"/>
      <c r="R309" s="122">
        <f>+Tableau330[[#This Row],[MONTANT TTC]]+Tableau330[[#This Row],[TIMBRE ]]+Tableau330[[#This Row],[AUTRES TAXES]]</f>
        <v>104000</v>
      </c>
      <c r="S309" s="122">
        <v>104000</v>
      </c>
      <c r="T309" s="122">
        <f>+ROUND(Tableau330[[#This Row],[NET A PAYER]],0)-Tableau330[[#This Row],[MONTANT PAYE]]</f>
        <v>0</v>
      </c>
      <c r="U309" s="122"/>
      <c r="V309" s="123">
        <f>+Tableau330[[#This Row],[DELAI_PAIEMENT]]+Tableau330[[#This Row],[DATE ]]</f>
        <v>46000</v>
      </c>
      <c r="Y309" s="82" t="s">
        <v>623</v>
      </c>
      <c r="Z309" s="120" t="s">
        <v>1582</v>
      </c>
    </row>
    <row r="310" spans="1:26">
      <c r="A310" s="83">
        <v>46000</v>
      </c>
      <c r="B310" s="83" t="str">
        <f>IF(ISBLANK(Tableau330[[#This Row],[DATE ]]),"",UPPER(PROPER(TEXT(Tableau330[[#This Row],[DATE ]],"mmmm yyyy"))))</f>
        <v>DÉCEMBRE 2025</v>
      </c>
      <c r="C310" s="83" t="s">
        <v>824</v>
      </c>
      <c r="D310" s="120" t="s">
        <v>1645</v>
      </c>
      <c r="E310" s="82" t="s">
        <v>937</v>
      </c>
      <c r="F310" s="120" t="s">
        <v>938</v>
      </c>
      <c r="H310" s="82" t="s">
        <v>1644</v>
      </c>
      <c r="J310" s="121"/>
      <c r="K310" s="121">
        <v>104000</v>
      </c>
      <c r="L310" s="121"/>
      <c r="M310" s="122">
        <v>104000</v>
      </c>
      <c r="N310" s="122">
        <f>+IF(Tableau330[[#This Row],[CODE TVA]]="",0,ROUND(Tableau330[[#This Row],[MONTANT HT]]*0.18*Tableau330[[#This Row],[PRORATA D]],1))</f>
        <v>0</v>
      </c>
      <c r="O310" s="122">
        <f>+IFERROR(Tableau330[[#This Row],[MONTANT HT]]+Tableau330[[#This Row],[TVA]],0)</f>
        <v>104000</v>
      </c>
      <c r="P310" s="122"/>
      <c r="Q310" s="122"/>
      <c r="R310" s="122">
        <f>+Tableau330[[#This Row],[MONTANT TTC]]+Tableau330[[#This Row],[TIMBRE ]]+Tableau330[[#This Row],[AUTRES TAXES]]</f>
        <v>104000</v>
      </c>
      <c r="S310" s="122">
        <v>104000</v>
      </c>
      <c r="T310" s="122">
        <f>+ROUND(Tableau330[[#This Row],[NET A PAYER]],0)-Tableau330[[#This Row],[MONTANT PAYE]]</f>
        <v>0</v>
      </c>
      <c r="U310" s="122"/>
      <c r="V310" s="123">
        <f>+Tableau330[[#This Row],[DELAI_PAIEMENT]]+Tableau330[[#This Row],[DATE ]]</f>
        <v>46000</v>
      </c>
      <c r="Y310" s="82" t="s">
        <v>623</v>
      </c>
      <c r="Z310" s="120" t="s">
        <v>1582</v>
      </c>
    </row>
    <row r="311" spans="1:26">
      <c r="A311" s="83">
        <v>46000</v>
      </c>
      <c r="B311" s="83" t="str">
        <f>IF(ISBLANK(Tableau330[[#This Row],[DATE ]]),"",UPPER(PROPER(TEXT(Tableau330[[#This Row],[DATE ]],"mmmm yyyy"))))</f>
        <v>DÉCEMBRE 2025</v>
      </c>
      <c r="C311" s="83" t="s">
        <v>824</v>
      </c>
      <c r="D311" s="120" t="s">
        <v>1646</v>
      </c>
      <c r="E311" s="82" t="s">
        <v>937</v>
      </c>
      <c r="F311" s="120" t="s">
        <v>938</v>
      </c>
      <c r="H311" s="82" t="s">
        <v>1644</v>
      </c>
      <c r="J311" s="121"/>
      <c r="K311" s="121">
        <v>104000</v>
      </c>
      <c r="L311" s="121"/>
      <c r="M311" s="122">
        <v>104000</v>
      </c>
      <c r="N311" s="122">
        <f>+IF(Tableau330[[#This Row],[CODE TVA]]="",0,ROUND(Tableau330[[#This Row],[MONTANT HT]]*0.18*Tableau330[[#This Row],[PRORATA D]],1))</f>
        <v>0</v>
      </c>
      <c r="O311" s="122">
        <f>+IFERROR(Tableau330[[#This Row],[MONTANT HT]]+Tableau330[[#This Row],[TVA]],0)</f>
        <v>104000</v>
      </c>
      <c r="P311" s="122"/>
      <c r="Q311" s="122"/>
      <c r="R311" s="122">
        <f>+Tableau330[[#This Row],[MONTANT TTC]]+Tableau330[[#This Row],[TIMBRE ]]+Tableau330[[#This Row],[AUTRES TAXES]]</f>
        <v>104000</v>
      </c>
      <c r="S311" s="122">
        <v>104000</v>
      </c>
      <c r="T311" s="122">
        <f>+ROUND(Tableau330[[#This Row],[NET A PAYER]],0)-Tableau330[[#This Row],[MONTANT PAYE]]</f>
        <v>0</v>
      </c>
      <c r="U311" s="122"/>
      <c r="V311" s="123">
        <f>+Tableau330[[#This Row],[DELAI_PAIEMENT]]+Tableau330[[#This Row],[DATE ]]</f>
        <v>46000</v>
      </c>
      <c r="Y311" s="82" t="s">
        <v>623</v>
      </c>
      <c r="Z311" s="120" t="s">
        <v>1582</v>
      </c>
    </row>
    <row r="312" spans="1:26">
      <c r="A312" s="83">
        <v>46000</v>
      </c>
      <c r="B312" s="83" t="str">
        <f>IF(ISBLANK(Tableau330[[#This Row],[DATE ]]),"",UPPER(PROPER(TEXT(Tableau330[[#This Row],[DATE ]],"mmmm yyyy"))))</f>
        <v>DÉCEMBRE 2025</v>
      </c>
      <c r="C312" s="83" t="s">
        <v>824</v>
      </c>
      <c r="D312" s="120" t="s">
        <v>1647</v>
      </c>
      <c r="E312" s="82" t="s">
        <v>1265</v>
      </c>
      <c r="F312" s="120" t="s">
        <v>1266</v>
      </c>
      <c r="H312" s="82" t="s">
        <v>1648</v>
      </c>
      <c r="I312" s="82" t="s">
        <v>12</v>
      </c>
      <c r="J312" s="121">
        <v>1</v>
      </c>
      <c r="K312" s="121">
        <v>14407</v>
      </c>
      <c r="L312" s="121"/>
      <c r="M312" s="122">
        <v>14707</v>
      </c>
      <c r="N312" s="122">
        <f>+IF(Tableau330[[#This Row],[CODE TVA]]="",0,ROUND(Tableau330[[#This Row],[MONTANT HT]]*0.18*Tableau330[[#This Row],[PRORATA D]],1))</f>
        <v>2647.3</v>
      </c>
      <c r="O312" s="122">
        <f>+IFERROR(Tableau330[[#This Row],[MONTANT HT]]+Tableau330[[#This Row],[TVA]],0)</f>
        <v>17354.3</v>
      </c>
      <c r="P312" s="122"/>
      <c r="Q312" s="122"/>
      <c r="R312" s="122">
        <f>+Tableau330[[#This Row],[MONTANT TTC]]+Tableau330[[#This Row],[TIMBRE ]]+Tableau330[[#This Row],[AUTRES TAXES]]</f>
        <v>17354.3</v>
      </c>
      <c r="S312" s="122">
        <v>17354</v>
      </c>
      <c r="T312" s="122">
        <f>+ROUND(Tableau330[[#This Row],[NET A PAYER]],0)-Tableau330[[#This Row],[MONTANT PAYE]]</f>
        <v>0</v>
      </c>
      <c r="U312" s="122"/>
      <c r="V312" s="123">
        <f>+Tableau330[[#This Row],[DELAI_PAIEMENT]]+Tableau330[[#This Row],[DATE ]]</f>
        <v>46000</v>
      </c>
      <c r="Y312" s="82" t="s">
        <v>623</v>
      </c>
      <c r="Z312" s="120" t="s">
        <v>1582</v>
      </c>
    </row>
    <row r="313" spans="1:26">
      <c r="A313" s="83">
        <v>46000</v>
      </c>
      <c r="B313" s="83" t="str">
        <f>IF(ISBLANK(Tableau330[[#This Row],[DATE ]]),"",UPPER(PROPER(TEXT(Tableau330[[#This Row],[DATE ]],"mmmm yyyy"))))</f>
        <v>DÉCEMBRE 2025</v>
      </c>
      <c r="C313" s="83" t="s">
        <v>824</v>
      </c>
      <c r="D313" s="120" t="s">
        <v>1649</v>
      </c>
      <c r="E313" s="82" t="s">
        <v>1265</v>
      </c>
      <c r="F313" s="120" t="s">
        <v>1266</v>
      </c>
      <c r="H313" s="82" t="s">
        <v>1650</v>
      </c>
      <c r="I313" s="82" t="s">
        <v>12</v>
      </c>
      <c r="J313" s="121">
        <v>1</v>
      </c>
      <c r="K313" s="121">
        <v>40678</v>
      </c>
      <c r="L313" s="121"/>
      <c r="M313" s="122">
        <v>40678</v>
      </c>
      <c r="N313" s="122">
        <f>+IF(Tableau330[[#This Row],[CODE TVA]]="",0,ROUND(Tableau330[[#This Row],[MONTANT HT]]*0.18*Tableau330[[#This Row],[PRORATA D]],1))</f>
        <v>7322</v>
      </c>
      <c r="O313" s="122">
        <f>+IFERROR(Tableau330[[#This Row],[MONTANT HT]]+Tableau330[[#This Row],[TVA]],0)</f>
        <v>48000</v>
      </c>
      <c r="P313" s="122"/>
      <c r="Q313" s="122"/>
      <c r="R313" s="122">
        <f>+Tableau330[[#This Row],[MONTANT TTC]]+Tableau330[[#This Row],[TIMBRE ]]+Tableau330[[#This Row],[AUTRES TAXES]]</f>
        <v>48000</v>
      </c>
      <c r="S313" s="122">
        <v>48000</v>
      </c>
      <c r="T313" s="122">
        <f>+ROUND(Tableau330[[#This Row],[NET A PAYER]],0)-Tableau330[[#This Row],[MONTANT PAYE]]</f>
        <v>0</v>
      </c>
      <c r="U313" s="122"/>
      <c r="V313" s="123">
        <f>+Tableau330[[#This Row],[DELAI_PAIEMENT]]+Tableau330[[#This Row],[DATE ]]</f>
        <v>46000</v>
      </c>
      <c r="Y313" s="82" t="s">
        <v>623</v>
      </c>
      <c r="Z313" s="120" t="s">
        <v>1582</v>
      </c>
    </row>
    <row r="314" spans="1:26">
      <c r="A314" s="83">
        <v>46001</v>
      </c>
      <c r="B314" s="83" t="str">
        <f>IF(ISBLANK(Tableau330[[#This Row],[DATE ]]),"",UPPER(PROPER(TEXT(Tableau330[[#This Row],[DATE ]],"mmmm yyyy"))))</f>
        <v>DÉCEMBRE 2025</v>
      </c>
      <c r="C314" s="83" t="s">
        <v>824</v>
      </c>
      <c r="D314" s="120" t="s">
        <v>1651</v>
      </c>
      <c r="E314" s="82" t="s">
        <v>1402</v>
      </c>
      <c r="F314" s="120" t="s">
        <v>1403</v>
      </c>
      <c r="H314" s="82" t="s">
        <v>1489</v>
      </c>
      <c r="J314" s="121"/>
      <c r="K314" s="121">
        <v>150000</v>
      </c>
      <c r="L314" s="121"/>
      <c r="M314" s="122">
        <v>150000</v>
      </c>
      <c r="N314" s="122">
        <f>+IF(Tableau330[[#This Row],[CODE TVA]]="",0,ROUND(Tableau330[[#This Row],[MONTANT HT]]*0.18*Tableau330[[#This Row],[PRORATA D]],1))</f>
        <v>0</v>
      </c>
      <c r="O314" s="122">
        <f>+IFERROR(Tableau330[[#This Row],[MONTANT HT]]+Tableau330[[#This Row],[TVA]],0)</f>
        <v>150000</v>
      </c>
      <c r="P314" s="122"/>
      <c r="Q314" s="122"/>
      <c r="R314" s="122">
        <f>+Tableau330[[#This Row],[MONTANT TTC]]+Tableau330[[#This Row],[TIMBRE ]]+Tableau330[[#This Row],[AUTRES TAXES]]</f>
        <v>150000</v>
      </c>
      <c r="S314" s="122">
        <v>150000</v>
      </c>
      <c r="T314" s="122">
        <f>+ROUND(Tableau330[[#This Row],[NET A PAYER]],0)-Tableau330[[#This Row],[MONTANT PAYE]]</f>
        <v>0</v>
      </c>
      <c r="U314" s="122"/>
      <c r="V314" s="123">
        <f>+Tableau330[[#This Row],[DELAI_PAIEMENT]]+Tableau330[[#This Row],[DATE ]]</f>
        <v>46001</v>
      </c>
      <c r="Y314" s="82" t="s">
        <v>623</v>
      </c>
      <c r="Z314" s="120" t="s">
        <v>1582</v>
      </c>
    </row>
    <row r="315" spans="1:26">
      <c r="A315" s="83">
        <v>46001</v>
      </c>
      <c r="B315" s="83" t="str">
        <f>IF(ISBLANK(Tableau330[[#This Row],[DATE ]]),"",UPPER(PROPER(TEXT(Tableau330[[#This Row],[DATE ]],"mmmm yyyy"))))</f>
        <v>DÉCEMBRE 2025</v>
      </c>
      <c r="C315" s="83" t="s">
        <v>824</v>
      </c>
      <c r="D315" s="120" t="s">
        <v>1652</v>
      </c>
      <c r="E315" s="82" t="s">
        <v>1265</v>
      </c>
      <c r="F315" s="120" t="s">
        <v>1348</v>
      </c>
      <c r="H315" s="82" t="s">
        <v>1653</v>
      </c>
      <c r="I315" s="82" t="s">
        <v>12</v>
      </c>
      <c r="J315" s="121">
        <v>1</v>
      </c>
      <c r="K315" s="121">
        <v>33898</v>
      </c>
      <c r="L315" s="121"/>
      <c r="M315" s="122">
        <v>33898</v>
      </c>
      <c r="N315" s="122">
        <f>+IF(Tableau330[[#This Row],[CODE TVA]]="",0,ROUND(Tableau330[[#This Row],[MONTANT HT]]*0.18*Tableau330[[#This Row],[PRORATA D]],1))</f>
        <v>6101.6</v>
      </c>
      <c r="O315" s="122">
        <f>+IFERROR(Tableau330[[#This Row],[MONTANT HT]]+Tableau330[[#This Row],[TVA]],0)</f>
        <v>39999.599999999999</v>
      </c>
      <c r="P315" s="122"/>
      <c r="Q315" s="122"/>
      <c r="R315" s="122">
        <f>+Tableau330[[#This Row],[MONTANT TTC]]+Tableau330[[#This Row],[TIMBRE ]]+Tableau330[[#This Row],[AUTRES TAXES]]</f>
        <v>39999.599999999999</v>
      </c>
      <c r="S315" s="122">
        <v>40000</v>
      </c>
      <c r="T315" s="122">
        <f>+ROUND(Tableau330[[#This Row],[NET A PAYER]],0)-Tableau330[[#This Row],[MONTANT PAYE]]</f>
        <v>0</v>
      </c>
      <c r="U315" s="122"/>
      <c r="V315" s="123">
        <f>+Tableau330[[#This Row],[DELAI_PAIEMENT]]+Tableau330[[#This Row],[DATE ]]</f>
        <v>46001</v>
      </c>
      <c r="Y315" s="82" t="s">
        <v>623</v>
      </c>
      <c r="Z315" s="120" t="s">
        <v>1582</v>
      </c>
    </row>
    <row r="316" spans="1:26">
      <c r="A316" s="83">
        <v>46001</v>
      </c>
      <c r="B316" s="83" t="str">
        <f>IF(ISBLANK(Tableau330[[#This Row],[DATE ]]),"",UPPER(PROPER(TEXT(Tableau330[[#This Row],[DATE ]],"mmmm yyyy"))))</f>
        <v>DÉCEMBRE 2025</v>
      </c>
      <c r="C316" s="83" t="s">
        <v>824</v>
      </c>
      <c r="D316" s="120" t="s">
        <v>1654</v>
      </c>
      <c r="E316" s="82" t="s">
        <v>1402</v>
      </c>
      <c r="F316" s="120" t="s">
        <v>1403</v>
      </c>
      <c r="H316" s="82" t="s">
        <v>1655</v>
      </c>
      <c r="J316" s="121"/>
      <c r="K316" s="121">
        <v>51000</v>
      </c>
      <c r="L316" s="121"/>
      <c r="M316" s="122">
        <v>51000</v>
      </c>
      <c r="N316" s="122">
        <f>+IF(Tableau330[[#This Row],[CODE TVA]]="",0,ROUND(Tableau330[[#This Row],[MONTANT HT]]*0.18*Tableau330[[#This Row],[PRORATA D]],1))</f>
        <v>0</v>
      </c>
      <c r="O316" s="122">
        <f>+IFERROR(Tableau330[[#This Row],[MONTANT HT]]+Tableau330[[#This Row],[TVA]],0)</f>
        <v>51000</v>
      </c>
      <c r="P316" s="122"/>
      <c r="Q316" s="122"/>
      <c r="R316" s="122">
        <f>+Tableau330[[#This Row],[MONTANT TTC]]+Tableau330[[#This Row],[TIMBRE ]]+Tableau330[[#This Row],[AUTRES TAXES]]</f>
        <v>51000</v>
      </c>
      <c r="S316" s="122">
        <v>51000</v>
      </c>
      <c r="T316" s="122">
        <f>+ROUND(Tableau330[[#This Row],[NET A PAYER]],0)-Tableau330[[#This Row],[MONTANT PAYE]]</f>
        <v>0</v>
      </c>
      <c r="U316" s="122"/>
      <c r="V316" s="123">
        <f>+Tableau330[[#This Row],[DELAI_PAIEMENT]]+Tableau330[[#This Row],[DATE ]]</f>
        <v>46001</v>
      </c>
      <c r="Y316" s="82" t="s">
        <v>623</v>
      </c>
      <c r="Z316" s="120" t="s">
        <v>1582</v>
      </c>
    </row>
    <row r="317" spans="1:26">
      <c r="A317" s="83">
        <v>46002</v>
      </c>
      <c r="B317" s="83" t="str">
        <f>IF(ISBLANK(Tableau330[[#This Row],[DATE ]]),"",UPPER(PROPER(TEXT(Tableau330[[#This Row],[DATE ]],"mmmm yyyy"))))</f>
        <v>DÉCEMBRE 2025</v>
      </c>
      <c r="C317" s="83" t="s">
        <v>824</v>
      </c>
      <c r="D317" s="120" t="s">
        <v>1656</v>
      </c>
      <c r="E317" s="82" t="s">
        <v>937</v>
      </c>
      <c r="F317" s="120" t="s">
        <v>938</v>
      </c>
      <c r="H317" s="82" t="s">
        <v>1657</v>
      </c>
      <c r="J317" s="121"/>
      <c r="K317" s="121">
        <v>260000</v>
      </c>
      <c r="L317" s="121"/>
      <c r="M317" s="122">
        <v>260000</v>
      </c>
      <c r="N317" s="122">
        <f>+IF(Tableau330[[#This Row],[CODE TVA]]="",0,ROUND(Tableau330[[#This Row],[MONTANT HT]]*0.18*Tableau330[[#This Row],[PRORATA D]],1))</f>
        <v>0</v>
      </c>
      <c r="O317" s="122">
        <f>+IFERROR(Tableau330[[#This Row],[MONTANT HT]]+Tableau330[[#This Row],[TVA]],0)</f>
        <v>260000</v>
      </c>
      <c r="P317" s="122"/>
      <c r="Q317" s="122"/>
      <c r="R317" s="122">
        <f>+Tableau330[[#This Row],[MONTANT TTC]]+Tableau330[[#This Row],[TIMBRE ]]+Tableau330[[#This Row],[AUTRES TAXES]]</f>
        <v>260000</v>
      </c>
      <c r="S317" s="122">
        <v>260000</v>
      </c>
      <c r="T317" s="122">
        <f>+ROUND(Tableau330[[#This Row],[NET A PAYER]],0)-Tableau330[[#This Row],[MONTANT PAYE]]</f>
        <v>0</v>
      </c>
      <c r="U317" s="122"/>
      <c r="V317" s="123">
        <f>+Tableau330[[#This Row],[DELAI_PAIEMENT]]+Tableau330[[#This Row],[DATE ]]</f>
        <v>46002</v>
      </c>
      <c r="Y317" s="82" t="s">
        <v>623</v>
      </c>
      <c r="Z317" s="120" t="s">
        <v>1582</v>
      </c>
    </row>
    <row r="318" spans="1:26">
      <c r="A318" s="83">
        <v>46002</v>
      </c>
      <c r="B318" s="83" t="str">
        <f>IF(ISBLANK(Tableau330[[#This Row],[DATE ]]),"",UPPER(PROPER(TEXT(Tableau330[[#This Row],[DATE ]],"mmmm yyyy"))))</f>
        <v>DÉCEMBRE 2025</v>
      </c>
      <c r="C318" s="83" t="s">
        <v>824</v>
      </c>
      <c r="D318" s="120" t="s">
        <v>1658</v>
      </c>
      <c r="E318" s="82" t="s">
        <v>857</v>
      </c>
      <c r="F318" s="120" t="s">
        <v>858</v>
      </c>
      <c r="H318" s="82" t="s">
        <v>1659</v>
      </c>
      <c r="I318" s="82" t="s">
        <v>12</v>
      </c>
      <c r="J318" s="121"/>
      <c r="K318" s="121">
        <v>266950</v>
      </c>
      <c r="L318" s="121"/>
      <c r="M318" s="122">
        <v>266950</v>
      </c>
      <c r="N318" s="122">
        <f>+IF(Tableau330[[#This Row],[CODE TVA]]="",0,ROUND(Tableau330[[#This Row],[MONTANT HT]]*0.18*Tableau330[[#This Row],[PRORATA D]],1))</f>
        <v>0</v>
      </c>
      <c r="O318" s="122">
        <f>+IFERROR(Tableau330[[#This Row],[MONTANT HT]]+Tableau330[[#This Row],[TVA]],0)</f>
        <v>266950</v>
      </c>
      <c r="P318" s="122"/>
      <c r="Q318" s="122"/>
      <c r="R318" s="122">
        <f>+Tableau330[[#This Row],[MONTANT TTC]]+Tableau330[[#This Row],[TIMBRE ]]+Tableau330[[#This Row],[AUTRES TAXES]]</f>
        <v>266950</v>
      </c>
      <c r="S318" s="122">
        <v>266950</v>
      </c>
      <c r="T318" s="122">
        <f>+ROUND(Tableau330[[#This Row],[NET A PAYER]],0)-Tableau330[[#This Row],[MONTANT PAYE]]</f>
        <v>0</v>
      </c>
      <c r="U318" s="122"/>
      <c r="V318" s="123">
        <f>+Tableau330[[#This Row],[DELAI_PAIEMENT]]+Tableau330[[#This Row],[DATE ]]</f>
        <v>46002</v>
      </c>
      <c r="Y318" s="82" t="s">
        <v>623</v>
      </c>
      <c r="Z318" s="120" t="s">
        <v>1582</v>
      </c>
    </row>
    <row r="319" spans="1:26">
      <c r="A319" s="83">
        <v>46003</v>
      </c>
      <c r="B319" s="83" t="str">
        <f>IF(ISBLANK(Tableau330[[#This Row],[DATE ]]),"",UPPER(PROPER(TEXT(Tableau330[[#This Row],[DATE ]],"mmmm yyyy"))))</f>
        <v>DÉCEMBRE 2025</v>
      </c>
      <c r="C319" s="83" t="s">
        <v>1518</v>
      </c>
      <c r="D319" s="120" t="s">
        <v>1665</v>
      </c>
      <c r="E319" s="82" t="s">
        <v>1642</v>
      </c>
      <c r="F319" s="120"/>
      <c r="H319" s="82" t="s">
        <v>1666</v>
      </c>
      <c r="J319" s="121"/>
      <c r="K319" s="121"/>
      <c r="L319" s="121">
        <v>1200000</v>
      </c>
      <c r="M319" s="122">
        <v>1200000</v>
      </c>
      <c r="N319" s="122">
        <f>+IF(Tableau330[[#This Row],[CODE TVA]]="",0,ROUND(Tableau330[[#This Row],[MONTANT HT]]*0.18*Tableau330[[#This Row],[PRORATA D]],1))</f>
        <v>0</v>
      </c>
      <c r="O319" s="122">
        <f>+IFERROR(Tableau330[[#This Row],[MONTANT HT]]+Tableau330[[#This Row],[TVA]],0)</f>
        <v>1200000</v>
      </c>
      <c r="P319" s="122"/>
      <c r="Q319" s="122"/>
      <c r="R319" s="122">
        <f>+Tableau330[[#This Row],[MONTANT TTC]]+Tableau330[[#This Row],[TIMBRE ]]+Tableau330[[#This Row],[AUTRES TAXES]]</f>
        <v>1200000</v>
      </c>
      <c r="S319" s="122">
        <v>1200000</v>
      </c>
      <c r="T319" s="122">
        <f>+ROUND(Tableau330[[#This Row],[NET A PAYER]],0)-Tableau330[[#This Row],[MONTANT PAYE]]</f>
        <v>0</v>
      </c>
      <c r="U319" s="122"/>
      <c r="V319" s="123">
        <f>+Tableau330[[#This Row],[DELAI_PAIEMENT]]+Tableau330[[#This Row],[DATE ]]</f>
        <v>46003</v>
      </c>
      <c r="Y319" s="82" t="s">
        <v>617</v>
      </c>
      <c r="Z319" s="120" t="s">
        <v>1664</v>
      </c>
    </row>
    <row r="320" spans="1:26">
      <c r="A320" s="83">
        <v>46009</v>
      </c>
      <c r="B320" s="83" t="str">
        <f>IF(ISBLANK(Tableau330[[#This Row],[DATE ]]),"",UPPER(PROPER(TEXT(Tableau330[[#This Row],[DATE ]],"mmmm yyyy"))))</f>
        <v>DÉCEMBRE 2025</v>
      </c>
      <c r="C320" s="83" t="s">
        <v>824</v>
      </c>
      <c r="D320" s="120" t="s">
        <v>1667</v>
      </c>
      <c r="E320" s="82" t="s">
        <v>1167</v>
      </c>
      <c r="F320" s="120" t="s">
        <v>1168</v>
      </c>
      <c r="H320" s="82" t="s">
        <v>1668</v>
      </c>
      <c r="J320" s="121"/>
      <c r="K320" s="121">
        <v>295000</v>
      </c>
      <c r="L320" s="121"/>
      <c r="M320" s="122">
        <v>295000</v>
      </c>
      <c r="N320" s="122">
        <f>+IF(Tableau330[[#This Row],[CODE TVA]]="",0,ROUND(Tableau330[[#This Row],[MONTANT HT]]*0.18*Tableau330[[#This Row],[PRORATA D]],1))</f>
        <v>0</v>
      </c>
      <c r="O320" s="122">
        <f>+IFERROR(Tableau330[[#This Row],[MONTANT HT]]+Tableau330[[#This Row],[TVA]],0)</f>
        <v>295000</v>
      </c>
      <c r="P320" s="122"/>
      <c r="Q320" s="122"/>
      <c r="R320" s="122">
        <f>+Tableau330[[#This Row],[MONTANT TTC]]+Tableau330[[#This Row],[TIMBRE ]]+Tableau330[[#This Row],[AUTRES TAXES]]</f>
        <v>295000</v>
      </c>
      <c r="S320" s="122">
        <v>295000</v>
      </c>
      <c r="T320" s="122">
        <f>+ROUND(Tableau330[[#This Row],[NET A PAYER]],0)-Tableau330[[#This Row],[MONTANT PAYE]]</f>
        <v>0</v>
      </c>
      <c r="U320" s="122"/>
      <c r="V320" s="123">
        <f>+Tableau330[[#This Row],[DELAI_PAIEMENT]]+Tableau330[[#This Row],[DATE ]]</f>
        <v>46009</v>
      </c>
      <c r="Y320" s="82" t="s">
        <v>623</v>
      </c>
      <c r="Z320" s="120" t="s">
        <v>1582</v>
      </c>
    </row>
    <row r="321" spans="1:26">
      <c r="A321" s="83">
        <v>45992</v>
      </c>
      <c r="B321" s="83" t="str">
        <f>IF(ISBLANK(Tableau330[[#This Row],[DATE ]]),"",UPPER(PROPER(TEXT(Tableau330[[#This Row],[DATE ]],"mmmm yyyy"))))</f>
        <v>DÉCEMBRE 2025</v>
      </c>
      <c r="C321" s="83" t="s">
        <v>824</v>
      </c>
      <c r="D321" s="120" t="s">
        <v>1669</v>
      </c>
      <c r="E321" s="82" t="s">
        <v>1242</v>
      </c>
      <c r="F321" s="120" t="s">
        <v>1244</v>
      </c>
      <c r="H321" s="82" t="s">
        <v>1670</v>
      </c>
      <c r="J321" s="121"/>
      <c r="K321" s="121">
        <f>250000+180000</f>
        <v>430000</v>
      </c>
      <c r="L321" s="121"/>
      <c r="M321" s="121">
        <f>250000+180000</f>
        <v>430000</v>
      </c>
      <c r="N321" s="122">
        <f>+IF(Tableau330[[#This Row],[CODE TVA]]="",0,ROUND(Tableau330[[#This Row],[MONTANT HT]]*0.18*Tableau330[[#This Row],[PRORATA D]],1))</f>
        <v>0</v>
      </c>
      <c r="O321" s="122">
        <f>+IFERROR(Tableau330[[#This Row],[MONTANT HT]]+Tableau330[[#This Row],[TVA]],0)</f>
        <v>430000</v>
      </c>
      <c r="P321" s="122"/>
      <c r="Q321" s="122"/>
      <c r="R321" s="122">
        <f>+Tableau330[[#This Row],[MONTANT TTC]]+Tableau330[[#This Row],[TIMBRE ]]+Tableau330[[#This Row],[AUTRES TAXES]]</f>
        <v>430000</v>
      </c>
      <c r="S321" s="122">
        <v>430000</v>
      </c>
      <c r="T321" s="122">
        <f>+ROUND(Tableau330[[#This Row],[NET A PAYER]],0)-Tableau330[[#This Row],[MONTANT PAYE]]</f>
        <v>0</v>
      </c>
      <c r="U321" s="122"/>
      <c r="V321" s="123">
        <f>+Tableau330[[#This Row],[DELAI_PAIEMENT]]+Tableau330[[#This Row],[DATE ]]</f>
        <v>45992</v>
      </c>
      <c r="Y321" s="82" t="s">
        <v>623</v>
      </c>
      <c r="Z321" s="120" t="s">
        <v>1582</v>
      </c>
    </row>
    <row r="322" spans="1:26">
      <c r="A322" s="83">
        <v>46013</v>
      </c>
      <c r="B322" s="83" t="str">
        <f>IF(ISBLANK(Tableau330[[#This Row],[DATE ]]),"",UPPER(PROPER(TEXT(Tableau330[[#This Row],[DATE ]],"mmmm yyyy"))))</f>
        <v>DÉCEMBRE 2025</v>
      </c>
      <c r="C322" s="83" t="s">
        <v>824</v>
      </c>
      <c r="D322" s="120" t="s">
        <v>1671</v>
      </c>
      <c r="E322" s="82" t="s">
        <v>857</v>
      </c>
      <c r="F322" s="120" t="s">
        <v>858</v>
      </c>
      <c r="H322" s="82" t="s">
        <v>1672</v>
      </c>
      <c r="I322" s="82" t="s">
        <v>12</v>
      </c>
      <c r="J322" s="121">
        <v>1</v>
      </c>
      <c r="K322" s="121">
        <v>118644</v>
      </c>
      <c r="L322" s="121"/>
      <c r="M322" s="122">
        <v>118644</v>
      </c>
      <c r="N322" s="122">
        <f>+IF(Tableau330[[#This Row],[CODE TVA]]="",0,ROUND(Tableau330[[#This Row],[MONTANT HT]]*0.18*Tableau330[[#This Row],[PRORATA D]],1))</f>
        <v>21355.9</v>
      </c>
      <c r="O322" s="122">
        <f>+IFERROR(Tableau330[[#This Row],[MONTANT HT]]+Tableau330[[#This Row],[TVA]],0)</f>
        <v>139999.9</v>
      </c>
      <c r="P322" s="122"/>
      <c r="Q322" s="122"/>
      <c r="R322" s="122">
        <f>+Tableau330[[#This Row],[MONTANT TTC]]+Tableau330[[#This Row],[TIMBRE ]]+Tableau330[[#This Row],[AUTRES TAXES]]</f>
        <v>139999.9</v>
      </c>
      <c r="S322" s="122">
        <v>140000</v>
      </c>
      <c r="T322" s="122">
        <f>+ROUND(Tableau330[[#This Row],[NET A PAYER]],0)-Tableau330[[#This Row],[MONTANT PAYE]]</f>
        <v>0</v>
      </c>
      <c r="U322" s="122"/>
      <c r="V322" s="123">
        <f>+Tableau330[[#This Row],[DELAI_PAIEMENT]]+Tableau330[[#This Row],[DATE ]]</f>
        <v>46013</v>
      </c>
      <c r="Y322" s="82" t="s">
        <v>623</v>
      </c>
      <c r="Z322" s="120" t="s">
        <v>1582</v>
      </c>
    </row>
    <row r="323" spans="1:26">
      <c r="A323" s="83">
        <v>46006</v>
      </c>
      <c r="B323" s="83" t="str">
        <f>IF(ISBLANK(Tableau330[[#This Row],[DATE ]]),"",UPPER(PROPER(TEXT(Tableau330[[#This Row],[DATE ]],"mmmm yyyy"))))</f>
        <v>DÉCEMBRE 2025</v>
      </c>
      <c r="C323" s="83" t="s">
        <v>824</v>
      </c>
      <c r="D323" s="120" t="s">
        <v>1673</v>
      </c>
      <c r="E323" s="82" t="s">
        <v>857</v>
      </c>
      <c r="F323" s="120" t="s">
        <v>858</v>
      </c>
      <c r="H323" s="82" t="s">
        <v>1672</v>
      </c>
      <c r="I323" s="82" t="s">
        <v>12</v>
      </c>
      <c r="J323" s="121">
        <v>1</v>
      </c>
      <c r="K323" s="121">
        <v>148729</v>
      </c>
      <c r="L323" s="121"/>
      <c r="M323" s="122">
        <v>148729</v>
      </c>
      <c r="N323" s="122">
        <f>+IF(Tableau330[[#This Row],[CODE TVA]]="",0,ROUND(Tableau330[[#This Row],[MONTANT HT]]*0.18*Tableau330[[#This Row],[PRORATA D]],1))</f>
        <v>26771.200000000001</v>
      </c>
      <c r="O323" s="122">
        <f>+IFERROR(Tableau330[[#This Row],[MONTANT HT]]+Tableau330[[#This Row],[TVA]],0)</f>
        <v>175500.2</v>
      </c>
      <c r="P323" s="122"/>
      <c r="Q323" s="122"/>
      <c r="R323" s="122">
        <f>+Tableau330[[#This Row],[MONTANT TTC]]+Tableau330[[#This Row],[TIMBRE ]]+Tableau330[[#This Row],[AUTRES TAXES]]</f>
        <v>175500.2</v>
      </c>
      <c r="S323" s="122">
        <v>175500</v>
      </c>
      <c r="T323" s="122">
        <f>+ROUND(Tableau330[[#This Row],[NET A PAYER]],0)-Tableau330[[#This Row],[MONTANT PAYE]]</f>
        <v>0</v>
      </c>
      <c r="U323" s="122"/>
      <c r="V323" s="123">
        <f>+Tableau330[[#This Row],[DELAI_PAIEMENT]]+Tableau330[[#This Row],[DATE ]]</f>
        <v>46006</v>
      </c>
      <c r="Y323" s="82" t="s">
        <v>623</v>
      </c>
      <c r="Z323" s="120" t="s">
        <v>1582</v>
      </c>
    </row>
    <row r="324" spans="1:26">
      <c r="A324" s="83">
        <v>46021</v>
      </c>
      <c r="B324" s="83" t="str">
        <f>IF(ISBLANK(Tableau330[[#This Row],[DATE ]]),"",UPPER(PROPER(TEXT(Tableau330[[#This Row],[DATE ]],"mmmm yyyy"))))</f>
        <v>DÉCEMBRE 2025</v>
      </c>
      <c r="C324" s="83" t="s">
        <v>824</v>
      </c>
      <c r="D324" s="120" t="s">
        <v>1674</v>
      </c>
      <c r="E324" s="82" t="s">
        <v>1265</v>
      </c>
      <c r="F324" s="120" t="s">
        <v>1266</v>
      </c>
      <c r="H324" s="82" t="s">
        <v>1675</v>
      </c>
      <c r="I324" s="82" t="s">
        <v>12</v>
      </c>
      <c r="J324" s="121">
        <v>1</v>
      </c>
      <c r="K324" s="121">
        <v>169492</v>
      </c>
      <c r="L324" s="121"/>
      <c r="M324" s="122">
        <v>169492</v>
      </c>
      <c r="N324" s="122">
        <f>+IF(Tableau330[[#This Row],[CODE TVA]]="",0,ROUND(Tableau330[[#This Row],[MONTANT HT]]*0.18*Tableau330[[#This Row],[PRORATA D]],1))</f>
        <v>30508.6</v>
      </c>
      <c r="O324" s="122">
        <f>+IFERROR(Tableau330[[#This Row],[MONTANT HT]]+Tableau330[[#This Row],[TVA]],0)</f>
        <v>200000.6</v>
      </c>
      <c r="P324" s="122"/>
      <c r="Q324" s="122"/>
      <c r="R324" s="122">
        <f>+Tableau330[[#This Row],[MONTANT TTC]]+Tableau330[[#This Row],[TIMBRE ]]+Tableau330[[#This Row],[AUTRES TAXES]]</f>
        <v>200000.6</v>
      </c>
      <c r="S324" s="122">
        <v>200001</v>
      </c>
      <c r="T324" s="122">
        <f>+ROUND(Tableau330[[#This Row],[NET A PAYER]],0)-Tableau330[[#This Row],[MONTANT PAYE]]</f>
        <v>0</v>
      </c>
      <c r="U324" s="122"/>
      <c r="V324" s="123">
        <f>+Tableau330[[#This Row],[DELAI_PAIEMENT]]+Tableau330[[#This Row],[DATE ]]</f>
        <v>46021</v>
      </c>
      <c r="Y324" s="82" t="s">
        <v>623</v>
      </c>
      <c r="Z324" s="120" t="s">
        <v>1582</v>
      </c>
    </row>
    <row r="325" spans="1:26">
      <c r="A325" s="83">
        <v>46021</v>
      </c>
      <c r="B325" s="83" t="str">
        <f>IF(ISBLANK(Tableau330[[#This Row],[DATE ]]),"",UPPER(PROPER(TEXT(Tableau330[[#This Row],[DATE ]],"mmmm yyyy"))))</f>
        <v>DÉCEMBRE 2025</v>
      </c>
      <c r="C325" s="83" t="s">
        <v>824</v>
      </c>
      <c r="D325" s="120" t="s">
        <v>1676</v>
      </c>
      <c r="E325" s="82" t="s">
        <v>1474</v>
      </c>
      <c r="F325" s="120" t="s">
        <v>1475</v>
      </c>
      <c r="H325" s="82" t="s">
        <v>1677</v>
      </c>
      <c r="J325" s="121"/>
      <c r="K325" s="121">
        <v>33000</v>
      </c>
      <c r="L325" s="121"/>
      <c r="M325" s="122">
        <v>33000</v>
      </c>
      <c r="N325" s="122">
        <f>+IF(Tableau330[[#This Row],[CODE TVA]]="",0,ROUND(Tableau330[[#This Row],[MONTANT HT]]*0.18*Tableau330[[#This Row],[PRORATA D]],1))</f>
        <v>0</v>
      </c>
      <c r="O325" s="122">
        <f>+IFERROR(Tableau330[[#This Row],[MONTANT HT]]+Tableau330[[#This Row],[TVA]],0)</f>
        <v>33000</v>
      </c>
      <c r="P325" s="122"/>
      <c r="Q325" s="122"/>
      <c r="R325" s="122">
        <f>+Tableau330[[#This Row],[MONTANT TTC]]+Tableau330[[#This Row],[TIMBRE ]]+Tableau330[[#This Row],[AUTRES TAXES]]</f>
        <v>33000</v>
      </c>
      <c r="S325" s="122">
        <v>33000</v>
      </c>
      <c r="T325" s="122">
        <f>+ROUND(Tableau330[[#This Row],[NET A PAYER]],0)-Tableau330[[#This Row],[MONTANT PAYE]]</f>
        <v>0</v>
      </c>
      <c r="U325" s="122"/>
      <c r="V325" s="123">
        <f>+Tableau330[[#This Row],[DELAI_PAIEMENT]]+Tableau330[[#This Row],[DATE ]]</f>
        <v>46021</v>
      </c>
      <c r="Y325" s="82" t="s">
        <v>623</v>
      </c>
      <c r="Z325" s="120" t="s">
        <v>1582</v>
      </c>
    </row>
    <row r="326" spans="1:26">
      <c r="A326" s="83">
        <v>46021</v>
      </c>
      <c r="B326" s="83" t="str">
        <f>IF(ISBLANK(Tableau330[[#This Row],[DATE ]]),"",UPPER(PROPER(TEXT(Tableau330[[#This Row],[DATE ]],"mmmm yyyy"))))</f>
        <v>DÉCEMBRE 2025</v>
      </c>
      <c r="C326" s="83" t="s">
        <v>824</v>
      </c>
      <c r="D326" s="120" t="s">
        <v>1678</v>
      </c>
      <c r="E326" s="82" t="s">
        <v>1679</v>
      </c>
      <c r="F326" s="120" t="s">
        <v>1272</v>
      </c>
      <c r="H326" s="82" t="s">
        <v>1680</v>
      </c>
      <c r="I326" s="82" t="s">
        <v>12</v>
      </c>
      <c r="J326" s="121">
        <v>1</v>
      </c>
      <c r="K326" s="121">
        <v>50848</v>
      </c>
      <c r="L326" s="121"/>
      <c r="M326" s="121">
        <v>50847</v>
      </c>
      <c r="N326" s="122">
        <f>+IF(Tableau330[[#This Row],[CODE TVA]]="",0,ROUND(Tableau330[[#This Row],[MONTANT HT]]*0.18*Tableau330[[#This Row],[PRORATA D]],1))</f>
        <v>9152.5</v>
      </c>
      <c r="O326" s="122">
        <f>+IFERROR(Tableau330[[#This Row],[MONTANT HT]]+Tableau330[[#This Row],[TVA]],0)</f>
        <v>59999.5</v>
      </c>
      <c r="P326" s="122"/>
      <c r="Q326" s="122"/>
      <c r="R326" s="122">
        <f>+Tableau330[[#This Row],[MONTANT TTC]]+Tableau330[[#This Row],[TIMBRE ]]+Tableau330[[#This Row],[AUTRES TAXES]]</f>
        <v>59999.5</v>
      </c>
      <c r="S326" s="122">
        <v>60000</v>
      </c>
      <c r="T326" s="122">
        <f>+ROUND(Tableau330[[#This Row],[NET A PAYER]],0)-Tableau330[[#This Row],[MONTANT PAYE]]</f>
        <v>0</v>
      </c>
      <c r="U326" s="122"/>
      <c r="V326" s="123">
        <f>+Tableau330[[#This Row],[DELAI_PAIEMENT]]+Tableau330[[#This Row],[DATE ]]</f>
        <v>46021</v>
      </c>
      <c r="Y326" s="82" t="s">
        <v>623</v>
      </c>
      <c r="Z326" s="120" t="s">
        <v>1582</v>
      </c>
    </row>
    <row r="327" spans="1:26">
      <c r="A327" s="83">
        <v>46021</v>
      </c>
      <c r="B327" s="83" t="str">
        <f>IF(ISBLANK(Tableau330[[#This Row],[DATE ]]),"",UPPER(PROPER(TEXT(Tableau330[[#This Row],[DATE ]],"mmmm yyyy"))))</f>
        <v>DÉCEMBRE 2025</v>
      </c>
      <c r="C327" s="83" t="s">
        <v>824</v>
      </c>
      <c r="D327" s="120" t="s">
        <v>1681</v>
      </c>
      <c r="E327" s="82" t="s">
        <v>1682</v>
      </c>
      <c r="F327" s="120" t="s">
        <v>1683</v>
      </c>
      <c r="H327" s="82" t="s">
        <v>1282</v>
      </c>
      <c r="I327" s="82" t="s">
        <v>12</v>
      </c>
      <c r="J327" s="121">
        <v>1</v>
      </c>
      <c r="K327" s="121">
        <v>59237</v>
      </c>
      <c r="L327" s="121"/>
      <c r="M327" s="122">
        <v>59237</v>
      </c>
      <c r="N327" s="122">
        <f>+IF(Tableau330[[#This Row],[CODE TVA]]="",0,ROUND(Tableau330[[#This Row],[MONTANT HT]]*0.18*Tableau330[[#This Row],[PRORATA D]],1))</f>
        <v>10662.7</v>
      </c>
      <c r="O327" s="122">
        <f>+IFERROR(Tableau330[[#This Row],[MONTANT HT]]+Tableau330[[#This Row],[TVA]],0)</f>
        <v>69899.7</v>
      </c>
      <c r="P327" s="122"/>
      <c r="Q327" s="122"/>
      <c r="R327" s="122">
        <f>+Tableau330[[#This Row],[MONTANT TTC]]+Tableau330[[#This Row],[TIMBRE ]]+Tableau330[[#This Row],[AUTRES TAXES]]</f>
        <v>69899.7</v>
      </c>
      <c r="S327" s="122">
        <v>69900</v>
      </c>
      <c r="T327" s="122">
        <f>+ROUND(Tableau330[[#This Row],[NET A PAYER]],0)-Tableau330[[#This Row],[MONTANT PAYE]]</f>
        <v>0</v>
      </c>
      <c r="U327" s="122"/>
      <c r="V327" s="123">
        <f>+Tableau330[[#This Row],[DELAI_PAIEMENT]]+Tableau330[[#This Row],[DATE ]]</f>
        <v>46021</v>
      </c>
      <c r="Y327" s="82" t="s">
        <v>623</v>
      </c>
      <c r="Z327" s="120" t="s">
        <v>1582</v>
      </c>
    </row>
  </sheetData>
  <phoneticPr fontId="24" type="noConversion"/>
  <dataValidations count="1">
    <dataValidation type="list" allowBlank="1" showInputMessage="1" showErrorMessage="1" sqref="X3:X327" xr:uid="{DD4C4CC3-028A-46B8-9A55-7D3ADF33B400}">
      <formula1>"OUI_T,OUI_P,NON"</formula1>
    </dataValidation>
  </dataValidations>
  <pageMargins left="0.70866141732283472" right="0.70866141732283472" top="0.74803149606299213" bottom="0.74803149606299213" header="0.31496062992125984" footer="0.31496062992125984"/>
  <pageSetup paperSize="9" scale="11" orientation="landscape" r:id="rId1"/>
  <headerFooter>
    <oddHeader>&amp;LLISTE DES PRESTATAIRES A PAYER&amp;R25/11/25</oddHeader>
    <oddFooter>&amp;LSERVICE COMPTABILITE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5DC5-21A1-4209-B4B9-79A1DC5200D3}">
  <dimension ref="A1:J8"/>
  <sheetViews>
    <sheetView workbookViewId="0">
      <selection activeCell="G14" sqref="G14"/>
    </sheetView>
  </sheetViews>
  <sheetFormatPr baseColWidth="10" defaultColWidth="8.88671875" defaultRowHeight="14.4"/>
  <cols>
    <col min="1" max="1" width="9.77734375" bestFit="1" customWidth="1"/>
    <col min="2" max="2" width="16.88671875" bestFit="1" customWidth="1"/>
    <col min="3" max="3" width="23.77734375" style="112" bestFit="1" customWidth="1"/>
    <col min="4" max="5" width="10.5546875" bestFit="1" customWidth="1"/>
    <col min="6" max="6" width="27" style="112" bestFit="1" customWidth="1"/>
    <col min="7" max="7" width="25.77734375" style="112" bestFit="1" customWidth="1"/>
    <col min="8" max="8" width="25.77734375" style="112" customWidth="1"/>
    <col min="9" max="9" width="29.5546875" style="112" bestFit="1" customWidth="1"/>
    <col min="10" max="10" width="15" bestFit="1" customWidth="1"/>
  </cols>
  <sheetData>
    <row r="1" spans="1:10">
      <c r="C1" s="112" t="s">
        <v>1103</v>
      </c>
      <c r="F1" t="s">
        <v>1104</v>
      </c>
      <c r="G1" t="s">
        <v>1105</v>
      </c>
      <c r="H1" t="s">
        <v>1106</v>
      </c>
      <c r="I1" t="s">
        <v>1107</v>
      </c>
    </row>
    <row r="4" spans="1:10">
      <c r="A4" s="113" t="s">
        <v>1108</v>
      </c>
      <c r="B4" s="113" t="s">
        <v>1109</v>
      </c>
      <c r="C4" s="114" t="s">
        <v>1110</v>
      </c>
      <c r="D4" s="113" t="s">
        <v>1111</v>
      </c>
      <c r="E4" s="113" t="s">
        <v>1112</v>
      </c>
      <c r="F4" s="115" t="s">
        <v>1113</v>
      </c>
      <c r="G4" s="115" t="s">
        <v>1114</v>
      </c>
      <c r="H4" s="115" t="s">
        <v>1115</v>
      </c>
      <c r="I4" s="114" t="s">
        <v>1116</v>
      </c>
      <c r="J4" s="113" t="s">
        <v>1117</v>
      </c>
    </row>
    <row r="5" spans="1:10">
      <c r="A5" t="s">
        <v>1118</v>
      </c>
      <c r="B5" t="s">
        <v>1119</v>
      </c>
      <c r="C5" s="116">
        <v>5000000</v>
      </c>
      <c r="D5" t="s">
        <v>1120</v>
      </c>
      <c r="E5" t="s">
        <v>1121</v>
      </c>
      <c r="F5" s="117">
        <v>2000000</v>
      </c>
      <c r="G5" s="117">
        <v>1000000</v>
      </c>
      <c r="H5" s="117">
        <f>+F5-G5</f>
        <v>1000000</v>
      </c>
      <c r="I5" s="116">
        <v>4000000</v>
      </c>
      <c r="J5" t="s">
        <v>1122</v>
      </c>
    </row>
    <row r="6" spans="1:10">
      <c r="A6" t="s">
        <v>1123</v>
      </c>
      <c r="B6" t="s">
        <v>1124</v>
      </c>
      <c r="C6" s="116">
        <v>3000000</v>
      </c>
      <c r="D6" t="s">
        <v>1125</v>
      </c>
      <c r="E6" t="s">
        <v>1126</v>
      </c>
      <c r="F6" s="117">
        <v>1500000</v>
      </c>
      <c r="G6" s="117">
        <v>1000000</v>
      </c>
      <c r="H6" s="117">
        <f>+F6-G6</f>
        <v>500000</v>
      </c>
      <c r="I6" s="116">
        <v>1500000</v>
      </c>
      <c r="J6" t="s">
        <v>1127</v>
      </c>
    </row>
    <row r="7" spans="1:10">
      <c r="A7" t="s">
        <v>1128</v>
      </c>
      <c r="B7" t="s">
        <v>1129</v>
      </c>
      <c r="C7" s="116">
        <v>7000000</v>
      </c>
      <c r="D7" t="s">
        <v>1130</v>
      </c>
      <c r="E7" t="s">
        <v>1121</v>
      </c>
      <c r="F7" s="117">
        <v>3000000</v>
      </c>
      <c r="G7" s="117">
        <v>2500000</v>
      </c>
      <c r="H7" s="117">
        <f>+F7-G7</f>
        <v>500000</v>
      </c>
      <c r="I7" s="116">
        <v>4500000</v>
      </c>
      <c r="J7" t="s">
        <v>1131</v>
      </c>
    </row>
    <row r="8" spans="1:10" s="111" customFormat="1">
      <c r="B8" s="111" t="s">
        <v>806</v>
      </c>
      <c r="C8" s="118">
        <f>SUM(C5:C7)</f>
        <v>15000000</v>
      </c>
      <c r="F8" s="119">
        <f>SUM(F5:F7)</f>
        <v>6500000</v>
      </c>
      <c r="G8" s="119">
        <f>SUM(G5:G7)</f>
        <v>4500000</v>
      </c>
      <c r="H8" s="119">
        <f>SUM(H5:H7)</f>
        <v>2000000</v>
      </c>
      <c r="I8" s="118">
        <f>SUM(I5:I7)</f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2:AG8"/>
  <sheetViews>
    <sheetView zoomScale="62" zoomScaleNormal="62" workbookViewId="0">
      <pane xSplit="2" ySplit="2" topLeftCell="V3" activePane="bottomRight" state="frozen"/>
      <selection activeCell="AA4" sqref="AA4"/>
      <selection pane="topRight" activeCell="AA4" sqref="AA4"/>
      <selection pane="bottomLeft" activeCell="AA4" sqref="AA4"/>
      <selection pane="bottomRight" activeCell="V32" sqref="V32"/>
    </sheetView>
  </sheetViews>
  <sheetFormatPr baseColWidth="10" defaultRowHeight="14.4"/>
  <cols>
    <col min="1" max="1" width="5.77734375" customWidth="1"/>
    <col min="2" max="4" width="19.6640625" customWidth="1"/>
    <col min="5" max="5" width="22.109375" bestFit="1" customWidth="1"/>
    <col min="6" max="6" width="22.109375" customWidth="1"/>
    <col min="7" max="8" width="31.21875" customWidth="1"/>
    <col min="9" max="9" width="19.6640625" customWidth="1"/>
    <col min="10" max="10" width="26.109375" bestFit="1" customWidth="1"/>
    <col min="11" max="11" width="14.6640625" bestFit="1" customWidth="1"/>
    <col min="13" max="13" width="14.6640625" bestFit="1" customWidth="1"/>
    <col min="14" max="15" width="26.109375" bestFit="1" customWidth="1"/>
    <col min="16" max="16" width="16.5546875" bestFit="1" customWidth="1"/>
    <col min="17" max="17" width="14.77734375" bestFit="1" customWidth="1"/>
    <col min="18" max="18" width="14.77734375" customWidth="1"/>
    <col min="19" max="19" width="22.88671875" bestFit="1" customWidth="1"/>
    <col min="20" max="20" width="16.5546875" customWidth="1"/>
    <col min="21" max="22" width="26.109375" bestFit="1" customWidth="1"/>
    <col min="23" max="23" width="13.6640625" bestFit="1" customWidth="1"/>
    <col min="24" max="24" width="26.109375" bestFit="1" customWidth="1"/>
    <col min="25" max="25" width="31.77734375" bestFit="1" customWidth="1"/>
    <col min="26" max="27" width="29.77734375" bestFit="1" customWidth="1"/>
    <col min="28" max="28" width="29.21875" bestFit="1" customWidth="1"/>
    <col min="29" max="29" width="29.21875" customWidth="1"/>
    <col min="30" max="30" width="29.21875" bestFit="1" customWidth="1"/>
    <col min="31" max="31" width="22.5546875" customWidth="1"/>
    <col min="32" max="32" width="26.109375" bestFit="1" customWidth="1"/>
    <col min="33" max="33" width="27.33203125" bestFit="1" customWidth="1"/>
    <col min="34" max="34" width="25.21875" bestFit="1" customWidth="1"/>
    <col min="35" max="36" width="31.21875" customWidth="1"/>
    <col min="37" max="39" width="22.5546875" customWidth="1"/>
    <col min="40" max="40" width="22.88671875" bestFit="1" customWidth="1"/>
    <col min="41" max="41" width="22.88671875" customWidth="1"/>
    <col min="42" max="42" width="29.77734375" bestFit="1" customWidth="1"/>
    <col min="43" max="44" width="29.77734375" customWidth="1"/>
    <col min="45" max="45" width="26" bestFit="1" customWidth="1"/>
    <col min="46" max="46" width="20.44140625" bestFit="1" customWidth="1"/>
  </cols>
  <sheetData>
    <row r="2" spans="1:33" s="82" customFormat="1" ht="43.2">
      <c r="A2" s="82" t="s">
        <v>16</v>
      </c>
      <c r="B2" s="82" t="s">
        <v>3</v>
      </c>
      <c r="C2" s="82" t="s">
        <v>351</v>
      </c>
      <c r="D2" s="82" t="s">
        <v>17</v>
      </c>
      <c r="E2" s="82" t="s">
        <v>690</v>
      </c>
      <c r="F2" s="82" t="s">
        <v>251</v>
      </c>
      <c r="G2" s="82" t="s">
        <v>757</v>
      </c>
      <c r="H2" s="82" t="s">
        <v>691</v>
      </c>
      <c r="I2" s="82" t="s">
        <v>235</v>
      </c>
      <c r="J2" s="82" t="s">
        <v>693</v>
      </c>
      <c r="K2" s="82" t="s">
        <v>11</v>
      </c>
      <c r="L2" s="82" t="s">
        <v>241</v>
      </c>
      <c r="M2" s="85" t="s">
        <v>12</v>
      </c>
      <c r="N2" s="85" t="s">
        <v>13</v>
      </c>
      <c r="O2" s="82" t="s">
        <v>741</v>
      </c>
      <c r="P2" s="82" t="s">
        <v>742</v>
      </c>
      <c r="Q2" s="82" t="s">
        <v>748</v>
      </c>
      <c r="R2" s="83" t="s">
        <v>754</v>
      </c>
      <c r="S2" s="82" t="s">
        <v>26</v>
      </c>
      <c r="T2" s="84" t="s">
        <v>755</v>
      </c>
      <c r="U2" s="83" t="s">
        <v>347</v>
      </c>
      <c r="V2" s="86" t="s">
        <v>744</v>
      </c>
      <c r="W2" s="82" t="s">
        <v>253</v>
      </c>
      <c r="X2" s="82" t="s">
        <v>278</v>
      </c>
      <c r="Y2" s="85" t="s">
        <v>290</v>
      </c>
      <c r="Z2" s="82" t="s">
        <v>252</v>
      </c>
      <c r="AA2" s="82" t="s">
        <v>745</v>
      </c>
      <c r="AB2" s="82" t="s">
        <v>746</v>
      </c>
      <c r="AC2" s="82" t="s">
        <v>756</v>
      </c>
      <c r="AD2" s="82" t="s">
        <v>291</v>
      </c>
      <c r="AE2" s="85" t="s">
        <v>287</v>
      </c>
      <c r="AF2" s="85" t="s">
        <v>701</v>
      </c>
      <c r="AG2" s="82" t="s">
        <v>254</v>
      </c>
    </row>
    <row r="3" spans="1:33">
      <c r="A3">
        <f>+COUNTIF($J$2:J3,"="&amp;Tableau529[[#This Row],[POSTE BUDGETAIRE]])</f>
        <v>1</v>
      </c>
      <c r="B3" t="s">
        <v>50</v>
      </c>
      <c r="D3" t="s">
        <v>345</v>
      </c>
      <c r="F3" t="s">
        <v>759</v>
      </c>
      <c r="G3" t="s">
        <v>344</v>
      </c>
      <c r="J3" t="s">
        <v>316</v>
      </c>
      <c r="K3" s="3">
        <v>700000</v>
      </c>
      <c r="L3" s="60"/>
      <c r="M3" s="3">
        <f>+Tableau529[[#This Row],[MONTANT HT]]*Tableau529[[#This Row],[TAUX TVA]]</f>
        <v>0</v>
      </c>
      <c r="N3" s="3">
        <f>+Tableau529[[#This Row],[MONTANT HT]]+Tableau529[[#This Row],[TVA]]</f>
        <v>700000</v>
      </c>
      <c r="O3" s="3">
        <v>700000</v>
      </c>
      <c r="P3" s="3"/>
      <c r="Q3" s="3" t="s">
        <v>747</v>
      </c>
      <c r="R3" s="54"/>
      <c r="S3">
        <v>5</v>
      </c>
      <c r="U3" s="54"/>
      <c r="V3" s="2" t="str">
        <f>IF(Tableau529[[#This Row],[PREMIERE DATE ECHEANCE]]="","",EDATE(Tableau529[[#This Row],[PREMIERE DATE ECHEANCE]],1)+COUNTIFS(Tableau529[[#This Row],[STATUT (PAYÉ/IMPAYÉ)]],"Impayé")*CHOOSE(MATCH(Tableau529[[#This Row],[PÉRIODICITÉ]],{"hebdomadaire";"quinzaine";"mensuelle";"bimestrielle";"trimestrielle";"semestrielle";"annuelle"},0),7,15,30,60,90,180,365))</f>
        <v/>
      </c>
      <c r="W3" t="s">
        <v>346</v>
      </c>
      <c r="X3" s="2">
        <v>45839</v>
      </c>
      <c r="Y3" s="2" t="e">
        <f ca="1">IF(Tableau529[[#This Row],[PÉRIODICITÉ]]="mensuelle",DATE(YEAR(Tableau529[[#This Row],[DATE DE DEBUT]])+INT((MONTH(Tableau529[[#This Row],[DATE DE DEBUT]])+Tableau529[[#This Row],[MOIS COUVERTS PAR VERSEMENT INITIAL]]+Tableau529[[#This Row],[NBRE PRELEVEMENTS REALISES]]-Tableau529[[#This Row],[NBRE PRELEVEMENTS IMPAYES]]-1)/12),
MOD(MONTH(Tableau529[[#This Row],[DATE DE DEBUT]])+Tableau529[[#This Row],[MOIS COUVERTS PAR VERSEMENT INITIAL]]+Tableau529[[#This Row],[NBRE PRELEVEMENTS REALISES]]-Tableau529[[#This Row],[NBRE PRELEVEMENTS IMPAYES]]-1,12)+1,Tableau529[[#This Row],[JOUR DE PRELEVEMENT]]),
IF(Tableau529[[#This Row],[PÉRIODICITÉ]]="bimestrielle",DATE(YEAR(Tableau529[[#This Row],[DATE DE DEBUT]])+INT((MONTH(Tableau529[[#This Row],[DATE DE DEBUT]])+(Tableau529[[#This Row],[MOIS COUVERTS PAR VERSEMENT INITIAL]]+Tableau529[[#This Row],[NBRE PRELEVEMENTS REALISES]]-Tableau529[[#This Row],[NBRE PRELEVEMENTS IMPAYES]])*2-1)/12),
MOD(MONTH(Tableau529[[#This Row],[DATE DE DEBUT]])+(Tableau529[[#This Row],[MOIS COUVERTS PAR VERSEMENT INITIAL]]+Tableau529[[#This Row],[NBRE PRELEVEMENTS REALISES]]-Tableau529[[#This Row],[NBRE PRELEVEMENTS IMPAYES]])*2-1,12)+1,Tableau529[[#This Row],[JOUR DE PRELEVEMENT]]),
""))</f>
        <v>#VALUE!</v>
      </c>
      <c r="Z3" t="str">
        <f ca="1">IFERROR(
    IF(Tableau529[[#This Row],[NBRE PRELEVEMENTS IMPAYES]]&lt;=0,"PAYÉ",
    IF(Tableau529[[#This Row],[NBRE PRELEVEMENTS REALISES]]&gt;0,"EN RETARD","IMPAYÉ")),"")</f>
        <v>EN RETARD</v>
      </c>
      <c r="AA3" t="str">
        <f ca="1"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
     )
     )
     -Tableau529[[#This Row],[MOIS COUVERTS PAR VERSEMENT INITIAL]]
 )
)</f>
        <v/>
      </c>
      <c r="AB3" t="str">
        <f ca="1"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7,15,30,60,90,180,365)
     )
     -Tableau529[[#This Row],[MOIS COUVERTS PAR VERSEMENT INITIAL]]
     -Tableau529[[#This Row],[NBRE PRELEVEMENTS REALISES]]
 )
)</f>
        <v/>
      </c>
      <c r="AC3" s="2">
        <f>IF(W3="mensuelle",DATE(YEAR(X3),MONTH(X3)+1,DAY(X3)),
IF(W3="hebdomadaire",X3+7,
IF(W3="quinzaine",X3+14,
IF(W3="trimestrielle",DATE(YEAR(X3),MONTH(X3)+3,DAY(X3)),
IF(W3="semestrielle",DATE(YEAR(X3),MONTH(X3)+6,DAY(X3)),
IF(W3="annuelle",DATE(YEAR(X3),MONTH(X3)+12,DAY(X3)),
""))))))</f>
        <v>45870</v>
      </c>
      <c r="AE3" t="s">
        <v>695</v>
      </c>
    </row>
    <row r="4" spans="1:33">
      <c r="A4">
        <f>+COUNTIF($J$2:J4,"="&amp;Tableau529[[#This Row],[POSTE BUDGETAIRE]])</f>
        <v>1</v>
      </c>
      <c r="B4" t="s">
        <v>51</v>
      </c>
      <c r="D4" t="s">
        <v>689</v>
      </c>
      <c r="E4" t="s">
        <v>696</v>
      </c>
      <c r="F4" t="s">
        <v>758</v>
      </c>
      <c r="G4" t="s">
        <v>697</v>
      </c>
      <c r="H4" t="s">
        <v>698</v>
      </c>
      <c r="J4" t="s">
        <v>700</v>
      </c>
      <c r="K4" s="3">
        <v>17796610</v>
      </c>
      <c r="L4" s="60">
        <v>0.18</v>
      </c>
      <c r="M4" s="3">
        <f>+Tableau529[[#This Row],[MONTANT HT]]*Tableau529[[#This Row],[TAUX TVA]]</f>
        <v>3203389.8</v>
      </c>
      <c r="N4" s="3">
        <f>+Tableau529[[#This Row],[MONTANT HT]]+Tableau529[[#This Row],[TVA]]</f>
        <v>20999999.800000001</v>
      </c>
      <c r="O4" s="3">
        <v>1000000</v>
      </c>
      <c r="P4" s="3">
        <v>20</v>
      </c>
      <c r="Q4" s="3" t="s">
        <v>747</v>
      </c>
      <c r="R4" s="54">
        <v>45581</v>
      </c>
      <c r="S4">
        <v>10</v>
      </c>
      <c r="T4">
        <v>3</v>
      </c>
      <c r="U4" s="54">
        <f>IFERROR(EDATE(
    DATE(YEAR(Tableau529[[#This Row],[DATE DE DEBUT]]), MONTH(Tableau529[[#This Row],[DATE DE DEBUT]]), Tableau529[[#This Row],[JOUR DE PRELEVEMENT]]),
    Tableau529[[#This Row],[MOIS COUVERTS PAR VERSEMENT INITIAL]]
),"")</f>
        <v>45667</v>
      </c>
      <c r="V4" s="2">
        <f ca="1">IF(Tableau529[[#This Row],[PREMIERE DATE ECHEANCE]]="","",EDATE(Tableau529[[#This Row],[PREMIERE DATE ECHEANCE]],1)+COUNTIFS(Tableau529[[#This Row],[STATUT (PAYÉ/IMPAYÉ)]],"Impayé")*CHOOSE(MATCH(Tableau529[[#This Row],[PÉRIODICITÉ]],{"hebdomadaire";"quinzaine";"mensuelle";"bimestrielle";"trimestrielle";"semestrielle";"annuelle"},0),7,15,30,60,90,180,365))</f>
        <v>45698</v>
      </c>
      <c r="W4" t="s">
        <v>346</v>
      </c>
      <c r="X4" s="54">
        <v>45581</v>
      </c>
      <c r="Y4" s="2">
        <f ca="1">IF(Tableau529[[#This Row],[PÉRIODICITÉ]]="mensuelle",DATE(YEAR(Tableau529[[#This Row],[DATE DE DEBUT]])+INT((MONTH(Tableau529[[#This Row],[DATE DE DEBUT]])+Tableau529[[#This Row],[MOIS COUVERTS PAR VERSEMENT INITIAL]]+Tableau529[[#This Row],[NBRE PRELEVEMENTS REALISES]]-Tableau529[[#This Row],[NBRE PRELEVEMENTS IMPAYES]]-1)/12),
MOD(MONTH(Tableau529[[#This Row],[DATE DE DEBUT]])+Tableau529[[#This Row],[MOIS COUVERTS PAR VERSEMENT INITIAL]]+Tableau529[[#This Row],[NBRE PRELEVEMENTS REALISES]]-Tableau529[[#This Row],[NBRE PRELEVEMENTS IMPAYES]]-1,12)+1,Tableau529[[#This Row],[JOUR DE PRELEVEMENT]]),
IF(Tableau529[[#This Row],[PÉRIODICITÉ]]="bimestrielle",DATE(YEAR(Tableau529[[#This Row],[DATE DE DEBUT]])+INT((MONTH(Tableau529[[#This Row],[DATE DE DEBUT]])+(Tableau529[[#This Row],[MOIS COUVERTS PAR VERSEMENT INITIAL]]+Tableau529[[#This Row],[NBRE PRELEVEMENTS REALISES]]-Tableau529[[#This Row],[NBRE PRELEVEMENTS IMPAYES]])*2-1)/12),
MOD(MONTH(Tableau529[[#This Row],[DATE DE DEBUT]])+(Tableau529[[#This Row],[MOIS COUVERTS PAR VERSEMENT INITIAL]]+Tableau529[[#This Row],[NBRE PRELEVEMENTS REALISES]]-Tableau529[[#This Row],[NBRE PRELEVEMENTS IMPAYES]])*2-1,12)+1,Tableau529[[#This Row],[JOUR DE PRELEVEMENT]]),
""))</f>
        <v>46001</v>
      </c>
      <c r="Z4" t="str">
        <f ca="1">IFERROR(
    IF(Tableau529[[#This Row],[NBRE PRELEVEMENTS IMPAYES]]&lt;=0,"PAYÉ",
    IF(Tableau529[[#This Row],[NBRE PRELEVEMENTS REALISES]]&gt;0,"EN RETARD","IMPAYÉ")),"")</f>
        <v>PAYÉ</v>
      </c>
      <c r="AA4">
        <f ca="1"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
     )
     )
     -Tableau529[[#This Row],[MOIS COUVERTS PAR VERSEMENT INITIAL]]
 )
)</f>
        <v>11</v>
      </c>
      <c r="AB4">
        <f ca="1">IF(OR(Tableau529[[#This Row],[PREMIERE DATE ECHEANCE]]="",Tableau529[[#This Row],[PÉRIODICITÉ]]=""),"",
 MAX(0,
     INT((TODAY() - Tableau529[[#This Row],[PREMIERE DATE ECHEANCE]]) /
         CHOOSE(MATCH(Tableau529[[#This Row],[PÉRIODICITÉ]],
             {"HEBDOMADAIRE";"QUINZAINE";"MENSUELLE";"BIMESTRIELLE";"TRIMESTRIELLE";"SEMESTRIELLE";"ANNUELLE"},
         0),
         7,15,30,60,90,180,365)
     )
     -Tableau529[[#This Row],[MOIS COUVERTS PAR VERSEMENT INITIAL]]
     -Tableau529[[#This Row],[NBRE PRELEVEMENTS REALISES]]
 )
)</f>
        <v>0</v>
      </c>
      <c r="AC4" s="2">
        <f>IF(W4="mensuelle",DATE(YEAR(X4),MONTH(X4)+1,DAY(X4)),
IF(W4="hebdomadaire",X4+7,
IF(W4="quinzaine",X4+14,
IF(W4="trimestrielle",DATE(YEAR(X4),MONTH(X4)+3,DAY(X4)),
IF(W4="semestrielle",DATE(YEAR(X4),MONTH(X4)+6,DAY(X4)),
IF(W4="annuelle",DATE(YEAR(X4),MONTH(X4)+12,DAY(X4)),
""))))))</f>
        <v>45612</v>
      </c>
      <c r="AE4" t="s">
        <v>694</v>
      </c>
      <c r="AF4" t="s">
        <v>699</v>
      </c>
    </row>
    <row r="6" spans="1:33">
      <c r="N6" s="19"/>
    </row>
    <row r="8" spans="1:33">
      <c r="AA8" t="e">
        <f>IF(TYPE_DE_CONTRAT="ABONNEMENT",MAX(0,X2-Z2),MAX(0,MIN(DUREE,X2)-Z2))</f>
        <v>#NAME?</v>
      </c>
    </row>
  </sheetData>
  <dataValidations count="3">
    <dataValidation type="list" allowBlank="1" showInputMessage="1" showErrorMessage="1" sqref="L3:L4" xr:uid="{00000000-0002-0000-0000-000000000000}">
      <formula1>"0%,9%,18%"</formula1>
    </dataValidation>
    <dataValidation type="list" allowBlank="1" showInputMessage="1" showErrorMessage="1" sqref="Q3:Q4" xr:uid="{00000000-0002-0000-0000-000001000000}">
      <formula1>"JOUR,MOIS"</formula1>
    </dataValidation>
    <dataValidation type="list" allowBlank="1" showInputMessage="1" showErrorMessage="1" sqref="B3:B4" xr:uid="{00000000-0002-0000-0000-000002000000}">
      <formula1>ENTITÉ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DONNEES!$D$18:$D$24</xm:f>
          </x14:formula1>
          <xm:sqref>W3:W4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C87"/>
  <sheetViews>
    <sheetView topLeftCell="A31" workbookViewId="0">
      <selection activeCell="AA4" sqref="AA4"/>
    </sheetView>
  </sheetViews>
  <sheetFormatPr baseColWidth="10" defaultRowHeight="14.4"/>
  <cols>
    <col min="1" max="1" width="2.77734375" customWidth="1"/>
    <col min="2" max="2" width="70.5546875" customWidth="1"/>
    <col min="3" max="3" width="39.77734375" bestFit="1" customWidth="1"/>
  </cols>
  <sheetData>
    <row r="2" spans="2:2" ht="23.4">
      <c r="B2" s="14" t="s">
        <v>141</v>
      </c>
    </row>
    <row r="3" spans="2:2">
      <c r="B3" s="15" t="s">
        <v>142</v>
      </c>
    </row>
    <row r="4" spans="2:2">
      <c r="B4" s="16" t="s">
        <v>143</v>
      </c>
    </row>
    <row r="5" spans="2:2">
      <c r="B5" s="15" t="s">
        <v>144</v>
      </c>
    </row>
    <row r="6" spans="2:2">
      <c r="B6" s="16" t="s">
        <v>145</v>
      </c>
    </row>
    <row r="7" spans="2:2">
      <c r="B7" s="16" t="s">
        <v>146</v>
      </c>
    </row>
    <row r="8" spans="2:2">
      <c r="B8" s="15" t="s">
        <v>147</v>
      </c>
    </row>
    <row r="9" spans="2:2">
      <c r="B9" s="16" t="s">
        <v>148</v>
      </c>
    </row>
    <row r="10" spans="2:2">
      <c r="B10" s="16" t="s">
        <v>149</v>
      </c>
    </row>
    <row r="12" spans="2:2" ht="23.4">
      <c r="B12" s="14" t="s">
        <v>150</v>
      </c>
    </row>
    <row r="13" spans="2:2">
      <c r="B13" s="17" t="s">
        <v>151</v>
      </c>
    </row>
    <row r="14" spans="2:2">
      <c r="B14" s="16" t="s">
        <v>152</v>
      </c>
    </row>
    <row r="15" spans="2:2">
      <c r="B15" s="16" t="s">
        <v>153</v>
      </c>
    </row>
    <row r="16" spans="2:2">
      <c r="B16" s="16" t="s">
        <v>154</v>
      </c>
    </row>
    <row r="18" spans="2:2" s="18" customFormat="1" ht="18">
      <c r="B18" s="18" t="s">
        <v>155</v>
      </c>
    </row>
    <row r="19" spans="2:2">
      <c r="B19" s="17"/>
    </row>
    <row r="20" spans="2:2">
      <c r="B20" s="15" t="s">
        <v>156</v>
      </c>
    </row>
    <row r="21" spans="2:2">
      <c r="B21" s="15" t="s">
        <v>157</v>
      </c>
    </row>
    <row r="22" spans="2:2">
      <c r="B22" s="15" t="s">
        <v>158</v>
      </c>
    </row>
    <row r="23" spans="2:2">
      <c r="B23" s="15" t="s">
        <v>159</v>
      </c>
    </row>
    <row r="28" spans="2:2" ht="31.2">
      <c r="B28" s="104" t="s">
        <v>763</v>
      </c>
    </row>
    <row r="30" spans="2:2" ht="23.4">
      <c r="B30" s="14" t="s">
        <v>764</v>
      </c>
    </row>
    <row r="32" spans="2:2">
      <c r="B32" t="s">
        <v>765</v>
      </c>
    </row>
    <row r="36" spans="2:3" ht="23.4">
      <c r="B36" s="14" t="s">
        <v>766</v>
      </c>
    </row>
    <row r="38" spans="2:3">
      <c r="B38" t="s">
        <v>767</v>
      </c>
    </row>
    <row r="40" spans="2:3">
      <c r="B40" s="107" t="s">
        <v>768</v>
      </c>
      <c r="C40" s="107" t="s">
        <v>769</v>
      </c>
    </row>
    <row r="41" spans="2:3">
      <c r="B41" s="82">
        <v>1</v>
      </c>
      <c r="C41" s="108" t="s">
        <v>770</v>
      </c>
    </row>
    <row r="42" spans="2:3">
      <c r="B42" s="82">
        <v>2</v>
      </c>
      <c r="C42" s="108" t="s">
        <v>771</v>
      </c>
    </row>
    <row r="43" spans="2:3">
      <c r="B43" s="82">
        <v>3</v>
      </c>
      <c r="C43" s="108" t="s">
        <v>772</v>
      </c>
    </row>
    <row r="46" spans="2:3" ht="23.4">
      <c r="B46" s="14" t="s">
        <v>773</v>
      </c>
    </row>
    <row r="48" spans="2:3" ht="18">
      <c r="B48" s="105" t="s">
        <v>774</v>
      </c>
    </row>
    <row r="49" spans="2:2">
      <c r="B49" s="109"/>
    </row>
    <row r="50" spans="2:2">
      <c r="B50" s="110" t="s">
        <v>775</v>
      </c>
    </row>
    <row r="51" spans="2:2">
      <c r="B51" s="109"/>
    </row>
    <row r="52" spans="2:2">
      <c r="B52" s="110" t="s">
        <v>776</v>
      </c>
    </row>
    <row r="53" spans="2:2">
      <c r="B53" s="109"/>
    </row>
    <row r="54" spans="2:2">
      <c r="B54" s="109" t="s">
        <v>777</v>
      </c>
    </row>
    <row r="55" spans="2:2">
      <c r="B55" s="109"/>
    </row>
    <row r="56" spans="2:2">
      <c r="B56" s="109" t="s">
        <v>778</v>
      </c>
    </row>
    <row r="58" spans="2:2" ht="18">
      <c r="B58" s="105" t="s">
        <v>779</v>
      </c>
    </row>
    <row r="59" spans="2:2">
      <c r="B59" s="82"/>
    </row>
    <row r="60" spans="2:2">
      <c r="B60" s="106" t="s">
        <v>780</v>
      </c>
    </row>
    <row r="61" spans="2:2">
      <c r="B61" s="106" t="s">
        <v>781</v>
      </c>
    </row>
    <row r="62" spans="2:2">
      <c r="B62" s="106" t="s">
        <v>782</v>
      </c>
    </row>
    <row r="63" spans="2:2">
      <c r="B63" s="106" t="s">
        <v>783</v>
      </c>
    </row>
    <row r="65" spans="2:3">
      <c r="B65" t="s">
        <v>784</v>
      </c>
    </row>
    <row r="66" spans="2:3">
      <c r="B66" s="82"/>
    </row>
    <row r="67" spans="2:3">
      <c r="B67" s="106" t="s">
        <v>780</v>
      </c>
    </row>
    <row r="68" spans="2:3">
      <c r="B68" s="106" t="s">
        <v>781</v>
      </c>
    </row>
    <row r="69" spans="2:3">
      <c r="B69" s="106" t="s">
        <v>785</v>
      </c>
    </row>
    <row r="70" spans="2:3">
      <c r="B70" s="106" t="s">
        <v>786</v>
      </c>
    </row>
    <row r="74" spans="2:3" ht="23.4">
      <c r="B74" s="14" t="s">
        <v>787</v>
      </c>
    </row>
    <row r="76" spans="2:3" ht="18">
      <c r="B76" s="105" t="s">
        <v>788</v>
      </c>
    </row>
    <row r="78" spans="2:3">
      <c r="B78" s="107" t="s">
        <v>789</v>
      </c>
      <c r="C78" s="107" t="s">
        <v>790</v>
      </c>
    </row>
    <row r="79" spans="2:3">
      <c r="B79" s="82" t="s">
        <v>791</v>
      </c>
      <c r="C79" s="82" t="s">
        <v>792</v>
      </c>
    </row>
    <row r="80" spans="2:3">
      <c r="B80" s="82" t="s">
        <v>793</v>
      </c>
      <c r="C80" s="82" t="s">
        <v>794</v>
      </c>
    </row>
    <row r="81" spans="2:3">
      <c r="B81" s="82" t="s">
        <v>795</v>
      </c>
      <c r="C81" s="82" t="s">
        <v>796</v>
      </c>
    </row>
    <row r="83" spans="2:3" ht="18">
      <c r="B83" s="105" t="s">
        <v>797</v>
      </c>
    </row>
    <row r="84" spans="2:3">
      <c r="B84" s="109"/>
    </row>
    <row r="85" spans="2:3">
      <c r="B85" s="110" t="s">
        <v>798</v>
      </c>
    </row>
    <row r="86" spans="2:3">
      <c r="B86" s="109"/>
    </row>
    <row r="87" spans="2:3">
      <c r="B87" s="109" t="s">
        <v>799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"/>
  <sheetViews>
    <sheetView workbookViewId="0">
      <selection activeCell="AA4" sqref="AA4"/>
    </sheetView>
  </sheetViews>
  <sheetFormatPr baseColWidth="10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I44"/>
  <sheetViews>
    <sheetView topLeftCell="A28" workbookViewId="0">
      <selection activeCell="AA4" sqref="AA4"/>
    </sheetView>
  </sheetViews>
  <sheetFormatPr baseColWidth="10" defaultColWidth="8.77734375" defaultRowHeight="14.4"/>
  <cols>
    <col min="1" max="1" width="15.33203125" bestFit="1" customWidth="1"/>
    <col min="2" max="2" width="10.44140625" bestFit="1" customWidth="1"/>
    <col min="3" max="3" width="21.44140625" customWidth="1"/>
    <col min="4" max="4" width="17.44140625" style="3" customWidth="1"/>
    <col min="5" max="5" width="62.33203125" bestFit="1" customWidth="1"/>
    <col min="6" max="6" width="14.21875" bestFit="1" customWidth="1"/>
    <col min="7" max="7" width="11.77734375" customWidth="1"/>
    <col min="8" max="9" width="23.109375" bestFit="1" customWidth="1"/>
  </cols>
  <sheetData>
    <row r="1" spans="1:9">
      <c r="A1" t="s">
        <v>27</v>
      </c>
      <c r="B1" t="s">
        <v>8</v>
      </c>
      <c r="C1" t="s">
        <v>160</v>
      </c>
      <c r="D1" t="s">
        <v>161</v>
      </c>
      <c r="E1" t="s">
        <v>162</v>
      </c>
      <c r="F1" t="s">
        <v>163</v>
      </c>
      <c r="G1" t="s">
        <v>20</v>
      </c>
      <c r="H1" t="s">
        <v>46</v>
      </c>
      <c r="I1" t="s">
        <v>164</v>
      </c>
    </row>
    <row r="2" spans="1:9">
      <c r="A2" t="s">
        <v>165</v>
      </c>
      <c r="B2" s="2">
        <v>45609</v>
      </c>
      <c r="C2" t="s">
        <v>166</v>
      </c>
      <c r="D2" s="3">
        <v>218300</v>
      </c>
      <c r="E2" t="s">
        <v>167</v>
      </c>
      <c r="G2">
        <v>0</v>
      </c>
      <c r="H2" s="2">
        <f>+Tableau15[[#This Row],[DATE]]+Tableau15[[#This Row],[DELAI]]</f>
        <v>45609</v>
      </c>
      <c r="I2" t="s">
        <v>168</v>
      </c>
    </row>
    <row r="3" spans="1:9">
      <c r="A3" t="s">
        <v>165</v>
      </c>
      <c r="B3" s="2">
        <v>45664</v>
      </c>
      <c r="C3" t="s">
        <v>166</v>
      </c>
      <c r="D3" s="3">
        <v>250000</v>
      </c>
      <c r="E3" t="s">
        <v>169</v>
      </c>
      <c r="G3">
        <v>0</v>
      </c>
      <c r="H3" s="2">
        <f>+Tableau15[[#This Row],[DATE]]+Tableau15[[#This Row],[DELAI]]</f>
        <v>45664</v>
      </c>
      <c r="I3" t="s">
        <v>168</v>
      </c>
    </row>
    <row r="4" spans="1:9">
      <c r="A4" t="s">
        <v>54</v>
      </c>
      <c r="B4" s="2">
        <v>45609</v>
      </c>
      <c r="C4" t="s">
        <v>166</v>
      </c>
      <c r="D4" s="3">
        <v>218300</v>
      </c>
      <c r="E4" t="s">
        <v>167</v>
      </c>
      <c r="G4">
        <v>0</v>
      </c>
      <c r="H4" s="2">
        <f>+Tableau15[[#This Row],[DATE]]+Tableau15[[#This Row],[DELAI]]</f>
        <v>45609</v>
      </c>
      <c r="I4" t="s">
        <v>168</v>
      </c>
    </row>
    <row r="5" spans="1:9">
      <c r="A5" t="s">
        <v>55</v>
      </c>
      <c r="B5" s="2">
        <v>45650</v>
      </c>
      <c r="C5" t="s">
        <v>170</v>
      </c>
      <c r="D5" s="3">
        <v>2550000</v>
      </c>
      <c r="E5" t="s">
        <v>171</v>
      </c>
      <c r="G5">
        <v>0</v>
      </c>
      <c r="H5" s="2">
        <f>+Tableau15[[#This Row],[DATE]]+Tableau15[[#This Row],[DELAI]]</f>
        <v>45650</v>
      </c>
      <c r="I5" t="s">
        <v>172</v>
      </c>
    </row>
    <row r="6" spans="1:9">
      <c r="A6" t="s">
        <v>55</v>
      </c>
      <c r="B6" s="2">
        <v>45665</v>
      </c>
      <c r="C6" t="s">
        <v>166</v>
      </c>
      <c r="D6" s="3">
        <v>82600</v>
      </c>
      <c r="E6" t="s">
        <v>173</v>
      </c>
      <c r="G6">
        <v>0</v>
      </c>
      <c r="H6" s="2">
        <f>+Tableau15[[#This Row],[DATE]]+Tableau15[[#This Row],[DELAI]]</f>
        <v>45665</v>
      </c>
      <c r="I6" t="s">
        <v>168</v>
      </c>
    </row>
    <row r="7" spans="1:9">
      <c r="A7" t="s">
        <v>55</v>
      </c>
      <c r="B7" s="2">
        <v>45670</v>
      </c>
      <c r="C7" t="s">
        <v>166</v>
      </c>
      <c r="D7" s="3">
        <v>111000</v>
      </c>
      <c r="E7" t="s">
        <v>174</v>
      </c>
      <c r="G7">
        <v>0</v>
      </c>
      <c r="H7" s="2">
        <f>+Tableau15[[#This Row],[DATE]]+Tableau15[[#This Row],[DELAI]]</f>
        <v>45670</v>
      </c>
      <c r="I7" t="s">
        <v>168</v>
      </c>
    </row>
    <row r="8" spans="1:9">
      <c r="A8" t="s">
        <v>55</v>
      </c>
      <c r="B8" s="2">
        <v>45670</v>
      </c>
      <c r="C8" t="s">
        <v>166</v>
      </c>
      <c r="D8" s="3">
        <v>221375</v>
      </c>
      <c r="E8" t="s">
        <v>175</v>
      </c>
      <c r="G8">
        <v>0</v>
      </c>
      <c r="H8" s="2">
        <f>+Tableau15[[#This Row],[DATE]]+Tableau15[[#This Row],[DELAI]]</f>
        <v>45670</v>
      </c>
      <c r="I8" t="s">
        <v>168</v>
      </c>
    </row>
    <row r="9" spans="1:9">
      <c r="A9" t="s">
        <v>55</v>
      </c>
      <c r="B9" s="2">
        <v>45670</v>
      </c>
      <c r="C9" t="s">
        <v>166</v>
      </c>
      <c r="D9" s="3">
        <v>93500</v>
      </c>
      <c r="E9" t="s">
        <v>176</v>
      </c>
      <c r="G9">
        <v>0</v>
      </c>
      <c r="H9" s="2">
        <f>+Tableau15[[#This Row],[DATE]]+Tableau15[[#This Row],[DELAI]]</f>
        <v>45670</v>
      </c>
      <c r="I9" t="s">
        <v>168</v>
      </c>
    </row>
    <row r="10" spans="1:9">
      <c r="A10" t="s">
        <v>50</v>
      </c>
      <c r="B10" s="2">
        <v>45653</v>
      </c>
      <c r="C10" t="s">
        <v>170</v>
      </c>
      <c r="D10" s="3">
        <f>100000+473000+123000+42000</f>
        <v>738000</v>
      </c>
      <c r="E10" t="s">
        <v>177</v>
      </c>
      <c r="G10">
        <v>0</v>
      </c>
      <c r="H10" s="2">
        <f>+Tableau15[[#This Row],[DATE]]+Tableau15[[#This Row],[DELAI]]</f>
        <v>45653</v>
      </c>
      <c r="I10" t="s">
        <v>168</v>
      </c>
    </row>
    <row r="11" spans="1:9">
      <c r="A11" t="s">
        <v>50</v>
      </c>
      <c r="B11" s="2">
        <v>45668</v>
      </c>
      <c r="C11" t="s">
        <v>166</v>
      </c>
      <c r="D11" s="3">
        <v>450000</v>
      </c>
      <c r="E11" t="s">
        <v>178</v>
      </c>
      <c r="G11">
        <v>0</v>
      </c>
      <c r="H11" s="2">
        <f>+Tableau15[[#This Row],[DATE]]+Tableau15[[#This Row],[DELAI]]</f>
        <v>45668</v>
      </c>
      <c r="I11" t="s">
        <v>168</v>
      </c>
    </row>
    <row r="12" spans="1:9">
      <c r="A12" t="s">
        <v>52</v>
      </c>
      <c r="B12" s="2">
        <v>45941</v>
      </c>
      <c r="C12" t="s">
        <v>166</v>
      </c>
      <c r="D12" s="3">
        <v>200000</v>
      </c>
      <c r="E12" t="s">
        <v>179</v>
      </c>
      <c r="G12">
        <v>0</v>
      </c>
      <c r="H12" s="2">
        <f>+Tableau15[[#This Row],[DATE]]+Tableau15[[#This Row],[DELAI]]</f>
        <v>45941</v>
      </c>
      <c r="I12" t="s">
        <v>168</v>
      </c>
    </row>
    <row r="13" spans="1:9">
      <c r="A13" t="s">
        <v>52</v>
      </c>
      <c r="B13" s="2">
        <v>45466</v>
      </c>
      <c r="C13" t="s">
        <v>180</v>
      </c>
      <c r="D13" s="3">
        <v>43935</v>
      </c>
      <c r="E13" t="s">
        <v>181</v>
      </c>
      <c r="G13">
        <v>0</v>
      </c>
      <c r="H13" s="2">
        <f>+Tableau15[[#This Row],[DATE]]+Tableau15[[#This Row],[DELAI]]</f>
        <v>45466</v>
      </c>
      <c r="I13" t="s">
        <v>168</v>
      </c>
    </row>
    <row r="14" spans="1:9">
      <c r="A14" t="s">
        <v>52</v>
      </c>
      <c r="B14" s="2">
        <v>45482</v>
      </c>
      <c r="C14" t="s">
        <v>180</v>
      </c>
      <c r="D14" s="3">
        <v>16500</v>
      </c>
      <c r="E14" t="s">
        <v>181</v>
      </c>
      <c r="G14">
        <v>0</v>
      </c>
      <c r="H14" s="2">
        <f>+Tableau15[[#This Row],[DATE]]+Tableau15[[#This Row],[DELAI]]</f>
        <v>45482</v>
      </c>
      <c r="I14" t="s">
        <v>168</v>
      </c>
    </row>
    <row r="15" spans="1:9">
      <c r="A15" t="s">
        <v>52</v>
      </c>
      <c r="B15" s="2">
        <v>45486</v>
      </c>
      <c r="C15" t="s">
        <v>180</v>
      </c>
      <c r="D15" s="3">
        <v>16500</v>
      </c>
      <c r="E15" t="s">
        <v>182</v>
      </c>
      <c r="G15">
        <v>0</v>
      </c>
      <c r="H15" s="2">
        <f>+Tableau15[[#This Row],[DATE]]+Tableau15[[#This Row],[DELAI]]</f>
        <v>45486</v>
      </c>
      <c r="I15" t="s">
        <v>168</v>
      </c>
    </row>
    <row r="16" spans="1:9">
      <c r="A16" t="s">
        <v>52</v>
      </c>
      <c r="B16" s="2">
        <v>45487</v>
      </c>
      <c r="C16" t="s">
        <v>180</v>
      </c>
      <c r="D16" s="3">
        <v>8080</v>
      </c>
      <c r="E16" t="s">
        <v>183</v>
      </c>
      <c r="G16">
        <v>0</v>
      </c>
      <c r="H16" s="2">
        <f>+Tableau15[[#This Row],[DATE]]+Tableau15[[#This Row],[DELAI]]</f>
        <v>45487</v>
      </c>
      <c r="I16" t="s">
        <v>168</v>
      </c>
    </row>
    <row r="17" spans="1:9">
      <c r="A17" t="s">
        <v>52</v>
      </c>
      <c r="B17" s="2">
        <v>45488</v>
      </c>
      <c r="C17" t="s">
        <v>180</v>
      </c>
      <c r="D17" s="3">
        <v>33000</v>
      </c>
      <c r="E17" t="s">
        <v>184</v>
      </c>
      <c r="G17">
        <v>0</v>
      </c>
      <c r="H17" s="2">
        <f>+Tableau15[[#This Row],[DATE]]+Tableau15[[#This Row],[DELAI]]</f>
        <v>45488</v>
      </c>
      <c r="I17" t="s">
        <v>168</v>
      </c>
    </row>
    <row r="18" spans="1:9">
      <c r="A18" t="s">
        <v>52</v>
      </c>
      <c r="B18" s="2">
        <v>45573</v>
      </c>
      <c r="C18" t="s">
        <v>180</v>
      </c>
      <c r="D18" s="3">
        <v>3500</v>
      </c>
      <c r="E18" t="s">
        <v>185</v>
      </c>
      <c r="G18">
        <v>0</v>
      </c>
      <c r="H18" s="2">
        <f>+Tableau15[[#This Row],[DATE]]+Tableau15[[#This Row],[DELAI]]</f>
        <v>45573</v>
      </c>
      <c r="I18" t="s">
        <v>186</v>
      </c>
    </row>
    <row r="19" spans="1:9">
      <c r="A19" t="s">
        <v>52</v>
      </c>
      <c r="B19" s="2">
        <v>45580</v>
      </c>
      <c r="C19" t="s">
        <v>187</v>
      </c>
      <c r="D19" s="3">
        <v>458927</v>
      </c>
      <c r="E19" t="s">
        <v>188</v>
      </c>
      <c r="G19">
        <v>0</v>
      </c>
      <c r="H19" s="2">
        <f>+Tableau15[[#This Row],[DATE]]+Tableau15[[#This Row],[DELAI]]</f>
        <v>45580</v>
      </c>
      <c r="I19" t="s">
        <v>168</v>
      </c>
    </row>
    <row r="20" spans="1:9">
      <c r="A20" t="s">
        <v>52</v>
      </c>
      <c r="B20" s="2">
        <v>45581</v>
      </c>
      <c r="C20" t="s">
        <v>180</v>
      </c>
      <c r="D20" s="3">
        <v>40000</v>
      </c>
      <c r="E20" t="s">
        <v>189</v>
      </c>
      <c r="G20">
        <v>0</v>
      </c>
      <c r="H20" s="2">
        <f>+Tableau15[[#This Row],[DATE]]+Tableau15[[#This Row],[DELAI]]</f>
        <v>45581</v>
      </c>
      <c r="I20" t="s">
        <v>186</v>
      </c>
    </row>
    <row r="21" spans="1:9">
      <c r="A21" t="s">
        <v>52</v>
      </c>
      <c r="B21" s="2">
        <v>45586</v>
      </c>
      <c r="C21" t="s">
        <v>180</v>
      </c>
      <c r="D21" s="3">
        <v>15000</v>
      </c>
      <c r="E21" t="s">
        <v>190</v>
      </c>
      <c r="G21">
        <v>0</v>
      </c>
      <c r="H21" s="2">
        <f>+Tableau15[[#This Row],[DATE]]+Tableau15[[#This Row],[DELAI]]</f>
        <v>45586</v>
      </c>
      <c r="I21" t="s">
        <v>186</v>
      </c>
    </row>
    <row r="22" spans="1:9">
      <c r="A22" t="s">
        <v>52</v>
      </c>
      <c r="B22" s="2">
        <v>45598</v>
      </c>
      <c r="C22" t="s">
        <v>166</v>
      </c>
      <c r="D22" s="3">
        <v>52500</v>
      </c>
      <c r="E22" t="s">
        <v>191</v>
      </c>
      <c r="G22">
        <v>0</v>
      </c>
      <c r="H22" s="2">
        <f>+Tableau15[[#This Row],[DATE]]+Tableau15[[#This Row],[DELAI]]</f>
        <v>45598</v>
      </c>
      <c r="I22" t="s">
        <v>168</v>
      </c>
    </row>
    <row r="23" spans="1:9">
      <c r="A23" t="s">
        <v>52</v>
      </c>
      <c r="B23" s="2">
        <v>45601</v>
      </c>
      <c r="C23" t="s">
        <v>166</v>
      </c>
      <c r="D23" s="3">
        <v>242000</v>
      </c>
      <c r="E23" t="s">
        <v>192</v>
      </c>
      <c r="G23">
        <v>0</v>
      </c>
      <c r="H23" s="2">
        <f>+Tableau15[[#This Row],[DATE]]+Tableau15[[#This Row],[DELAI]]</f>
        <v>45601</v>
      </c>
      <c r="I23" t="s">
        <v>168</v>
      </c>
    </row>
    <row r="24" spans="1:9">
      <c r="A24" t="s">
        <v>52</v>
      </c>
      <c r="B24" s="2">
        <v>45601</v>
      </c>
      <c r="C24" t="s">
        <v>166</v>
      </c>
      <c r="D24" s="3">
        <v>127000</v>
      </c>
      <c r="E24" t="s">
        <v>193</v>
      </c>
      <c r="G24">
        <v>0</v>
      </c>
      <c r="H24" s="2">
        <f>+Tableau15[[#This Row],[DATE]]+Tableau15[[#This Row],[DELAI]]</f>
        <v>45601</v>
      </c>
      <c r="I24" t="s">
        <v>168</v>
      </c>
    </row>
    <row r="25" spans="1:9">
      <c r="A25" t="s">
        <v>52</v>
      </c>
      <c r="B25" s="2">
        <v>45604</v>
      </c>
      <c r="C25" t="s">
        <v>170</v>
      </c>
      <c r="D25" s="3">
        <v>2430130</v>
      </c>
      <c r="E25" t="s">
        <v>194</v>
      </c>
      <c r="G25">
        <v>0</v>
      </c>
      <c r="H25" s="2">
        <f>+Tableau15[[#This Row],[DATE]]+Tableau15[[#This Row],[DELAI]]</f>
        <v>45604</v>
      </c>
      <c r="I25" t="s">
        <v>168</v>
      </c>
    </row>
    <row r="26" spans="1:9">
      <c r="A26" t="s">
        <v>52</v>
      </c>
      <c r="B26" s="2">
        <v>45604</v>
      </c>
      <c r="C26" t="s">
        <v>180</v>
      </c>
      <c r="D26" s="3">
        <v>3900</v>
      </c>
      <c r="E26" t="s">
        <v>195</v>
      </c>
      <c r="G26">
        <v>0</v>
      </c>
      <c r="H26" s="2">
        <f>+Tableau15[[#This Row],[DATE]]+Tableau15[[#This Row],[DELAI]]</f>
        <v>45604</v>
      </c>
      <c r="I26" t="s">
        <v>168</v>
      </c>
    </row>
    <row r="27" spans="1:9">
      <c r="A27" t="s">
        <v>52</v>
      </c>
      <c r="B27" s="2">
        <v>45610</v>
      </c>
      <c r="C27" t="s">
        <v>180</v>
      </c>
      <c r="D27" s="3">
        <v>7850</v>
      </c>
      <c r="E27" t="s">
        <v>196</v>
      </c>
      <c r="G27">
        <v>0</v>
      </c>
      <c r="H27" s="2">
        <f>+Tableau15[[#This Row],[DATE]]+Tableau15[[#This Row],[DELAI]]</f>
        <v>45610</v>
      </c>
      <c r="I27" t="s">
        <v>168</v>
      </c>
    </row>
    <row r="28" spans="1:9">
      <c r="A28" t="s">
        <v>52</v>
      </c>
      <c r="B28" s="2">
        <v>45628</v>
      </c>
      <c r="C28" t="s">
        <v>180</v>
      </c>
      <c r="D28" s="3">
        <v>290000</v>
      </c>
      <c r="E28" t="s">
        <v>197</v>
      </c>
      <c r="G28">
        <v>0</v>
      </c>
      <c r="H28" s="2">
        <f>+Tableau15[[#This Row],[DATE]]+Tableau15[[#This Row],[DELAI]]</f>
        <v>45628</v>
      </c>
      <c r="I28" t="s">
        <v>168</v>
      </c>
    </row>
    <row r="29" spans="1:9">
      <c r="A29" t="s">
        <v>52</v>
      </c>
      <c r="B29" s="2">
        <v>45638</v>
      </c>
      <c r="C29" t="s">
        <v>166</v>
      </c>
      <c r="D29" s="3">
        <v>502000</v>
      </c>
      <c r="E29" t="s">
        <v>198</v>
      </c>
      <c r="G29">
        <v>0</v>
      </c>
      <c r="H29" s="2">
        <f>+Tableau15[[#This Row],[DATE]]+Tableau15[[#This Row],[DELAI]]</f>
        <v>45638</v>
      </c>
      <c r="I29" t="s">
        <v>168</v>
      </c>
    </row>
    <row r="30" spans="1:9">
      <c r="A30" t="s">
        <v>52</v>
      </c>
      <c r="B30" s="2">
        <v>45668</v>
      </c>
      <c r="C30" t="s">
        <v>166</v>
      </c>
      <c r="D30" s="3">
        <v>195000</v>
      </c>
      <c r="E30" t="s">
        <v>199</v>
      </c>
      <c r="G30">
        <v>0</v>
      </c>
      <c r="H30" s="2">
        <f>+Tableau15[[#This Row],[DATE]]+Tableau15[[#This Row],[DELAI]]</f>
        <v>45668</v>
      </c>
      <c r="I30" t="s">
        <v>168</v>
      </c>
    </row>
    <row r="31" spans="1:9">
      <c r="A31" t="s">
        <v>52</v>
      </c>
      <c r="B31" s="2">
        <v>45668</v>
      </c>
      <c r="C31" t="s">
        <v>166</v>
      </c>
      <c r="D31" s="3">
        <v>22725</v>
      </c>
      <c r="E31" t="s">
        <v>200</v>
      </c>
      <c r="G31">
        <v>0</v>
      </c>
      <c r="H31" s="2">
        <f>+Tableau15[[#This Row],[DATE]]+Tableau15[[#This Row],[DELAI]]</f>
        <v>45668</v>
      </c>
      <c r="I31" t="s">
        <v>168</v>
      </c>
    </row>
    <row r="32" spans="1:9">
      <c r="A32" t="s">
        <v>52</v>
      </c>
      <c r="B32" s="2">
        <v>45668</v>
      </c>
      <c r="C32" t="s">
        <v>166</v>
      </c>
      <c r="D32" s="3">
        <v>153400</v>
      </c>
      <c r="E32" t="s">
        <v>201</v>
      </c>
      <c r="G32">
        <v>0</v>
      </c>
      <c r="H32" s="2">
        <f>+Tableau15[[#This Row],[DATE]]+Tableau15[[#This Row],[DELAI]]</f>
        <v>45668</v>
      </c>
      <c r="I32" t="s">
        <v>168</v>
      </c>
    </row>
    <row r="33" spans="1:9">
      <c r="A33" t="s">
        <v>52</v>
      </c>
      <c r="B33" s="2">
        <v>45669</v>
      </c>
      <c r="C33" t="s">
        <v>166</v>
      </c>
      <c r="D33" s="3">
        <v>55550</v>
      </c>
      <c r="E33" t="s">
        <v>202</v>
      </c>
      <c r="G33">
        <v>0</v>
      </c>
      <c r="H33" s="2">
        <f>+Tableau15[[#This Row],[DATE]]+Tableau15[[#This Row],[DELAI]]</f>
        <v>45669</v>
      </c>
      <c r="I33" t="s">
        <v>168</v>
      </c>
    </row>
    <row r="34" spans="1:9">
      <c r="A34" t="s">
        <v>52</v>
      </c>
      <c r="B34" s="2">
        <v>45669</v>
      </c>
      <c r="C34" t="s">
        <v>166</v>
      </c>
      <c r="D34" s="3">
        <v>77770</v>
      </c>
      <c r="E34" t="s">
        <v>203</v>
      </c>
      <c r="G34">
        <v>0</v>
      </c>
      <c r="H34" s="2">
        <f>+Tableau15[[#This Row],[DATE]]+Tableau15[[#This Row],[DELAI]]</f>
        <v>45669</v>
      </c>
      <c r="I34" t="s">
        <v>168</v>
      </c>
    </row>
    <row r="35" spans="1:9">
      <c r="A35" t="s">
        <v>52</v>
      </c>
      <c r="B35" s="2">
        <v>45670</v>
      </c>
      <c r="C35" t="s">
        <v>166</v>
      </c>
      <c r="D35" s="3">
        <v>95000</v>
      </c>
      <c r="E35" t="s">
        <v>204</v>
      </c>
      <c r="G35">
        <v>0</v>
      </c>
      <c r="H35" s="2">
        <f>+Tableau15[[#This Row],[DATE]]+Tableau15[[#This Row],[DELAI]]</f>
        <v>45670</v>
      </c>
      <c r="I35" t="s">
        <v>168</v>
      </c>
    </row>
    <row r="36" spans="1:9">
      <c r="A36" t="s">
        <v>52</v>
      </c>
      <c r="B36" s="2">
        <v>45670</v>
      </c>
      <c r="C36" t="s">
        <v>166</v>
      </c>
      <c r="D36" s="3">
        <v>400000</v>
      </c>
      <c r="E36" t="s">
        <v>205</v>
      </c>
      <c r="G36">
        <v>0</v>
      </c>
      <c r="H36" s="2">
        <f>+Tableau15[[#This Row],[DATE]]+Tableau15[[#This Row],[DELAI]]</f>
        <v>45670</v>
      </c>
      <c r="I36" t="s">
        <v>168</v>
      </c>
    </row>
    <row r="37" spans="1:9">
      <c r="A37" t="s">
        <v>52</v>
      </c>
      <c r="B37" s="2">
        <v>45670</v>
      </c>
      <c r="C37" t="s">
        <v>166</v>
      </c>
      <c r="D37" s="3">
        <v>525200</v>
      </c>
      <c r="E37" t="s">
        <v>202</v>
      </c>
      <c r="G37">
        <v>0</v>
      </c>
      <c r="H37" s="2">
        <f>+Tableau15[[#This Row],[DATE]]+Tableau15[[#This Row],[DELAI]]</f>
        <v>45670</v>
      </c>
      <c r="I37" t="s">
        <v>168</v>
      </c>
    </row>
    <row r="38" spans="1:9">
      <c r="B38" s="2"/>
      <c r="H38" s="2">
        <f>+Tableau15[[#This Row],[DATE]]+Tableau15[[#This Row],[DELAI]]</f>
        <v>0</v>
      </c>
    </row>
    <row r="39" spans="1:9">
      <c r="B39" s="2"/>
      <c r="H39" s="2">
        <f>+Tableau15[[#This Row],[DATE]]+Tableau15[[#This Row],[DELAI]]</f>
        <v>0</v>
      </c>
    </row>
    <row r="40" spans="1:9">
      <c r="B40" s="2"/>
      <c r="H40" s="2">
        <f>+Tableau15[[#This Row],[DATE]]+Tableau15[[#This Row],[DELAI]]</f>
        <v>0</v>
      </c>
    </row>
    <row r="41" spans="1:9">
      <c r="B41" s="2"/>
      <c r="H41" s="2">
        <f>+Tableau15[[#This Row],[DATE]]+Tableau15[[#This Row],[DELAI]]</f>
        <v>0</v>
      </c>
    </row>
    <row r="42" spans="1:9">
      <c r="B42" s="2"/>
      <c r="H42" s="2">
        <f>+Tableau15[[#This Row],[DATE]]+Tableau15[[#This Row],[DELAI]]</f>
        <v>0</v>
      </c>
    </row>
    <row r="43" spans="1:9">
      <c r="B43" s="2"/>
      <c r="H43" s="2">
        <f>+Tableau15[[#This Row],[DATE]]+Tableau15[[#This Row],[DELAI]]</f>
        <v>0</v>
      </c>
    </row>
    <row r="44" spans="1:9">
      <c r="A44" t="s">
        <v>206</v>
      </c>
      <c r="D44" s="19">
        <f>SUBTOTAL(109,Tableau15[MONTANT (FCFA)])</f>
        <v>10948542</v>
      </c>
      <c r="I44">
        <f>SUBTOTAL(103,Tableau15[STATUT])</f>
        <v>36</v>
      </c>
    </row>
  </sheetData>
  <dataValidations count="1">
    <dataValidation type="list" allowBlank="1" showInputMessage="1" showErrorMessage="1" sqref="A2:A43" xr:uid="{00000000-0002-0000-0300-00000000000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N40"/>
  <sheetViews>
    <sheetView topLeftCell="A25" workbookViewId="0">
      <selection activeCell="AA4" sqref="AA4"/>
    </sheetView>
  </sheetViews>
  <sheetFormatPr baseColWidth="10" defaultColWidth="8.77734375" defaultRowHeight="13.8"/>
  <cols>
    <col min="1" max="1" width="17.33203125" style="4" bestFit="1" customWidth="1"/>
    <col min="2" max="2" width="39.33203125" style="4" bestFit="1" customWidth="1"/>
    <col min="3" max="3" width="12.33203125" style="10" bestFit="1" customWidth="1"/>
    <col min="4" max="4" width="16.77734375" style="4" bestFit="1" customWidth="1"/>
    <col min="5" max="5" width="25.88671875" style="4" bestFit="1" customWidth="1"/>
    <col min="6" max="6" width="58.33203125" style="4" bestFit="1" customWidth="1"/>
    <col min="7" max="7" width="23.33203125" style="4" bestFit="1" customWidth="1"/>
    <col min="8" max="8" width="24.5546875" style="4" bestFit="1" customWidth="1"/>
    <col min="9" max="9" width="16.21875" style="4" bestFit="1" customWidth="1"/>
    <col min="10" max="10" width="13.44140625" style="4" bestFit="1" customWidth="1"/>
    <col min="11" max="11" width="18.33203125" style="4" bestFit="1" customWidth="1"/>
    <col min="12" max="12" width="23.5546875" style="4" bestFit="1" customWidth="1"/>
    <col min="13" max="13" width="28.77734375" style="4" bestFit="1" customWidth="1"/>
    <col min="14" max="14" width="20.44140625" style="4" bestFit="1" customWidth="1"/>
    <col min="15" max="16384" width="8.77734375" style="4"/>
  </cols>
  <sheetData>
    <row r="1" spans="1:14">
      <c r="A1" s="4" t="s">
        <v>27</v>
      </c>
      <c r="B1" s="4" t="s">
        <v>17</v>
      </c>
      <c r="C1" s="10" t="s">
        <v>81</v>
      </c>
      <c r="D1" s="4" t="s">
        <v>61</v>
      </c>
      <c r="E1" s="4" t="s">
        <v>63</v>
      </c>
      <c r="F1" s="4" t="s">
        <v>62</v>
      </c>
      <c r="G1" s="4" t="s">
        <v>44</v>
      </c>
      <c r="H1" s="4" t="s">
        <v>45</v>
      </c>
      <c r="I1" s="4" t="s">
        <v>13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19</v>
      </c>
    </row>
    <row r="2" spans="1:14" s="5" customFormat="1" ht="13.2">
      <c r="A2" s="5" t="s">
        <v>52</v>
      </c>
      <c r="B2" s="5" t="s">
        <v>73</v>
      </c>
      <c r="C2" s="11"/>
      <c r="D2" s="5" t="s">
        <v>59</v>
      </c>
      <c r="E2" s="5" t="s">
        <v>58</v>
      </c>
      <c r="F2" s="5" t="s">
        <v>67</v>
      </c>
      <c r="I2" s="13">
        <v>1000000</v>
      </c>
      <c r="M2" s="5" t="s">
        <v>57</v>
      </c>
    </row>
    <row r="3" spans="1:14" s="5" customFormat="1" ht="13.2">
      <c r="A3" s="5" t="s">
        <v>52</v>
      </c>
      <c r="B3" s="5" t="s">
        <v>76</v>
      </c>
      <c r="C3" s="11"/>
      <c r="D3" s="5" t="s">
        <v>59</v>
      </c>
      <c r="E3" s="5" t="s">
        <v>58</v>
      </c>
      <c r="F3" s="5" t="s">
        <v>98</v>
      </c>
      <c r="I3" s="13">
        <v>5050000</v>
      </c>
      <c r="M3" s="5" t="s">
        <v>57</v>
      </c>
    </row>
    <row r="4" spans="1:14" s="5" customFormat="1" ht="13.2">
      <c r="A4" s="5" t="s">
        <v>52</v>
      </c>
      <c r="B4" s="9" t="s">
        <v>101</v>
      </c>
      <c r="C4" s="12" t="s">
        <v>102</v>
      </c>
      <c r="D4" s="5" t="s">
        <v>59</v>
      </c>
      <c r="E4" s="5" t="s">
        <v>58</v>
      </c>
      <c r="F4" s="5" t="s">
        <v>97</v>
      </c>
      <c r="I4" s="13">
        <v>350000</v>
      </c>
      <c r="M4" s="5" t="s">
        <v>57</v>
      </c>
    </row>
    <row r="5" spans="1:14" s="5" customFormat="1" ht="13.2">
      <c r="A5" s="5" t="s">
        <v>52</v>
      </c>
      <c r="B5" s="5" t="s">
        <v>56</v>
      </c>
      <c r="C5" s="11"/>
      <c r="D5" s="5" t="s">
        <v>59</v>
      </c>
      <c r="E5" s="5" t="s">
        <v>58</v>
      </c>
      <c r="F5" s="5" t="s">
        <v>68</v>
      </c>
      <c r="I5" s="13">
        <v>1618400</v>
      </c>
      <c r="M5" s="5" t="s">
        <v>57</v>
      </c>
    </row>
    <row r="6" spans="1:14" s="5" customFormat="1" ht="13.2">
      <c r="A6" s="5" t="s">
        <v>52</v>
      </c>
      <c r="B6" s="5" t="s">
        <v>105</v>
      </c>
      <c r="C6" s="11" t="s">
        <v>106</v>
      </c>
      <c r="D6" s="5" t="s">
        <v>59</v>
      </c>
      <c r="E6" s="5" t="s">
        <v>58</v>
      </c>
      <c r="F6" s="5" t="s">
        <v>104</v>
      </c>
      <c r="I6" s="13">
        <v>610000</v>
      </c>
      <c r="M6" s="5" t="s">
        <v>57</v>
      </c>
    </row>
    <row r="7" spans="1:14" s="5" customFormat="1" ht="13.2">
      <c r="A7" s="5" t="s">
        <v>52</v>
      </c>
      <c r="B7" s="5" t="s">
        <v>64</v>
      </c>
      <c r="C7" s="11"/>
      <c r="D7" s="5" t="s">
        <v>59</v>
      </c>
      <c r="E7" s="5" t="s">
        <v>58</v>
      </c>
      <c r="F7" s="5" t="s">
        <v>100</v>
      </c>
      <c r="I7" s="13">
        <v>1014000</v>
      </c>
      <c r="M7" s="5" t="s">
        <v>57</v>
      </c>
    </row>
    <row r="8" spans="1:14" s="5" customFormat="1" ht="13.2">
      <c r="A8" s="5" t="s">
        <v>52</v>
      </c>
      <c r="B8" s="5" t="s">
        <v>64</v>
      </c>
      <c r="C8" s="11"/>
      <c r="D8" s="5" t="s">
        <v>59</v>
      </c>
      <c r="E8" s="5" t="s">
        <v>58</v>
      </c>
      <c r="F8" s="5" t="s">
        <v>99</v>
      </c>
      <c r="I8" s="13">
        <v>1215500</v>
      </c>
      <c r="M8" s="5" t="s">
        <v>57</v>
      </c>
    </row>
    <row r="9" spans="1:14" s="5" customFormat="1" ht="13.2">
      <c r="A9" s="5" t="s">
        <v>52</v>
      </c>
      <c r="B9" s="5" t="s">
        <v>65</v>
      </c>
      <c r="C9" s="11"/>
      <c r="D9" s="5" t="s">
        <v>59</v>
      </c>
      <c r="E9" s="5" t="s">
        <v>58</v>
      </c>
      <c r="F9" s="5" t="s">
        <v>69</v>
      </c>
      <c r="I9" s="13">
        <v>80000</v>
      </c>
      <c r="M9" s="5" t="s">
        <v>57</v>
      </c>
    </row>
    <row r="10" spans="1:14" s="5" customFormat="1" ht="13.2">
      <c r="A10" s="5" t="s">
        <v>52</v>
      </c>
      <c r="B10" s="5" t="s">
        <v>103</v>
      </c>
      <c r="C10" s="11"/>
      <c r="D10" s="5" t="s">
        <v>59</v>
      </c>
      <c r="E10" s="5" t="s">
        <v>58</v>
      </c>
      <c r="F10" s="5" t="s">
        <v>70</v>
      </c>
      <c r="I10" s="13">
        <v>147510</v>
      </c>
      <c r="M10" s="5" t="s">
        <v>57</v>
      </c>
    </row>
    <row r="11" spans="1:14" s="5" customFormat="1" ht="13.2">
      <c r="A11" s="5" t="s">
        <v>52</v>
      </c>
      <c r="B11" s="5" t="s">
        <v>66</v>
      </c>
      <c r="C11" s="11"/>
      <c r="D11" s="5" t="s">
        <v>60</v>
      </c>
      <c r="E11" s="5" t="s">
        <v>58</v>
      </c>
      <c r="F11" s="5" t="s">
        <v>67</v>
      </c>
      <c r="I11" s="6">
        <v>10640000</v>
      </c>
      <c r="M11" s="5" t="s">
        <v>57</v>
      </c>
    </row>
    <row r="12" spans="1:14" s="5" customFormat="1" ht="13.2">
      <c r="A12" s="5" t="s">
        <v>52</v>
      </c>
      <c r="B12" s="5" t="s">
        <v>51</v>
      </c>
      <c r="C12" s="11"/>
      <c r="D12" s="5" t="s">
        <v>60</v>
      </c>
      <c r="E12" s="5" t="s">
        <v>58</v>
      </c>
      <c r="F12" s="5" t="s">
        <v>71</v>
      </c>
      <c r="I12" s="6">
        <v>3136800</v>
      </c>
      <c r="M12" s="5" t="s">
        <v>57</v>
      </c>
    </row>
    <row r="13" spans="1:14" s="5" customFormat="1" ht="13.2">
      <c r="A13" s="5" t="s">
        <v>52</v>
      </c>
      <c r="B13" s="5" t="s">
        <v>54</v>
      </c>
      <c r="C13" s="11"/>
      <c r="D13" s="5" t="s">
        <v>60</v>
      </c>
      <c r="E13" s="5" t="s">
        <v>58</v>
      </c>
      <c r="F13" s="5" t="s">
        <v>72</v>
      </c>
      <c r="I13" s="6">
        <v>500000</v>
      </c>
      <c r="M13" s="5" t="s">
        <v>57</v>
      </c>
    </row>
    <row r="14" spans="1:14" s="5" customFormat="1" ht="13.2">
      <c r="A14" s="5" t="s">
        <v>54</v>
      </c>
      <c r="B14" s="5" t="s">
        <v>92</v>
      </c>
      <c r="C14" s="11"/>
      <c r="D14" s="5" t="s">
        <v>60</v>
      </c>
      <c r="E14" s="5" t="s">
        <v>6</v>
      </c>
      <c r="F14" s="5" t="s">
        <v>74</v>
      </c>
      <c r="H14" s="8">
        <v>45505</v>
      </c>
      <c r="I14" s="6">
        <v>1860000</v>
      </c>
      <c r="J14" s="8">
        <v>45596</v>
      </c>
      <c r="M14" s="5" t="s">
        <v>57</v>
      </c>
    </row>
    <row r="15" spans="1:14">
      <c r="A15" s="5" t="s">
        <v>54</v>
      </c>
      <c r="B15" s="5" t="s">
        <v>77</v>
      </c>
      <c r="C15" s="11"/>
      <c r="D15" s="5" t="s">
        <v>59</v>
      </c>
      <c r="E15" s="5" t="s">
        <v>58</v>
      </c>
      <c r="F15" s="5" t="s">
        <v>75</v>
      </c>
      <c r="G15" s="5"/>
      <c r="H15" s="8">
        <v>45413</v>
      </c>
      <c r="I15" s="6">
        <v>100000</v>
      </c>
      <c r="J15" s="8">
        <v>45504</v>
      </c>
      <c r="K15" s="5"/>
      <c r="L15" s="5"/>
      <c r="M15" s="5" t="s">
        <v>57</v>
      </c>
      <c r="N15" s="5"/>
    </row>
    <row r="16" spans="1:14">
      <c r="A16" s="5" t="s">
        <v>54</v>
      </c>
      <c r="B16" s="5" t="s">
        <v>79</v>
      </c>
      <c r="C16" s="11" t="s">
        <v>82</v>
      </c>
      <c r="D16" s="5" t="s">
        <v>59</v>
      </c>
      <c r="E16" s="5" t="s">
        <v>58</v>
      </c>
      <c r="F16" s="5" t="s">
        <v>78</v>
      </c>
      <c r="G16" s="5"/>
      <c r="H16" s="8">
        <v>45474</v>
      </c>
      <c r="I16" s="6">
        <v>25000</v>
      </c>
      <c r="J16" s="8">
        <v>45504</v>
      </c>
      <c r="K16" s="5"/>
      <c r="L16" s="5"/>
      <c r="M16" s="5" t="s">
        <v>57</v>
      </c>
      <c r="N16" s="5"/>
    </row>
    <row r="17" spans="1:14">
      <c r="A17" s="5" t="s">
        <v>54</v>
      </c>
      <c r="B17" s="5" t="s">
        <v>80</v>
      </c>
      <c r="C17" s="11" t="s">
        <v>83</v>
      </c>
      <c r="D17" s="5" t="s">
        <v>59</v>
      </c>
      <c r="E17" s="5" t="s">
        <v>58</v>
      </c>
      <c r="F17" s="5" t="s">
        <v>64</v>
      </c>
      <c r="G17" s="5"/>
      <c r="H17" s="8">
        <v>45474</v>
      </c>
      <c r="I17" s="6">
        <v>70000</v>
      </c>
      <c r="J17" s="8">
        <v>45504</v>
      </c>
      <c r="K17" s="5"/>
      <c r="L17" s="5"/>
      <c r="M17" s="5" t="s">
        <v>57</v>
      </c>
      <c r="N17" s="5"/>
    </row>
    <row r="18" spans="1:14">
      <c r="A18" s="5" t="s">
        <v>53</v>
      </c>
      <c r="B18" s="5" t="s">
        <v>84</v>
      </c>
      <c r="C18" s="11"/>
      <c r="D18" s="5" t="s">
        <v>59</v>
      </c>
      <c r="E18" s="5" t="s">
        <v>58</v>
      </c>
      <c r="F18" s="5" t="s">
        <v>86</v>
      </c>
      <c r="G18" s="5"/>
      <c r="H18" s="8">
        <v>45222</v>
      </c>
      <c r="I18" s="6">
        <v>560000</v>
      </c>
      <c r="J18" s="8">
        <v>45222</v>
      </c>
      <c r="K18" s="5"/>
      <c r="L18" s="5"/>
      <c r="M18" s="5" t="s">
        <v>57</v>
      </c>
      <c r="N18" s="5"/>
    </row>
    <row r="19" spans="1:14">
      <c r="A19" s="5" t="s">
        <v>53</v>
      </c>
      <c r="B19" s="5" t="s">
        <v>85</v>
      </c>
      <c r="C19" s="11"/>
      <c r="D19" s="5" t="s">
        <v>59</v>
      </c>
      <c r="E19" s="5" t="s">
        <v>58</v>
      </c>
      <c r="F19" s="5" t="s">
        <v>87</v>
      </c>
      <c r="G19" s="5"/>
      <c r="H19" s="8">
        <v>45199</v>
      </c>
      <c r="I19" s="6">
        <v>5000000</v>
      </c>
      <c r="J19" s="8">
        <v>45199</v>
      </c>
      <c r="K19" s="5"/>
      <c r="L19" s="5"/>
      <c r="M19" s="5" t="s">
        <v>57</v>
      </c>
      <c r="N19" s="5"/>
    </row>
    <row r="20" spans="1:14">
      <c r="A20" s="5" t="s">
        <v>53</v>
      </c>
      <c r="B20" s="5" t="s">
        <v>88</v>
      </c>
      <c r="C20" s="11"/>
      <c r="D20" s="5" t="s">
        <v>59</v>
      </c>
      <c r="E20" s="5" t="s">
        <v>58</v>
      </c>
      <c r="F20" s="5" t="s">
        <v>89</v>
      </c>
      <c r="G20" s="5"/>
      <c r="H20" s="8">
        <v>45352</v>
      </c>
      <c r="I20" s="6">
        <v>90000</v>
      </c>
      <c r="J20" s="8">
        <v>45352</v>
      </c>
      <c r="K20" s="5"/>
      <c r="L20" s="5"/>
      <c r="M20" s="5" t="s">
        <v>57</v>
      </c>
      <c r="N20" s="5"/>
    </row>
    <row r="21" spans="1:14">
      <c r="A21" s="5" t="s">
        <v>53</v>
      </c>
      <c r="B21" s="5" t="s">
        <v>90</v>
      </c>
      <c r="C21" s="11"/>
      <c r="D21" s="5" t="s">
        <v>59</v>
      </c>
      <c r="E21" s="5" t="s">
        <v>58</v>
      </c>
      <c r="F21" s="5" t="s">
        <v>91</v>
      </c>
      <c r="G21" s="5"/>
      <c r="H21" s="8">
        <v>45364</v>
      </c>
      <c r="I21" s="6">
        <v>400000</v>
      </c>
      <c r="J21" s="8">
        <v>45364</v>
      </c>
      <c r="K21" s="5"/>
      <c r="L21" s="5"/>
      <c r="M21" s="5" t="s">
        <v>57</v>
      </c>
      <c r="N21" s="5"/>
    </row>
    <row r="22" spans="1:14">
      <c r="A22" s="5" t="s">
        <v>53</v>
      </c>
      <c r="B22" s="5" t="s">
        <v>52</v>
      </c>
      <c r="C22" s="11"/>
      <c r="D22" s="5" t="s">
        <v>60</v>
      </c>
      <c r="E22" s="5" t="s">
        <v>58</v>
      </c>
      <c r="F22" s="5" t="s">
        <v>93</v>
      </c>
      <c r="G22" s="5"/>
      <c r="H22" s="8">
        <v>45200</v>
      </c>
      <c r="I22" s="6">
        <v>13650000</v>
      </c>
      <c r="J22" s="8">
        <v>45566</v>
      </c>
      <c r="K22" s="5"/>
      <c r="L22" s="5"/>
      <c r="M22" s="5" t="s">
        <v>57</v>
      </c>
      <c r="N22" s="5"/>
    </row>
    <row r="23" spans="1:14">
      <c r="A23" s="5" t="s">
        <v>53</v>
      </c>
      <c r="B23" s="5" t="s">
        <v>96</v>
      </c>
      <c r="C23" s="11"/>
      <c r="D23" s="5" t="s">
        <v>60</v>
      </c>
      <c r="E23" s="5" t="s">
        <v>58</v>
      </c>
      <c r="F23" s="5" t="s">
        <v>94</v>
      </c>
      <c r="G23" s="5"/>
      <c r="H23" s="8">
        <v>45536</v>
      </c>
      <c r="I23" s="6">
        <v>6770000</v>
      </c>
      <c r="J23" s="8">
        <v>45536</v>
      </c>
      <c r="K23" s="5"/>
      <c r="L23" s="5"/>
      <c r="M23" s="5" t="s">
        <v>57</v>
      </c>
      <c r="N23" s="5"/>
    </row>
    <row r="24" spans="1:14">
      <c r="A24" s="5" t="s">
        <v>53</v>
      </c>
      <c r="B24" s="5" t="s">
        <v>95</v>
      </c>
      <c r="C24" s="11"/>
      <c r="D24" s="5" t="s">
        <v>60</v>
      </c>
      <c r="E24" s="5" t="s">
        <v>58</v>
      </c>
      <c r="F24" s="5" t="s">
        <v>94</v>
      </c>
      <c r="G24" s="5"/>
      <c r="H24" s="8">
        <v>45566</v>
      </c>
      <c r="I24" s="6">
        <v>625000</v>
      </c>
      <c r="J24" s="8">
        <v>45566</v>
      </c>
      <c r="K24" s="5"/>
      <c r="L24" s="5"/>
      <c r="M24" s="5" t="s">
        <v>57</v>
      </c>
      <c r="N24" s="5"/>
    </row>
    <row r="25" spans="1:14">
      <c r="A25" s="5" t="s">
        <v>53</v>
      </c>
      <c r="B25" s="5" t="s">
        <v>54</v>
      </c>
      <c r="C25" s="11"/>
      <c r="D25" s="5" t="s">
        <v>60</v>
      </c>
      <c r="E25" s="5" t="s">
        <v>58</v>
      </c>
      <c r="F25" s="5" t="s">
        <v>94</v>
      </c>
      <c r="G25" s="5"/>
      <c r="H25" s="8">
        <v>45566</v>
      </c>
      <c r="I25" s="6">
        <v>150000</v>
      </c>
      <c r="J25" s="8">
        <v>45566</v>
      </c>
      <c r="K25" s="5"/>
      <c r="L25" s="5"/>
      <c r="M25" s="5" t="s">
        <v>57</v>
      </c>
      <c r="N25" s="5"/>
    </row>
    <row r="26" spans="1:14">
      <c r="A26" s="5" t="s">
        <v>51</v>
      </c>
      <c r="B26" s="5" t="s">
        <v>107</v>
      </c>
      <c r="C26" s="11"/>
      <c r="D26" s="5" t="s">
        <v>59</v>
      </c>
      <c r="E26" s="5" t="s">
        <v>58</v>
      </c>
      <c r="F26" s="5" t="s">
        <v>116</v>
      </c>
      <c r="G26" s="5"/>
      <c r="H26" s="5"/>
      <c r="I26" s="6">
        <v>270000</v>
      </c>
      <c r="J26" s="5"/>
      <c r="K26" s="5"/>
      <c r="L26" s="5"/>
      <c r="M26" s="5" t="s">
        <v>57</v>
      </c>
      <c r="N26" s="5"/>
    </row>
    <row r="27" spans="1:14">
      <c r="A27" s="5" t="s">
        <v>51</v>
      </c>
      <c r="B27" s="5" t="s">
        <v>107</v>
      </c>
      <c r="C27" s="11"/>
      <c r="D27" s="5" t="s">
        <v>59</v>
      </c>
      <c r="E27" s="5" t="s">
        <v>58</v>
      </c>
      <c r="F27" s="5" t="s">
        <v>117</v>
      </c>
      <c r="G27" s="5"/>
      <c r="H27" s="5"/>
      <c r="I27" s="6">
        <v>145000</v>
      </c>
      <c r="J27" s="5"/>
      <c r="K27" s="5"/>
      <c r="L27" s="5"/>
      <c r="M27" s="5" t="s">
        <v>57</v>
      </c>
      <c r="N27" s="5"/>
    </row>
    <row r="28" spans="1:14">
      <c r="A28" s="5" t="s">
        <v>51</v>
      </c>
      <c r="B28" s="5" t="s">
        <v>54</v>
      </c>
      <c r="C28" s="11"/>
      <c r="D28" s="5" t="s">
        <v>60</v>
      </c>
      <c r="E28" s="5" t="s">
        <v>58</v>
      </c>
      <c r="F28" s="5" t="s">
        <v>118</v>
      </c>
      <c r="G28" s="5"/>
      <c r="H28" s="5"/>
      <c r="I28" s="6">
        <v>1935000</v>
      </c>
      <c r="J28" s="5"/>
      <c r="K28" s="5"/>
      <c r="L28" s="5"/>
      <c r="M28" s="5" t="s">
        <v>57</v>
      </c>
      <c r="N28" s="5"/>
    </row>
    <row r="29" spans="1:14">
      <c r="A29" s="5" t="s">
        <v>51</v>
      </c>
      <c r="B29" s="5" t="s">
        <v>108</v>
      </c>
      <c r="C29" s="11"/>
      <c r="D29" s="5" t="s">
        <v>59</v>
      </c>
      <c r="E29" s="5" t="s">
        <v>58</v>
      </c>
      <c r="F29" s="5" t="s">
        <v>119</v>
      </c>
      <c r="G29" s="5"/>
      <c r="H29" s="5"/>
      <c r="I29" s="6">
        <v>50000</v>
      </c>
      <c r="J29" s="5"/>
      <c r="K29" s="5"/>
      <c r="L29" s="5"/>
      <c r="M29" s="5" t="s">
        <v>57</v>
      </c>
      <c r="N29" s="5"/>
    </row>
    <row r="30" spans="1:14">
      <c r="A30" s="5" t="s">
        <v>51</v>
      </c>
      <c r="B30" s="5" t="s">
        <v>109</v>
      </c>
      <c r="C30" s="11"/>
      <c r="D30" s="5" t="s">
        <v>59</v>
      </c>
      <c r="E30" s="5" t="s">
        <v>58</v>
      </c>
      <c r="F30" s="5" t="s">
        <v>120</v>
      </c>
      <c r="G30" s="5"/>
      <c r="H30" s="5"/>
      <c r="I30" s="6">
        <v>150000</v>
      </c>
      <c r="J30" s="5"/>
      <c r="K30" s="5"/>
      <c r="L30" s="5"/>
      <c r="M30" s="5" t="s">
        <v>57</v>
      </c>
      <c r="N30" s="5"/>
    </row>
    <row r="31" spans="1:14">
      <c r="A31" s="5" t="s">
        <v>51</v>
      </c>
      <c r="B31" s="5" t="s">
        <v>110</v>
      </c>
      <c r="C31" s="11"/>
      <c r="D31" s="5" t="s">
        <v>59</v>
      </c>
      <c r="E31" s="5" t="s">
        <v>58</v>
      </c>
      <c r="F31" s="5" t="s">
        <v>121</v>
      </c>
      <c r="G31" s="5"/>
      <c r="H31" s="5"/>
      <c r="I31" s="6">
        <v>50000</v>
      </c>
      <c r="J31" s="5"/>
      <c r="K31" s="5"/>
      <c r="L31" s="5"/>
      <c r="M31" s="5" t="s">
        <v>57</v>
      </c>
      <c r="N31" s="5"/>
    </row>
    <row r="32" spans="1:14">
      <c r="A32" s="5" t="s">
        <v>51</v>
      </c>
      <c r="B32" s="5" t="s">
        <v>111</v>
      </c>
      <c r="C32" s="11"/>
      <c r="D32" s="5" t="s">
        <v>59</v>
      </c>
      <c r="E32" s="5" t="s">
        <v>58</v>
      </c>
      <c r="F32" s="5" t="s">
        <v>122</v>
      </c>
      <c r="G32" s="5"/>
      <c r="H32" s="5"/>
      <c r="I32" s="6">
        <v>250000</v>
      </c>
      <c r="J32" s="5"/>
      <c r="K32" s="5"/>
      <c r="L32" s="5"/>
      <c r="M32" s="5" t="s">
        <v>57</v>
      </c>
      <c r="N32" s="5"/>
    </row>
    <row r="33" spans="1:14">
      <c r="A33" s="5" t="s">
        <v>51</v>
      </c>
      <c r="B33" s="5" t="s">
        <v>112</v>
      </c>
      <c r="C33" s="11"/>
      <c r="D33" s="5" t="s">
        <v>59</v>
      </c>
      <c r="E33" s="5" t="s">
        <v>58</v>
      </c>
      <c r="F33" s="5" t="s">
        <v>123</v>
      </c>
      <c r="G33" s="5"/>
      <c r="H33" s="5"/>
      <c r="I33" s="6">
        <v>30000</v>
      </c>
      <c r="J33" s="5"/>
      <c r="K33" s="5"/>
      <c r="L33" s="5"/>
      <c r="M33" s="5" t="s">
        <v>57</v>
      </c>
      <c r="N33" s="5"/>
    </row>
    <row r="34" spans="1:14">
      <c r="A34" s="5" t="s">
        <v>51</v>
      </c>
      <c r="B34" s="5" t="s">
        <v>113</v>
      </c>
      <c r="C34" s="11"/>
      <c r="D34" s="5" t="s">
        <v>59</v>
      </c>
      <c r="E34" s="5" t="s">
        <v>58</v>
      </c>
      <c r="F34" s="5" t="s">
        <v>124</v>
      </c>
      <c r="G34" s="5"/>
      <c r="H34" s="5"/>
      <c r="I34" s="6">
        <v>150000</v>
      </c>
      <c r="J34" s="5"/>
      <c r="K34" s="5"/>
      <c r="L34" s="5"/>
      <c r="M34" s="5" t="s">
        <v>57</v>
      </c>
      <c r="N34" s="5"/>
    </row>
    <row r="35" spans="1:14">
      <c r="A35" s="5" t="s">
        <v>51</v>
      </c>
      <c r="B35" s="5" t="s">
        <v>114</v>
      </c>
      <c r="C35" s="11"/>
      <c r="D35" s="5" t="s">
        <v>59</v>
      </c>
      <c r="E35" s="5" t="s">
        <v>58</v>
      </c>
      <c r="F35" s="5" t="s">
        <v>125</v>
      </c>
      <c r="G35" s="5"/>
      <c r="H35" s="5"/>
      <c r="I35" s="6">
        <v>30000</v>
      </c>
      <c r="J35" s="5"/>
      <c r="K35" s="5"/>
      <c r="L35" s="5"/>
      <c r="M35" s="5" t="s">
        <v>57</v>
      </c>
      <c r="N35" s="5"/>
    </row>
    <row r="36" spans="1:14">
      <c r="A36" s="5" t="s">
        <v>51</v>
      </c>
      <c r="B36" s="5" t="s">
        <v>115</v>
      </c>
      <c r="C36" s="11"/>
      <c r="D36" s="5" t="s">
        <v>59</v>
      </c>
      <c r="E36" s="5" t="s">
        <v>58</v>
      </c>
      <c r="F36" s="5" t="s">
        <v>126</v>
      </c>
      <c r="G36" s="5"/>
      <c r="H36" s="5"/>
      <c r="I36" s="6">
        <v>565462</v>
      </c>
      <c r="J36" s="5"/>
      <c r="K36" s="5"/>
      <c r="L36" s="5"/>
      <c r="M36" s="5" t="s">
        <v>57</v>
      </c>
      <c r="N36" s="5"/>
    </row>
    <row r="37" spans="1:14">
      <c r="A37" s="5" t="s">
        <v>55</v>
      </c>
      <c r="B37" s="5" t="s">
        <v>127</v>
      </c>
      <c r="C37" s="11"/>
      <c r="D37" s="5" t="s">
        <v>60</v>
      </c>
      <c r="E37" s="5" t="s">
        <v>58</v>
      </c>
      <c r="F37" s="5" t="s">
        <v>128</v>
      </c>
      <c r="G37" s="5"/>
      <c r="H37" s="5"/>
      <c r="I37" s="6">
        <v>2968862</v>
      </c>
      <c r="J37" s="5"/>
      <c r="K37" s="5"/>
      <c r="L37" s="5"/>
      <c r="M37" s="5" t="s">
        <v>57</v>
      </c>
      <c r="N37" s="5"/>
    </row>
    <row r="38" spans="1:14">
      <c r="A38" s="5" t="s">
        <v>55</v>
      </c>
      <c r="B38" s="5" t="s">
        <v>127</v>
      </c>
      <c r="C38" s="11"/>
      <c r="D38" s="5" t="s">
        <v>60</v>
      </c>
      <c r="E38" s="5" t="s">
        <v>58</v>
      </c>
      <c r="F38" s="5" t="s">
        <v>129</v>
      </c>
      <c r="G38" s="5"/>
      <c r="H38" s="5"/>
      <c r="I38" s="6">
        <v>296180</v>
      </c>
      <c r="J38" s="5"/>
      <c r="K38" s="5"/>
      <c r="L38" s="5"/>
      <c r="M38" s="5" t="s">
        <v>57</v>
      </c>
      <c r="N38" s="5"/>
    </row>
    <row r="39" spans="1:14">
      <c r="A39" s="5" t="s">
        <v>55</v>
      </c>
      <c r="B39" s="5" t="s">
        <v>127</v>
      </c>
      <c r="C39" s="11"/>
      <c r="D39" s="5" t="s">
        <v>60</v>
      </c>
      <c r="E39" s="5" t="s">
        <v>58</v>
      </c>
      <c r="F39" s="5" t="s">
        <v>130</v>
      </c>
      <c r="G39" s="5"/>
      <c r="H39" s="5"/>
      <c r="I39" s="6">
        <v>410000</v>
      </c>
      <c r="J39" s="5"/>
      <c r="K39" s="5"/>
      <c r="L39" s="5"/>
      <c r="M39" s="5" t="s">
        <v>57</v>
      </c>
      <c r="N39" s="5"/>
    </row>
    <row r="40" spans="1:14">
      <c r="A40" s="5" t="str">
        <f>+UPPER("Total")</f>
        <v>TOTAL</v>
      </c>
      <c r="B40" s="5"/>
      <c r="C40" s="11"/>
      <c r="D40" s="5"/>
      <c r="E40" s="5"/>
      <c r="F40" s="5"/>
      <c r="G40" s="5"/>
      <c r="H40" s="5"/>
      <c r="I40" s="7">
        <f>SUBTOTAL(109,Tableau1[MONTANT TTC])</f>
        <v>61962714</v>
      </c>
      <c r="J40" s="5"/>
      <c r="K40" s="5"/>
      <c r="L40" s="5"/>
      <c r="M40" s="5"/>
      <c r="N40" s="5">
        <f>SUBTOTAL(103,Tableau1[DATE DE PAIEMENT])</f>
        <v>0</v>
      </c>
    </row>
  </sheetData>
  <dataValidations count="3">
    <dataValidation type="list" allowBlank="1" showInputMessage="1" showErrorMessage="1" sqref="A2:A39" xr:uid="{00000000-0002-0000-0400-000000000000}">
      <formula1>ENTITE</formula1>
    </dataValidation>
    <dataValidation type="list" allowBlank="1" showInputMessage="1" showErrorMessage="1" sqref="M2:M39" xr:uid="{00000000-0002-0000-0400-000001000000}">
      <formula1>"PAYE,EN ATTENTE"</formula1>
    </dataValidation>
    <dataValidation type="list" allowBlank="1" showInputMessage="1" showErrorMessage="1" sqref="E2:E39" xr:uid="{00000000-0002-0000-0400-000002000000}">
      <formula1>"FRAIS GENERAUX,ACHATS D 'EXPLOITATION"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B2:O24"/>
  <sheetViews>
    <sheetView workbookViewId="0">
      <selection activeCell="AA4" sqref="AA4"/>
    </sheetView>
  </sheetViews>
  <sheetFormatPr baseColWidth="10" defaultRowHeight="14.4"/>
  <cols>
    <col min="2" max="2" width="15.33203125" bestFit="1" customWidth="1"/>
    <col min="3" max="3" width="12.44140625" bestFit="1" customWidth="1"/>
    <col min="4" max="4" width="35.88671875" bestFit="1" customWidth="1"/>
    <col min="5" max="5" width="42.77734375" bestFit="1" customWidth="1"/>
    <col min="6" max="6" width="16.77734375" customWidth="1"/>
    <col min="7" max="7" width="21.77734375" bestFit="1" customWidth="1"/>
    <col min="9" max="9" width="20" bestFit="1" customWidth="1"/>
    <col min="10" max="11" width="11.21875" customWidth="1"/>
    <col min="12" max="13" width="13.21875" bestFit="1" customWidth="1"/>
    <col min="15" max="15" width="33.5546875" bestFit="1" customWidth="1"/>
  </cols>
  <sheetData>
    <row r="2" spans="2:15">
      <c r="B2" t="s">
        <v>207</v>
      </c>
      <c r="D2" t="s">
        <v>208</v>
      </c>
      <c r="E2" t="s">
        <v>567</v>
      </c>
      <c r="G2" t="s">
        <v>209</v>
      </c>
      <c r="I2" t="s">
        <v>210</v>
      </c>
      <c r="K2" t="s">
        <v>211</v>
      </c>
      <c r="M2" t="s">
        <v>212</v>
      </c>
      <c r="O2" t="s">
        <v>213</v>
      </c>
    </row>
    <row r="3" spans="2:15">
      <c r="B3" t="s">
        <v>50</v>
      </c>
      <c r="D3" t="s">
        <v>17</v>
      </c>
      <c r="E3" t="s">
        <v>561</v>
      </c>
      <c r="G3" t="s">
        <v>214</v>
      </c>
      <c r="I3" t="s">
        <v>215</v>
      </c>
      <c r="K3" t="s">
        <v>216</v>
      </c>
      <c r="M3" t="s">
        <v>217</v>
      </c>
      <c r="O3" t="s">
        <v>218</v>
      </c>
    </row>
    <row r="4" spans="2:15">
      <c r="B4" t="s">
        <v>52</v>
      </c>
      <c r="D4" t="s">
        <v>219</v>
      </c>
      <c r="E4" t="s">
        <v>565</v>
      </c>
      <c r="G4" t="s">
        <v>220</v>
      </c>
      <c r="I4" t="s">
        <v>221</v>
      </c>
      <c r="K4" t="s">
        <v>222</v>
      </c>
      <c r="M4" t="s">
        <v>223</v>
      </c>
      <c r="O4" t="s">
        <v>224</v>
      </c>
    </row>
    <row r="5" spans="2:15">
      <c r="B5" t="s">
        <v>55</v>
      </c>
      <c r="D5" t="s">
        <v>225</v>
      </c>
      <c r="E5" t="s">
        <v>563</v>
      </c>
      <c r="G5" t="s">
        <v>226</v>
      </c>
      <c r="I5" t="s">
        <v>227</v>
      </c>
      <c r="M5" t="s">
        <v>228</v>
      </c>
    </row>
    <row r="6" spans="2:15">
      <c r="B6" t="s">
        <v>165</v>
      </c>
      <c r="D6" t="s">
        <v>568</v>
      </c>
      <c r="E6" t="s">
        <v>566</v>
      </c>
      <c r="G6" t="s">
        <v>229</v>
      </c>
    </row>
    <row r="7" spans="2:15">
      <c r="B7" t="s">
        <v>54</v>
      </c>
      <c r="D7" t="s">
        <v>569</v>
      </c>
      <c r="E7" t="s">
        <v>562</v>
      </c>
      <c r="G7" t="s">
        <v>230</v>
      </c>
      <c r="K7" t="s">
        <v>241</v>
      </c>
    </row>
    <row r="8" spans="2:15">
      <c r="D8" t="s">
        <v>570</v>
      </c>
      <c r="E8" t="s">
        <v>564</v>
      </c>
      <c r="G8" t="s">
        <v>214</v>
      </c>
      <c r="K8" s="60">
        <v>0</v>
      </c>
    </row>
    <row r="9" spans="2:15">
      <c r="D9" t="s">
        <v>578</v>
      </c>
      <c r="E9" t="s">
        <v>579</v>
      </c>
      <c r="G9" t="s">
        <v>220</v>
      </c>
      <c r="K9" s="60">
        <v>0.09</v>
      </c>
    </row>
    <row r="10" spans="2:15">
      <c r="G10" t="s">
        <v>226</v>
      </c>
      <c r="I10" t="s">
        <v>35</v>
      </c>
      <c r="K10" s="60">
        <v>0.18</v>
      </c>
    </row>
    <row r="11" spans="2:15">
      <c r="G11" t="s">
        <v>229</v>
      </c>
      <c r="I11" t="s">
        <v>36</v>
      </c>
    </row>
    <row r="12" spans="2:15">
      <c r="D12" t="s">
        <v>231</v>
      </c>
      <c r="G12" t="s">
        <v>230</v>
      </c>
      <c r="I12" t="s">
        <v>37</v>
      </c>
    </row>
    <row r="13" spans="2:15">
      <c r="D13" t="s">
        <v>232</v>
      </c>
      <c r="G13" t="s">
        <v>214</v>
      </c>
      <c r="I13" t="s">
        <v>38</v>
      </c>
    </row>
    <row r="14" spans="2:15">
      <c r="D14" t="s">
        <v>233</v>
      </c>
      <c r="G14" t="s">
        <v>220</v>
      </c>
      <c r="I14" t="s">
        <v>39</v>
      </c>
    </row>
    <row r="15" spans="2:15">
      <c r="G15" t="s">
        <v>226</v>
      </c>
      <c r="I15" t="s">
        <v>40</v>
      </c>
    </row>
    <row r="16" spans="2:15">
      <c r="G16" t="s">
        <v>229</v>
      </c>
      <c r="I16" t="s">
        <v>41</v>
      </c>
    </row>
    <row r="17" spans="4:9">
      <c r="D17" t="s">
        <v>743</v>
      </c>
      <c r="G17" t="s">
        <v>230</v>
      </c>
      <c r="I17" t="s">
        <v>42</v>
      </c>
    </row>
    <row r="18" spans="4:9">
      <c r="D18" t="s">
        <v>749</v>
      </c>
      <c r="I18" t="s">
        <v>43</v>
      </c>
    </row>
    <row r="19" spans="4:9">
      <c r="D19" t="s">
        <v>750</v>
      </c>
    </row>
    <row r="20" spans="4:9">
      <c r="D20" t="s">
        <v>346</v>
      </c>
    </row>
    <row r="21" spans="4:9">
      <c r="D21" t="s">
        <v>760</v>
      </c>
    </row>
    <row r="22" spans="4:9">
      <c r="D22" t="s">
        <v>751</v>
      </c>
    </row>
    <row r="23" spans="4:9">
      <c r="D23" t="s">
        <v>752</v>
      </c>
    </row>
    <row r="24" spans="4:9">
      <c r="D24" t="s">
        <v>753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A1:Y93"/>
  <sheetViews>
    <sheetView topLeftCell="A76" workbookViewId="0">
      <selection activeCell="AA4" sqref="AA4"/>
    </sheetView>
  </sheetViews>
  <sheetFormatPr baseColWidth="10" defaultColWidth="9" defaultRowHeight="14.4" outlineLevelCol="1"/>
  <cols>
    <col min="1" max="1" width="18.88671875" style="4" customWidth="1"/>
    <col min="2" max="2" width="21.88671875" style="4" bestFit="1" customWidth="1"/>
    <col min="3" max="3" width="19.21875" style="4" bestFit="1" customWidth="1"/>
    <col min="4" max="4" width="21.21875" style="4" bestFit="1" customWidth="1"/>
    <col min="5" max="5" width="21.21875" style="4" bestFit="1" customWidth="1" outlineLevel="1"/>
    <col min="6" max="6" width="31.77734375" style="4" bestFit="1" customWidth="1"/>
    <col min="7" max="7" width="33.33203125" style="4" bestFit="1" customWidth="1"/>
    <col min="8" max="8" width="36.33203125" style="4" bestFit="1" customWidth="1"/>
    <col min="9" max="9" width="36.33203125" style="4" customWidth="1" outlineLevel="1"/>
    <col min="10" max="10" width="38.109375" style="4" bestFit="1" customWidth="1"/>
    <col min="11" max="11" width="64.21875" style="4" bestFit="1" customWidth="1"/>
    <col min="12" max="12" width="64.33203125" style="4" bestFit="1" customWidth="1"/>
    <col min="13" max="13" width="24.44140625" bestFit="1" customWidth="1"/>
    <col min="14" max="14" width="14.44140625" bestFit="1" customWidth="1"/>
    <col min="15" max="15" width="19" bestFit="1" customWidth="1"/>
    <col min="16" max="16" width="18.5546875" bestFit="1" customWidth="1"/>
    <col min="17" max="17" width="18.5546875" customWidth="1"/>
    <col min="18" max="18" width="26.77734375" style="4" customWidth="1" outlineLevel="1"/>
    <col min="19" max="19" width="18.88671875" style="4" customWidth="1" outlineLevel="1"/>
    <col min="20" max="20" width="18.44140625" style="4" customWidth="1" outlineLevel="1"/>
    <col min="21" max="21" width="18.44140625" style="4" bestFit="1" customWidth="1" outlineLevel="1"/>
    <col min="22" max="22" width="28.21875" style="4" customWidth="1" outlineLevel="1"/>
    <col min="23" max="23" width="30.6640625" style="4" customWidth="1" outlineLevel="1"/>
    <col min="24" max="24" width="30.6640625" style="4" bestFit="1" customWidth="1"/>
    <col min="25" max="25" width="28.21875" style="4" bestFit="1" customWidth="1"/>
    <col min="26" max="26" width="30.6640625" style="4" bestFit="1" customWidth="1"/>
    <col min="27" max="27" width="19.6640625" style="4" bestFit="1" customWidth="1"/>
    <col min="28" max="28" width="30.6640625" style="4" bestFit="1" customWidth="1"/>
    <col min="29" max="29" width="17.109375" style="4" customWidth="1"/>
    <col min="30" max="16384" width="9" style="4"/>
  </cols>
  <sheetData>
    <row r="1" spans="1:25" s="20" customFormat="1" ht="17.399999999999999">
      <c r="A1" s="20" t="s">
        <v>234</v>
      </c>
    </row>
    <row r="2" spans="1:25" ht="13.8">
      <c r="M2" s="4"/>
      <c r="N2" s="4"/>
      <c r="O2" s="4"/>
      <c r="P2" s="4"/>
      <c r="Q2" s="4"/>
    </row>
    <row r="3" spans="1:25" s="52" customFormat="1" ht="27.6">
      <c r="A3" s="49" t="s">
        <v>3</v>
      </c>
      <c r="B3" s="49" t="s">
        <v>525</v>
      </c>
      <c r="C3" s="50" t="s">
        <v>341</v>
      </c>
      <c r="D3" s="50" t="s">
        <v>235</v>
      </c>
      <c r="E3" s="50" t="s">
        <v>236</v>
      </c>
      <c r="F3" s="49" t="s">
        <v>231</v>
      </c>
      <c r="G3" s="49" t="s">
        <v>237</v>
      </c>
      <c r="H3" s="49" t="s">
        <v>163</v>
      </c>
      <c r="I3" s="50" t="s">
        <v>238</v>
      </c>
      <c r="J3" s="50" t="s">
        <v>239</v>
      </c>
      <c r="K3" s="50" t="s">
        <v>240</v>
      </c>
      <c r="L3" s="50" t="s">
        <v>18</v>
      </c>
      <c r="M3" s="50" t="s">
        <v>303</v>
      </c>
      <c r="N3" s="49" t="s">
        <v>11</v>
      </c>
      <c r="O3" s="49" t="s">
        <v>241</v>
      </c>
      <c r="P3" s="49" t="s">
        <v>296</v>
      </c>
      <c r="Q3" s="49" t="s">
        <v>13</v>
      </c>
      <c r="R3" s="49" t="s">
        <v>243</v>
      </c>
      <c r="S3" s="76" t="s">
        <v>244</v>
      </c>
      <c r="T3" s="49" t="s">
        <v>245</v>
      </c>
      <c r="U3" s="49" t="s">
        <v>246</v>
      </c>
      <c r="V3" s="49" t="s">
        <v>247</v>
      </c>
      <c r="W3" s="49" t="s">
        <v>248</v>
      </c>
      <c r="X3" s="49" t="s">
        <v>249</v>
      </c>
      <c r="Y3" s="49" t="s">
        <v>250</v>
      </c>
    </row>
    <row r="4" spans="1:25" ht="13.8">
      <c r="A4" s="4" t="s">
        <v>55</v>
      </c>
      <c r="C4" s="43">
        <v>45680</v>
      </c>
      <c r="D4" s="4" t="s">
        <v>292</v>
      </c>
      <c r="E4" s="10"/>
      <c r="F4" s="4" t="s">
        <v>232</v>
      </c>
      <c r="H4" s="4" t="s">
        <v>293</v>
      </c>
      <c r="K4" s="4" t="s">
        <v>294</v>
      </c>
      <c r="L4" s="4" t="s">
        <v>295</v>
      </c>
      <c r="M4" s="4" t="s">
        <v>304</v>
      </c>
      <c r="N4" s="44">
        <v>15000</v>
      </c>
      <c r="O4" s="61">
        <v>0</v>
      </c>
      <c r="P4" s="44">
        <f>+Tableau2229[[#This Row],[MONTANT HT]]*Tableau2229[[#This Row],[TAUX TVA]]</f>
        <v>0</v>
      </c>
      <c r="Q4" s="44">
        <f>+Tableau2229[[#This Row],[MONTANT HT]]+Tableau2229[[#This Row],[MONTANT TVA]]</f>
        <v>15000</v>
      </c>
      <c r="R4" s="44"/>
      <c r="S4" s="44">
        <f>+Tableau2229[[#This Row],[MONTANT TTC]]-Tableau2229[[#This Row],[MONTANT PAYÉ (FCFA)]]</f>
        <v>15000</v>
      </c>
    </row>
    <row r="5" spans="1:25" ht="13.8">
      <c r="A5" s="45" t="s">
        <v>52</v>
      </c>
      <c r="B5" s="45"/>
      <c r="C5" s="43">
        <v>45681</v>
      </c>
      <c r="D5" s="4" t="s">
        <v>300</v>
      </c>
      <c r="E5" s="59"/>
      <c r="F5" s="4" t="s">
        <v>232</v>
      </c>
      <c r="G5" s="45"/>
      <c r="H5" s="45" t="s">
        <v>301</v>
      </c>
      <c r="I5" s="45"/>
      <c r="J5" s="45"/>
      <c r="K5" s="45" t="s">
        <v>302</v>
      </c>
      <c r="L5" s="45" t="s">
        <v>305</v>
      </c>
      <c r="M5" s="45" t="s">
        <v>306</v>
      </c>
      <c r="N5" s="46">
        <v>240000</v>
      </c>
      <c r="O5" s="61">
        <v>0</v>
      </c>
      <c r="P5" s="46">
        <f>+Tableau2229[[#This Row],[MONTANT HT]]*Tableau2229[[#This Row],[TAUX TVA]]</f>
        <v>0</v>
      </c>
      <c r="Q5" s="46">
        <f>+Tableau2229[[#This Row],[MONTANT HT]]+Tableau2229[[#This Row],[MONTANT TVA]]</f>
        <v>240000</v>
      </c>
      <c r="R5" s="46"/>
      <c r="S5" s="46">
        <f>+Tableau2229[[#This Row],[MONTANT TTC]]-Tableau2229[[#This Row],[MONTANT PAYÉ (FCFA)]]</f>
        <v>240000</v>
      </c>
      <c r="T5" s="45"/>
      <c r="U5" s="45"/>
      <c r="V5" s="45" t="s">
        <v>15</v>
      </c>
      <c r="W5" s="45"/>
      <c r="X5" s="45"/>
      <c r="Y5" s="45"/>
    </row>
    <row r="6" spans="1:25" ht="13.8">
      <c r="A6" s="45" t="s">
        <v>55</v>
      </c>
      <c r="B6" s="45"/>
      <c r="C6" s="43">
        <v>45682</v>
      </c>
      <c r="D6" s="4" t="s">
        <v>310</v>
      </c>
      <c r="E6" s="59"/>
      <c r="F6" s="4" t="s">
        <v>232</v>
      </c>
      <c r="G6" s="45"/>
      <c r="H6" s="45" t="s">
        <v>298</v>
      </c>
      <c r="I6" s="45"/>
      <c r="J6" s="45"/>
      <c r="K6" s="45" t="s">
        <v>299</v>
      </c>
      <c r="L6" s="45" t="s">
        <v>309</v>
      </c>
      <c r="M6" s="45" t="s">
        <v>308</v>
      </c>
      <c r="N6" s="46">
        <v>1300000</v>
      </c>
      <c r="O6" s="61">
        <v>0</v>
      </c>
      <c r="P6" s="46">
        <f>+Tableau2229[[#This Row],[MONTANT HT]]*Tableau2229[[#This Row],[TAUX TVA]]</f>
        <v>0</v>
      </c>
      <c r="Q6" s="46">
        <f>+Tableau2229[[#This Row],[MONTANT HT]]+Tableau2229[[#This Row],[MONTANT TVA]]</f>
        <v>1300000</v>
      </c>
      <c r="R6" s="46"/>
      <c r="S6" s="46">
        <f>+Tableau2229[[#This Row],[MONTANT TTC]]-Tableau2229[[#This Row],[MONTANT PAYÉ (FCFA)]]</f>
        <v>1300000</v>
      </c>
      <c r="T6" s="45"/>
      <c r="U6" s="45"/>
      <c r="V6" s="45"/>
      <c r="W6" s="45"/>
      <c r="X6" s="45"/>
      <c r="Y6" s="45"/>
    </row>
    <row r="7" spans="1:25" ht="13.8">
      <c r="A7" s="45" t="s">
        <v>55</v>
      </c>
      <c r="B7" s="45"/>
      <c r="C7" s="43">
        <v>45682</v>
      </c>
      <c r="D7" s="4" t="s">
        <v>311</v>
      </c>
      <c r="E7" s="59"/>
      <c r="F7" s="4" t="s">
        <v>232</v>
      </c>
      <c r="G7" s="45"/>
      <c r="H7" s="45" t="s">
        <v>298</v>
      </c>
      <c r="I7" s="45"/>
      <c r="J7" s="45"/>
      <c r="K7" s="45" t="s">
        <v>299</v>
      </c>
      <c r="L7" s="45" t="s">
        <v>312</v>
      </c>
      <c r="M7" s="45" t="s">
        <v>304</v>
      </c>
      <c r="N7" s="46">
        <v>270000</v>
      </c>
      <c r="O7" s="61">
        <v>0</v>
      </c>
      <c r="P7" s="46">
        <f>+Tableau2229[[#This Row],[MONTANT HT]]*Tableau2229[[#This Row],[TAUX TVA]]</f>
        <v>0</v>
      </c>
      <c r="Q7" s="46">
        <f>+Tableau2229[[#This Row],[MONTANT HT]]+Tableau2229[[#This Row],[MONTANT TVA]]</f>
        <v>270000</v>
      </c>
      <c r="R7" s="46"/>
      <c r="S7" s="46">
        <f>+Tableau2229[[#This Row],[MONTANT TTC]]-Tableau2229[[#This Row],[MONTANT PAYÉ (FCFA)]]</f>
        <v>270000</v>
      </c>
      <c r="T7" s="45"/>
      <c r="U7" s="45"/>
      <c r="V7" s="45"/>
      <c r="W7" s="45"/>
      <c r="X7" s="45"/>
      <c r="Y7" s="45"/>
    </row>
    <row r="8" spans="1:25" ht="13.8">
      <c r="A8" s="45" t="s">
        <v>55</v>
      </c>
      <c r="B8" s="45"/>
      <c r="C8" s="43">
        <v>45682</v>
      </c>
      <c r="D8" s="4" t="s">
        <v>313</v>
      </c>
      <c r="E8" s="59"/>
      <c r="F8" s="4" t="s">
        <v>232</v>
      </c>
      <c r="G8" s="45"/>
      <c r="H8" s="45" t="s">
        <v>298</v>
      </c>
      <c r="I8" s="45"/>
      <c r="J8" s="45"/>
      <c r="K8" s="45" t="s">
        <v>302</v>
      </c>
      <c r="L8" s="45" t="s">
        <v>314</v>
      </c>
      <c r="M8" s="45" t="s">
        <v>304</v>
      </c>
      <c r="N8" s="46">
        <v>170000</v>
      </c>
      <c r="O8" s="61">
        <v>0</v>
      </c>
      <c r="P8" s="46">
        <f>+Tableau2229[[#This Row],[MONTANT HT]]*Tableau2229[[#This Row],[TAUX TVA]]</f>
        <v>0</v>
      </c>
      <c r="Q8" s="46">
        <f>+Tableau2229[[#This Row],[MONTANT HT]]+Tableau2229[[#This Row],[MONTANT TVA]]</f>
        <v>170000</v>
      </c>
      <c r="R8" s="46"/>
      <c r="S8" s="46">
        <f>+Tableau2229[[#This Row],[MONTANT TTC]]-Tableau2229[[#This Row],[MONTANT PAYÉ (FCFA)]]</f>
        <v>170000</v>
      </c>
      <c r="T8" s="45"/>
      <c r="U8" s="45"/>
      <c r="V8" s="45"/>
      <c r="W8" s="45"/>
      <c r="X8" s="45"/>
      <c r="Y8" s="45"/>
    </row>
    <row r="9" spans="1:25" ht="13.8">
      <c r="A9" s="45" t="s">
        <v>55</v>
      </c>
      <c r="B9" s="45"/>
      <c r="C9" s="43">
        <v>45682</v>
      </c>
      <c r="D9" s="4" t="s">
        <v>315</v>
      </c>
      <c r="E9" s="59"/>
      <c r="F9" s="4" t="s">
        <v>232</v>
      </c>
      <c r="G9" s="45"/>
      <c r="H9" s="45" t="s">
        <v>298</v>
      </c>
      <c r="I9" s="45"/>
      <c r="J9" s="45"/>
      <c r="K9" s="45" t="s">
        <v>316</v>
      </c>
      <c r="L9" s="45" t="s">
        <v>317</v>
      </c>
      <c r="M9" s="45" t="s">
        <v>307</v>
      </c>
      <c r="N9" s="46">
        <v>150000</v>
      </c>
      <c r="O9" s="61">
        <v>0</v>
      </c>
      <c r="P9" s="46">
        <f>+Tableau2229[[#This Row],[MONTANT HT]]*Tableau2229[[#This Row],[TAUX TVA]]</f>
        <v>0</v>
      </c>
      <c r="Q9" s="46">
        <f>+Tableau2229[[#This Row],[MONTANT HT]]+Tableau2229[[#This Row],[MONTANT TVA]]</f>
        <v>150000</v>
      </c>
      <c r="R9" s="46"/>
      <c r="S9" s="46">
        <f>+Tableau2229[[#This Row],[MONTANT TTC]]-Tableau2229[[#This Row],[MONTANT PAYÉ (FCFA)]]</f>
        <v>150000</v>
      </c>
      <c r="T9" s="45"/>
      <c r="U9" s="45"/>
      <c r="V9" s="45"/>
      <c r="W9" s="45"/>
      <c r="X9" s="45"/>
      <c r="Y9" s="45"/>
    </row>
    <row r="10" spans="1:25" ht="13.8">
      <c r="A10" s="45" t="s">
        <v>55</v>
      </c>
      <c r="B10" s="45"/>
      <c r="C10" s="47">
        <v>45684</v>
      </c>
      <c r="D10" s="4" t="s">
        <v>318</v>
      </c>
      <c r="E10" s="59"/>
      <c r="F10" s="4" t="s">
        <v>232</v>
      </c>
      <c r="G10" s="45"/>
      <c r="H10" s="45" t="s">
        <v>298</v>
      </c>
      <c r="I10" s="45"/>
      <c r="J10" s="45"/>
      <c r="K10" s="45" t="s">
        <v>319</v>
      </c>
      <c r="L10" s="45" t="s">
        <v>320</v>
      </c>
      <c r="M10" s="45" t="s">
        <v>321</v>
      </c>
      <c r="N10" s="46">
        <v>8000</v>
      </c>
      <c r="O10" s="61">
        <v>0</v>
      </c>
      <c r="P10" s="46">
        <f>+Tableau2229[[#This Row],[MONTANT HT]]*Tableau2229[[#This Row],[TAUX TVA]]</f>
        <v>0</v>
      </c>
      <c r="Q10" s="46">
        <f>+Tableau2229[[#This Row],[MONTANT HT]]+Tableau2229[[#This Row],[MONTANT TVA]]</f>
        <v>8000</v>
      </c>
      <c r="R10" s="46"/>
      <c r="S10" s="46">
        <f>+Tableau2229[[#This Row],[MONTANT TTC]]-Tableau2229[[#This Row],[MONTANT PAYÉ (FCFA)]]</f>
        <v>8000</v>
      </c>
      <c r="T10" s="45"/>
      <c r="U10" s="45"/>
      <c r="V10" s="45"/>
      <c r="W10" s="45"/>
      <c r="X10" s="45"/>
      <c r="Y10" s="45"/>
    </row>
    <row r="11" spans="1:25" ht="13.8">
      <c r="A11" s="45" t="s">
        <v>55</v>
      </c>
      <c r="B11" s="45"/>
      <c r="C11" s="47">
        <v>45684</v>
      </c>
      <c r="D11" s="4" t="s">
        <v>322</v>
      </c>
      <c r="E11" s="59"/>
      <c r="F11" s="4" t="s">
        <v>232</v>
      </c>
      <c r="G11" s="45"/>
      <c r="H11" s="45" t="s">
        <v>298</v>
      </c>
      <c r="I11" s="45"/>
      <c r="J11" s="45"/>
      <c r="K11" s="45" t="s">
        <v>302</v>
      </c>
      <c r="L11" s="45" t="s">
        <v>323</v>
      </c>
      <c r="M11" s="45" t="s">
        <v>321</v>
      </c>
      <c r="N11" s="46">
        <v>191000</v>
      </c>
      <c r="O11" s="61">
        <v>0</v>
      </c>
      <c r="P11" s="46">
        <f>+Tableau2229[[#This Row],[MONTANT HT]]*Tableau2229[[#This Row],[TAUX TVA]]</f>
        <v>0</v>
      </c>
      <c r="Q11" s="46">
        <f>+Tableau2229[[#This Row],[MONTANT HT]]+Tableau2229[[#This Row],[MONTANT TVA]]</f>
        <v>191000</v>
      </c>
      <c r="R11" s="46"/>
      <c r="S11" s="46">
        <f>+Tableau2229[[#This Row],[MONTANT TTC]]-Tableau2229[[#This Row],[MONTANT PAYÉ (FCFA)]]</f>
        <v>191000</v>
      </c>
      <c r="T11" s="45"/>
      <c r="U11" s="45"/>
      <c r="V11" s="45"/>
      <c r="W11" s="45"/>
      <c r="X11" s="45"/>
      <c r="Y11" s="45"/>
    </row>
    <row r="12" spans="1:25" ht="13.8">
      <c r="A12" s="45" t="s">
        <v>55</v>
      </c>
      <c r="B12" s="45"/>
      <c r="C12" s="47">
        <v>45684</v>
      </c>
      <c r="D12" s="4" t="s">
        <v>324</v>
      </c>
      <c r="E12" s="59"/>
      <c r="F12" s="4" t="s">
        <v>232</v>
      </c>
      <c r="G12" s="45"/>
      <c r="H12" s="45" t="s">
        <v>325</v>
      </c>
      <c r="I12" s="45"/>
      <c r="J12" s="45"/>
      <c r="K12" s="45" t="s">
        <v>302</v>
      </c>
      <c r="L12" s="45" t="s">
        <v>327</v>
      </c>
      <c r="M12" s="45" t="s">
        <v>304</v>
      </c>
      <c r="N12" s="46">
        <v>111500</v>
      </c>
      <c r="O12" s="61">
        <v>0</v>
      </c>
      <c r="P12" s="46">
        <f>+Tableau2229[[#This Row],[MONTANT HT]]*Tableau2229[[#This Row],[TAUX TVA]]</f>
        <v>0</v>
      </c>
      <c r="Q12" s="46">
        <f>+Tableau2229[[#This Row],[MONTANT HT]]+Tableau2229[[#This Row],[MONTANT TVA]]</f>
        <v>111500</v>
      </c>
      <c r="R12" s="46"/>
      <c r="S12" s="46">
        <f>+Tableau2229[[#This Row],[MONTANT TTC]]-Tableau2229[[#This Row],[MONTANT PAYÉ (FCFA)]]</f>
        <v>111500</v>
      </c>
      <c r="T12" s="45"/>
      <c r="U12" s="45"/>
      <c r="V12" s="45"/>
      <c r="W12" s="45"/>
      <c r="X12" s="45"/>
      <c r="Y12" s="45"/>
    </row>
    <row r="13" spans="1:25" ht="13.8">
      <c r="A13" s="45" t="s">
        <v>55</v>
      </c>
      <c r="B13" s="45"/>
      <c r="C13" s="47">
        <v>45684</v>
      </c>
      <c r="D13" s="4" t="s">
        <v>326</v>
      </c>
      <c r="E13" s="59"/>
      <c r="F13" s="4" t="s">
        <v>232</v>
      </c>
      <c r="G13" s="45"/>
      <c r="H13" s="45" t="s">
        <v>325</v>
      </c>
      <c r="I13" s="45"/>
      <c r="J13" s="45"/>
      <c r="K13" s="45" t="s">
        <v>302</v>
      </c>
      <c r="L13" s="45" t="s">
        <v>327</v>
      </c>
      <c r="M13" s="45" t="s">
        <v>307</v>
      </c>
      <c r="N13" s="46">
        <v>147250</v>
      </c>
      <c r="O13" s="61">
        <v>0</v>
      </c>
      <c r="P13" s="46">
        <f>+Tableau2229[[#This Row],[MONTANT HT]]*Tableau2229[[#This Row],[TAUX TVA]]</f>
        <v>0</v>
      </c>
      <c r="Q13" s="46">
        <f>+Tableau2229[[#This Row],[MONTANT HT]]+Tableau2229[[#This Row],[MONTANT TVA]]</f>
        <v>147250</v>
      </c>
      <c r="R13" s="46"/>
      <c r="S13" s="46">
        <f>+Tableau2229[[#This Row],[MONTANT TTC]]-Tableau2229[[#This Row],[MONTANT PAYÉ (FCFA)]]</f>
        <v>147250</v>
      </c>
      <c r="T13" s="45"/>
      <c r="U13" s="45"/>
      <c r="V13" s="45"/>
      <c r="W13" s="45"/>
      <c r="X13" s="45"/>
      <c r="Y13" s="45"/>
    </row>
    <row r="14" spans="1:25" ht="13.8">
      <c r="A14" s="45" t="s">
        <v>50</v>
      </c>
      <c r="B14" s="45"/>
      <c r="C14" s="47">
        <v>45684</v>
      </c>
      <c r="D14" s="4" t="s">
        <v>328</v>
      </c>
      <c r="E14" s="59"/>
      <c r="F14" s="4" t="s">
        <v>232</v>
      </c>
      <c r="G14" s="45"/>
      <c r="H14" s="45" t="s">
        <v>329</v>
      </c>
      <c r="I14" s="45"/>
      <c r="J14" s="45"/>
      <c r="K14" s="45" t="s">
        <v>319</v>
      </c>
      <c r="L14" s="45" t="s">
        <v>330</v>
      </c>
      <c r="M14" s="45" t="s">
        <v>9</v>
      </c>
      <c r="N14" s="46">
        <v>67000</v>
      </c>
      <c r="O14" s="61">
        <v>0</v>
      </c>
      <c r="P14" s="46">
        <f>+Tableau2229[[#This Row],[MONTANT HT]]*Tableau2229[[#This Row],[TAUX TVA]]</f>
        <v>0</v>
      </c>
      <c r="Q14" s="46">
        <f>+Tableau2229[[#This Row],[MONTANT HT]]+Tableau2229[[#This Row],[MONTANT TVA]]</f>
        <v>67000</v>
      </c>
      <c r="R14" s="46"/>
      <c r="S14" s="46">
        <f>+Tableau2229[[#This Row],[MONTANT TTC]]-Tableau2229[[#This Row],[MONTANT PAYÉ (FCFA)]]</f>
        <v>67000</v>
      </c>
      <c r="T14" s="45"/>
      <c r="U14" s="45"/>
      <c r="V14" s="45"/>
      <c r="W14" s="45"/>
      <c r="X14" s="45"/>
      <c r="Y14" s="45"/>
    </row>
    <row r="15" spans="1:25" ht="13.8">
      <c r="A15" s="45" t="s">
        <v>55</v>
      </c>
      <c r="B15" s="45"/>
      <c r="C15" s="47">
        <v>45684</v>
      </c>
      <c r="D15" s="4" t="s">
        <v>331</v>
      </c>
      <c r="E15" s="59"/>
      <c r="F15" s="4" t="s">
        <v>232</v>
      </c>
      <c r="G15" s="45"/>
      <c r="H15" s="45" t="s">
        <v>332</v>
      </c>
      <c r="I15" s="45"/>
      <c r="J15" s="45"/>
      <c r="K15" s="45" t="s">
        <v>333</v>
      </c>
      <c r="L15" s="45" t="s">
        <v>334</v>
      </c>
      <c r="M15" s="45" t="s">
        <v>304</v>
      </c>
      <c r="N15" s="46">
        <v>467500</v>
      </c>
      <c r="O15" s="61">
        <v>0</v>
      </c>
      <c r="P15" s="46">
        <f>+Tableau2229[[#This Row],[MONTANT HT]]*Tableau2229[[#This Row],[TAUX TVA]]</f>
        <v>0</v>
      </c>
      <c r="Q15" s="46">
        <f>+Tableau2229[[#This Row],[MONTANT HT]]+Tableau2229[[#This Row],[MONTANT TVA]]</f>
        <v>467500</v>
      </c>
      <c r="R15" s="46"/>
      <c r="S15" s="46">
        <f>+Tableau2229[[#This Row],[MONTANT TTC]]-Tableau2229[[#This Row],[MONTANT PAYÉ (FCFA)]]</f>
        <v>467500</v>
      </c>
      <c r="T15" s="45"/>
      <c r="U15" s="45"/>
      <c r="V15" s="45"/>
      <c r="W15" s="45"/>
      <c r="X15" s="45"/>
      <c r="Y15" s="45"/>
    </row>
    <row r="16" spans="1:25" ht="13.8">
      <c r="A16" s="45" t="s">
        <v>55</v>
      </c>
      <c r="B16" s="45"/>
      <c r="C16" s="47">
        <v>45684</v>
      </c>
      <c r="D16" s="4" t="s">
        <v>335</v>
      </c>
      <c r="E16" s="59"/>
      <c r="F16" s="4" t="s">
        <v>232</v>
      </c>
      <c r="G16" s="45"/>
      <c r="H16" s="45" t="s">
        <v>336</v>
      </c>
      <c r="I16" s="45"/>
      <c r="J16" s="45"/>
      <c r="K16" s="45" t="s">
        <v>333</v>
      </c>
      <c r="L16" s="45" t="s">
        <v>337</v>
      </c>
      <c r="M16" s="45" t="s">
        <v>307</v>
      </c>
      <c r="N16" s="46">
        <v>265000</v>
      </c>
      <c r="O16" s="61">
        <v>0</v>
      </c>
      <c r="P16" s="46">
        <f>+Tableau2229[[#This Row],[MONTANT HT]]*Tableau2229[[#This Row],[TAUX TVA]]</f>
        <v>0</v>
      </c>
      <c r="Q16" s="46">
        <f>+Tableau2229[[#This Row],[MONTANT HT]]+Tableau2229[[#This Row],[MONTANT TVA]]</f>
        <v>265000</v>
      </c>
      <c r="R16" s="46"/>
      <c r="S16" s="46">
        <f>+Tableau2229[[#This Row],[MONTANT TTC]]-Tableau2229[[#This Row],[MONTANT PAYÉ (FCFA)]]</f>
        <v>265000</v>
      </c>
      <c r="T16" s="45"/>
      <c r="U16" s="45"/>
      <c r="V16" s="45"/>
      <c r="W16" s="45"/>
      <c r="X16" s="45"/>
      <c r="Y16" s="45"/>
    </row>
    <row r="17" spans="1:25" ht="13.8">
      <c r="A17" s="45" t="s">
        <v>55</v>
      </c>
      <c r="B17" s="45"/>
      <c r="C17" s="47">
        <v>45684</v>
      </c>
      <c r="D17" s="4" t="s">
        <v>338</v>
      </c>
      <c r="E17" s="59"/>
      <c r="F17" s="4" t="s">
        <v>232</v>
      </c>
      <c r="G17" s="45"/>
      <c r="H17" s="45" t="s">
        <v>339</v>
      </c>
      <c r="I17" s="45"/>
      <c r="J17" s="45"/>
      <c r="K17" s="45" t="s">
        <v>333</v>
      </c>
      <c r="L17" s="45" t="s">
        <v>340</v>
      </c>
      <c r="M17" s="45" t="s">
        <v>321</v>
      </c>
      <c r="N17" s="46">
        <v>274000</v>
      </c>
      <c r="O17" s="61">
        <v>0</v>
      </c>
      <c r="P17" s="46">
        <f>+Tableau2229[[#This Row],[MONTANT HT]]*Tableau2229[[#This Row],[TAUX TVA]]</f>
        <v>0</v>
      </c>
      <c r="Q17" s="46">
        <f>+Tableau2229[[#This Row],[MONTANT HT]]+Tableau2229[[#This Row],[MONTANT TVA]]</f>
        <v>274000</v>
      </c>
      <c r="R17" s="46"/>
      <c r="S17" s="46">
        <f>+Tableau2229[[#This Row],[MONTANT TTC]]-Tableau2229[[#This Row],[MONTANT PAYÉ (FCFA)]]</f>
        <v>274000</v>
      </c>
      <c r="T17" s="45"/>
      <c r="U17" s="45"/>
      <c r="V17" s="45"/>
      <c r="W17" s="45"/>
      <c r="X17" s="45"/>
      <c r="Y17" s="45"/>
    </row>
    <row r="18" spans="1:25" ht="13.8">
      <c r="A18" s="45" t="s">
        <v>55</v>
      </c>
      <c r="B18" s="45"/>
      <c r="C18" s="47">
        <v>45684</v>
      </c>
      <c r="D18" s="4" t="s">
        <v>343</v>
      </c>
      <c r="E18" s="10"/>
      <c r="F18" s="4" t="s">
        <v>232</v>
      </c>
      <c r="H18" s="4" t="s">
        <v>298</v>
      </c>
      <c r="K18" s="4" t="s">
        <v>302</v>
      </c>
      <c r="L18" s="4" t="s">
        <v>314</v>
      </c>
      <c r="M18" s="45" t="s">
        <v>321</v>
      </c>
      <c r="N18" s="53">
        <v>200000</v>
      </c>
      <c r="O18" s="61">
        <v>0</v>
      </c>
      <c r="P18" s="53">
        <f>+Tableau2229[[#This Row],[MONTANT HT]]*Tableau2229[[#This Row],[TAUX TVA]]</f>
        <v>0</v>
      </c>
      <c r="Q18" s="53">
        <f>+Tableau2229[[#This Row],[MONTANT HT]]+Tableau2229[[#This Row],[MONTANT TVA]]</f>
        <v>200000</v>
      </c>
      <c r="R18" s="53"/>
      <c r="S18" s="53">
        <f>+Tableau2229[[#This Row],[MONTANT TTC]]-Tableau2229[[#This Row],[MONTANT PAYÉ (FCFA)]]</f>
        <v>200000</v>
      </c>
    </row>
    <row r="19" spans="1:25" ht="13.8">
      <c r="A19" s="45" t="s">
        <v>50</v>
      </c>
      <c r="B19" s="45"/>
      <c r="C19" s="56">
        <v>45695</v>
      </c>
      <c r="D19" s="45" t="s">
        <v>361</v>
      </c>
      <c r="E19" s="59"/>
      <c r="F19" s="4" t="s">
        <v>232</v>
      </c>
      <c r="G19" s="45"/>
      <c r="H19" s="4" t="s">
        <v>298</v>
      </c>
      <c r="I19" s="45"/>
      <c r="J19" s="45"/>
      <c r="K19" s="45" t="s">
        <v>362</v>
      </c>
      <c r="L19" s="45" t="s">
        <v>363</v>
      </c>
      <c r="M19" s="45" t="s">
        <v>364</v>
      </c>
      <c r="N19" s="57">
        <v>250000</v>
      </c>
      <c r="O19" s="62">
        <v>0</v>
      </c>
      <c r="P19" s="57">
        <f>+Tableau2229[[#This Row],[MONTANT HT]]*Tableau2229[[#This Row],[TAUX TVA]]</f>
        <v>0</v>
      </c>
      <c r="Q19" s="57">
        <f>+Tableau2229[[#This Row],[MONTANT HT]]+Tableau2229[[#This Row],[MONTANT TVA]]</f>
        <v>250000</v>
      </c>
      <c r="R19" s="57"/>
      <c r="S19" s="57">
        <f>+Tableau2229[[#This Row],[MONTANT TTC]]-Tableau2229[[#This Row],[MONTANT PAYÉ (FCFA)]]</f>
        <v>250000</v>
      </c>
      <c r="T19" s="45"/>
      <c r="U19" s="45"/>
      <c r="V19" s="45"/>
      <c r="W19" s="45"/>
      <c r="X19" s="45"/>
      <c r="Y19" s="45"/>
    </row>
    <row r="20" spans="1:25" ht="13.8">
      <c r="A20" s="45" t="s">
        <v>50</v>
      </c>
      <c r="B20" s="45"/>
      <c r="C20" s="56">
        <v>45695</v>
      </c>
      <c r="D20" s="45" t="s">
        <v>365</v>
      </c>
      <c r="E20" s="59"/>
      <c r="F20" s="4" t="s">
        <v>232</v>
      </c>
      <c r="G20" s="45"/>
      <c r="H20" s="4" t="s">
        <v>298</v>
      </c>
      <c r="I20" s="45"/>
      <c r="J20" s="45"/>
      <c r="K20" s="45" t="s">
        <v>362</v>
      </c>
      <c r="L20" s="45" t="s">
        <v>366</v>
      </c>
      <c r="M20" s="45" t="s">
        <v>364</v>
      </c>
      <c r="N20" s="57">
        <v>70000</v>
      </c>
      <c r="O20" s="62">
        <v>0</v>
      </c>
      <c r="P20" s="57">
        <f>+Tableau2229[[#This Row],[MONTANT HT]]*Tableau2229[[#This Row],[TAUX TVA]]</f>
        <v>0</v>
      </c>
      <c r="Q20" s="57">
        <f>+Tableau2229[[#This Row],[MONTANT HT]]+Tableau2229[[#This Row],[MONTANT TVA]]</f>
        <v>70000</v>
      </c>
      <c r="R20" s="57"/>
      <c r="S20" s="57">
        <f>+Tableau2229[[#This Row],[MONTANT TTC]]-Tableau2229[[#This Row],[MONTANT PAYÉ (FCFA)]]</f>
        <v>70000</v>
      </c>
      <c r="T20" s="45"/>
      <c r="U20" s="45"/>
      <c r="V20" s="45"/>
      <c r="W20" s="45"/>
      <c r="X20" s="45"/>
      <c r="Y20" s="45"/>
    </row>
    <row r="21" spans="1:25" ht="13.8">
      <c r="A21" s="45" t="s">
        <v>55</v>
      </c>
      <c r="B21" s="45"/>
      <c r="C21" s="56">
        <v>45695</v>
      </c>
      <c r="D21" s="45" t="s">
        <v>367</v>
      </c>
      <c r="E21" s="59"/>
      <c r="F21" s="4" t="s">
        <v>232</v>
      </c>
      <c r="G21" s="45"/>
      <c r="H21" s="4" t="s">
        <v>298</v>
      </c>
      <c r="I21" s="45"/>
      <c r="J21" s="45"/>
      <c r="K21" s="45" t="s">
        <v>299</v>
      </c>
      <c r="L21" s="45" t="s">
        <v>368</v>
      </c>
      <c r="M21" s="45" t="s">
        <v>304</v>
      </c>
      <c r="N21" s="57">
        <v>5000</v>
      </c>
      <c r="O21" s="62">
        <v>0</v>
      </c>
      <c r="P21" s="57">
        <f>+Tableau2229[[#This Row],[MONTANT HT]]*Tableau2229[[#This Row],[TAUX TVA]]</f>
        <v>0</v>
      </c>
      <c r="Q21" s="57">
        <f>+Tableau2229[[#This Row],[MONTANT HT]]+Tableau2229[[#This Row],[MONTANT TVA]]</f>
        <v>5000</v>
      </c>
      <c r="R21" s="57"/>
      <c r="S21" s="57">
        <f>+Tableau2229[[#This Row],[MONTANT TTC]]-Tableau2229[[#This Row],[MONTANT PAYÉ (FCFA)]]</f>
        <v>5000</v>
      </c>
      <c r="T21" s="45"/>
      <c r="U21" s="45"/>
      <c r="V21" s="45"/>
      <c r="W21" s="45"/>
      <c r="X21" s="45"/>
      <c r="Y21" s="45"/>
    </row>
    <row r="22" spans="1:25" ht="13.8">
      <c r="A22" s="45" t="s">
        <v>55</v>
      </c>
      <c r="B22" s="45"/>
      <c r="C22" s="56">
        <v>45695</v>
      </c>
      <c r="D22" s="45" t="s">
        <v>375</v>
      </c>
      <c r="E22" s="59"/>
      <c r="F22" s="4" t="s">
        <v>232</v>
      </c>
      <c r="G22" s="45"/>
      <c r="H22" s="45" t="s">
        <v>376</v>
      </c>
      <c r="I22" s="45"/>
      <c r="J22" s="45"/>
      <c r="K22" s="45" t="s">
        <v>377</v>
      </c>
      <c r="L22" s="45" t="s">
        <v>378</v>
      </c>
      <c r="M22" s="45" t="s">
        <v>55</v>
      </c>
      <c r="N22" s="57">
        <v>150000</v>
      </c>
      <c r="O22" s="62">
        <v>0</v>
      </c>
      <c r="P22" s="57">
        <f>+Tableau2229[[#This Row],[MONTANT HT]]*Tableau2229[[#This Row],[TAUX TVA]]</f>
        <v>0</v>
      </c>
      <c r="Q22" s="57">
        <f>+Tableau2229[[#This Row],[MONTANT HT]]+Tableau2229[[#This Row],[MONTANT TVA]]</f>
        <v>150000</v>
      </c>
      <c r="R22" s="57"/>
      <c r="S22" s="57">
        <f>+Tableau2229[[#This Row],[MONTANT TTC]]-Tableau2229[[#This Row],[MONTANT PAYÉ (FCFA)]]</f>
        <v>150000</v>
      </c>
      <c r="T22" s="45"/>
      <c r="U22" s="45"/>
      <c r="V22" s="45"/>
      <c r="W22" s="45"/>
      <c r="X22" s="45"/>
      <c r="Y22" s="45"/>
    </row>
    <row r="23" spans="1:25" ht="13.8">
      <c r="A23" s="45" t="s">
        <v>55</v>
      </c>
      <c r="B23" s="45"/>
      <c r="C23" s="56">
        <v>45696</v>
      </c>
      <c r="D23" s="45" t="s">
        <v>369</v>
      </c>
      <c r="E23" s="59"/>
      <c r="F23" s="4" t="s">
        <v>232</v>
      </c>
      <c r="G23" s="45"/>
      <c r="H23" s="4" t="s">
        <v>298</v>
      </c>
      <c r="I23" s="45"/>
      <c r="J23" s="45"/>
      <c r="K23" s="45" t="s">
        <v>302</v>
      </c>
      <c r="L23" s="45" t="s">
        <v>370</v>
      </c>
      <c r="M23" s="45" t="s">
        <v>321</v>
      </c>
      <c r="N23" s="57">
        <v>116000</v>
      </c>
      <c r="O23" s="62">
        <v>0</v>
      </c>
      <c r="P23" s="57">
        <f>+Tableau2229[[#This Row],[MONTANT HT]]*Tableau2229[[#This Row],[TAUX TVA]]</f>
        <v>0</v>
      </c>
      <c r="Q23" s="57">
        <f>+Tableau2229[[#This Row],[MONTANT HT]]+Tableau2229[[#This Row],[MONTANT TVA]]</f>
        <v>116000</v>
      </c>
      <c r="R23" s="57"/>
      <c r="S23" s="57">
        <f>+Tableau2229[[#This Row],[MONTANT TTC]]-Tableau2229[[#This Row],[MONTANT PAYÉ (FCFA)]]</f>
        <v>116000</v>
      </c>
      <c r="T23" s="45"/>
      <c r="U23" s="45"/>
      <c r="V23" s="45"/>
      <c r="W23" s="45"/>
      <c r="X23" s="45"/>
      <c r="Y23" s="45"/>
    </row>
    <row r="24" spans="1:25" ht="13.8">
      <c r="A24" s="45" t="s">
        <v>55</v>
      </c>
      <c r="B24" s="45"/>
      <c r="C24" s="56">
        <v>45696</v>
      </c>
      <c r="D24" s="45" t="s">
        <v>371</v>
      </c>
      <c r="E24" s="59"/>
      <c r="F24" s="4" t="s">
        <v>232</v>
      </c>
      <c r="G24" s="45"/>
      <c r="H24" s="45" t="s">
        <v>372</v>
      </c>
      <c r="I24" s="45"/>
      <c r="J24" s="45"/>
      <c r="K24" s="45" t="s">
        <v>302</v>
      </c>
      <c r="L24" s="45" t="s">
        <v>373</v>
      </c>
      <c r="M24" s="45" t="s">
        <v>304</v>
      </c>
      <c r="N24" s="57">
        <v>199950</v>
      </c>
      <c r="O24" s="62">
        <v>0</v>
      </c>
      <c r="P24" s="57">
        <f>+Tableau2229[[#This Row],[MONTANT HT]]*Tableau2229[[#This Row],[TAUX TVA]]</f>
        <v>0</v>
      </c>
      <c r="Q24" s="57">
        <f>+Tableau2229[[#This Row],[MONTANT HT]]+Tableau2229[[#This Row],[MONTANT TVA]]</f>
        <v>199950</v>
      </c>
      <c r="R24" s="57"/>
      <c r="S24" s="57">
        <f>+Tableau2229[[#This Row],[MONTANT TTC]]-Tableau2229[[#This Row],[MONTANT PAYÉ (FCFA)]]</f>
        <v>199950</v>
      </c>
      <c r="T24" s="45"/>
      <c r="U24" s="45"/>
      <c r="V24" s="45"/>
      <c r="W24" s="45"/>
      <c r="X24" s="45"/>
      <c r="Y24" s="45"/>
    </row>
    <row r="25" spans="1:25" ht="13.8">
      <c r="A25" s="45" t="s">
        <v>55</v>
      </c>
      <c r="B25" s="45"/>
      <c r="C25" s="56">
        <v>45696</v>
      </c>
      <c r="D25" s="45" t="s">
        <v>374</v>
      </c>
      <c r="E25" s="59"/>
      <c r="F25" s="4" t="s">
        <v>232</v>
      </c>
      <c r="G25" s="45"/>
      <c r="H25" s="45" t="s">
        <v>372</v>
      </c>
      <c r="I25" s="45"/>
      <c r="J25" s="45"/>
      <c r="K25" s="45" t="s">
        <v>302</v>
      </c>
      <c r="L25" s="45" t="s">
        <v>373</v>
      </c>
      <c r="M25" s="45" t="s">
        <v>321</v>
      </c>
      <c r="N25" s="57">
        <v>115875</v>
      </c>
      <c r="O25" s="62">
        <v>0</v>
      </c>
      <c r="P25" s="57">
        <f>+Tableau2229[[#This Row],[MONTANT HT]]*Tableau2229[[#This Row],[TAUX TVA]]</f>
        <v>0</v>
      </c>
      <c r="Q25" s="57">
        <f>+Tableau2229[[#This Row],[MONTANT HT]]+Tableau2229[[#This Row],[MONTANT TVA]]</f>
        <v>115875</v>
      </c>
      <c r="R25" s="57"/>
      <c r="S25" s="57">
        <f>+Tableau2229[[#This Row],[MONTANT TTC]]-Tableau2229[[#This Row],[MONTANT PAYÉ (FCFA)]]</f>
        <v>115875</v>
      </c>
      <c r="T25" s="45"/>
      <c r="U25" s="45"/>
      <c r="V25" s="45"/>
      <c r="W25" s="45"/>
      <c r="X25" s="45"/>
      <c r="Y25" s="45"/>
    </row>
    <row r="26" spans="1:25" ht="13.8">
      <c r="A26" s="45" t="s">
        <v>55</v>
      </c>
      <c r="B26" s="45"/>
      <c r="C26" s="56">
        <v>45696</v>
      </c>
      <c r="D26" s="45" t="s">
        <v>379</v>
      </c>
      <c r="E26" s="59"/>
      <c r="F26" s="4" t="s">
        <v>232</v>
      </c>
      <c r="G26" s="45"/>
      <c r="H26" s="45" t="s">
        <v>380</v>
      </c>
      <c r="I26" s="45"/>
      <c r="J26" s="45"/>
      <c r="K26" s="45" t="s">
        <v>381</v>
      </c>
      <c r="L26" s="45" t="s">
        <v>382</v>
      </c>
      <c r="M26" s="45" t="s">
        <v>348</v>
      </c>
      <c r="N26" s="46">
        <v>45955</v>
      </c>
      <c r="O26" s="63">
        <v>0</v>
      </c>
      <c r="P26" s="46">
        <f>+Tableau2229[[#This Row],[MONTANT HT]]*Tableau2229[[#This Row],[TAUX TVA]]</f>
        <v>0</v>
      </c>
      <c r="Q26" s="46">
        <f>+Tableau2229[[#This Row],[MONTANT HT]]+Tableau2229[[#This Row],[MONTANT TVA]]</f>
        <v>45955</v>
      </c>
      <c r="R26" s="46"/>
      <c r="S26" s="46">
        <f>+Tableau2229[[#This Row],[MONTANT TTC]]-Tableau2229[[#This Row],[MONTANT PAYÉ (FCFA)]]</f>
        <v>45955</v>
      </c>
      <c r="T26" s="45"/>
      <c r="U26" s="45"/>
      <c r="V26" s="45"/>
      <c r="W26" s="45"/>
      <c r="X26" s="45"/>
      <c r="Y26" s="45"/>
    </row>
    <row r="27" spans="1:25" ht="13.8">
      <c r="A27" s="45" t="s">
        <v>55</v>
      </c>
      <c r="B27" s="45"/>
      <c r="C27" s="58">
        <v>45696</v>
      </c>
      <c r="D27" s="45" t="s">
        <v>383</v>
      </c>
      <c r="E27" s="59"/>
      <c r="F27" s="4" t="s">
        <v>232</v>
      </c>
      <c r="G27" s="45"/>
      <c r="H27" s="45" t="s">
        <v>329</v>
      </c>
      <c r="I27" s="45"/>
      <c r="J27" s="45"/>
      <c r="K27" s="45" t="s">
        <v>394</v>
      </c>
      <c r="L27" s="45" t="s">
        <v>395</v>
      </c>
      <c r="M27" s="45" t="s">
        <v>55</v>
      </c>
      <c r="N27" s="57">
        <v>500000</v>
      </c>
      <c r="O27" s="62">
        <v>0</v>
      </c>
      <c r="P27" s="57">
        <f>+Tableau2229[[#This Row],[MONTANT HT]]*Tableau2229[[#This Row],[TAUX TVA]]</f>
        <v>0</v>
      </c>
      <c r="Q27" s="57">
        <f>+Tableau2229[[#This Row],[MONTANT HT]]+Tableau2229[[#This Row],[MONTANT TVA]]</f>
        <v>500000</v>
      </c>
      <c r="R27" s="57"/>
      <c r="S27" s="57">
        <f>+Tableau2229[[#This Row],[MONTANT TTC]]-Tableau2229[[#This Row],[MONTANT PAYÉ (FCFA)]]</f>
        <v>500000</v>
      </c>
      <c r="T27" s="45"/>
      <c r="U27" s="45"/>
      <c r="V27" s="45"/>
      <c r="W27" s="45"/>
      <c r="X27" s="45"/>
      <c r="Y27" s="45"/>
    </row>
    <row r="28" spans="1:25" ht="13.8">
      <c r="A28" s="45" t="s">
        <v>55</v>
      </c>
      <c r="B28" s="45"/>
      <c r="C28" s="58">
        <v>45696</v>
      </c>
      <c r="D28" s="45" t="s">
        <v>384</v>
      </c>
      <c r="E28" s="59"/>
      <c r="F28" s="4" t="s">
        <v>232</v>
      </c>
      <c r="G28" s="45"/>
      <c r="H28" s="45" t="s">
        <v>389</v>
      </c>
      <c r="I28" s="45"/>
      <c r="J28" s="45"/>
      <c r="K28" s="45" t="s">
        <v>396</v>
      </c>
      <c r="L28" s="45" t="s">
        <v>397</v>
      </c>
      <c r="M28" s="45"/>
      <c r="N28" s="57">
        <v>295000</v>
      </c>
      <c r="O28" s="62">
        <v>0</v>
      </c>
      <c r="P28" s="57">
        <f>+Tableau2229[[#This Row],[MONTANT HT]]*Tableau2229[[#This Row],[TAUX TVA]]</f>
        <v>0</v>
      </c>
      <c r="Q28" s="57">
        <f>+Tableau2229[[#This Row],[MONTANT HT]]+Tableau2229[[#This Row],[MONTANT TVA]]</f>
        <v>295000</v>
      </c>
      <c r="R28" s="57"/>
      <c r="S28" s="57">
        <f>+Tableau2229[[#This Row],[MONTANT TTC]]-Tableau2229[[#This Row],[MONTANT PAYÉ (FCFA)]]</f>
        <v>295000</v>
      </c>
      <c r="T28" s="45"/>
      <c r="U28" s="45"/>
      <c r="V28" s="45"/>
      <c r="W28" s="45"/>
      <c r="X28" s="45"/>
      <c r="Y28" s="45"/>
    </row>
    <row r="29" spans="1:25" ht="13.8">
      <c r="A29" s="45" t="s">
        <v>55</v>
      </c>
      <c r="B29" s="45"/>
      <c r="C29" s="58">
        <v>45698</v>
      </c>
      <c r="D29" s="45" t="s">
        <v>385</v>
      </c>
      <c r="E29" s="59"/>
      <c r="F29" s="4" t="s">
        <v>232</v>
      </c>
      <c r="G29" s="45"/>
      <c r="H29" s="45" t="s">
        <v>372</v>
      </c>
      <c r="I29" s="45"/>
      <c r="J29" s="45"/>
      <c r="K29" s="45" t="s">
        <v>299</v>
      </c>
      <c r="L29" s="45" t="s">
        <v>398</v>
      </c>
      <c r="M29" s="45" t="s">
        <v>55</v>
      </c>
      <c r="N29" s="57">
        <v>180000</v>
      </c>
      <c r="O29" s="62">
        <v>0</v>
      </c>
      <c r="P29" s="57">
        <f>+Tableau2229[[#This Row],[MONTANT HT]]*Tableau2229[[#This Row],[TAUX TVA]]</f>
        <v>0</v>
      </c>
      <c r="Q29" s="57">
        <f>+Tableau2229[[#This Row],[MONTANT HT]]+Tableau2229[[#This Row],[MONTANT TVA]]</f>
        <v>180000</v>
      </c>
      <c r="R29" s="57"/>
      <c r="S29" s="57">
        <f>+Tableau2229[[#This Row],[MONTANT TTC]]-Tableau2229[[#This Row],[MONTANT PAYÉ (FCFA)]]</f>
        <v>180000</v>
      </c>
      <c r="T29" s="45"/>
      <c r="U29" s="45"/>
      <c r="V29" s="45"/>
      <c r="W29" s="45"/>
      <c r="X29" s="45"/>
      <c r="Y29" s="45"/>
    </row>
    <row r="30" spans="1:25" ht="13.8">
      <c r="A30" s="45" t="s">
        <v>55</v>
      </c>
      <c r="B30" s="45"/>
      <c r="C30" s="58">
        <v>45698</v>
      </c>
      <c r="D30" s="45" t="s">
        <v>386</v>
      </c>
      <c r="E30" s="59"/>
      <c r="F30" s="4" t="s">
        <v>232</v>
      </c>
      <c r="G30" s="45"/>
      <c r="H30" s="45" t="s">
        <v>372</v>
      </c>
      <c r="I30" s="45"/>
      <c r="J30" s="45"/>
      <c r="K30" s="45" t="s">
        <v>302</v>
      </c>
      <c r="L30" s="45" t="s">
        <v>373</v>
      </c>
      <c r="M30" s="45" t="s">
        <v>55</v>
      </c>
      <c r="N30" s="57">
        <v>134250</v>
      </c>
      <c r="O30" s="62">
        <v>0</v>
      </c>
      <c r="P30" s="57">
        <f>+Tableau2229[[#This Row],[MONTANT HT]]*Tableau2229[[#This Row],[TAUX TVA]]</f>
        <v>0</v>
      </c>
      <c r="Q30" s="57">
        <f>+Tableau2229[[#This Row],[MONTANT HT]]+Tableau2229[[#This Row],[MONTANT TVA]]</f>
        <v>134250</v>
      </c>
      <c r="R30" s="57"/>
      <c r="S30" s="57">
        <f>+Tableau2229[[#This Row],[MONTANT TTC]]-Tableau2229[[#This Row],[MONTANT PAYÉ (FCFA)]]</f>
        <v>134250</v>
      </c>
      <c r="T30" s="45"/>
      <c r="U30" s="45"/>
      <c r="V30" s="45"/>
      <c r="W30" s="45"/>
      <c r="X30" s="45"/>
      <c r="Y30" s="45"/>
    </row>
    <row r="31" spans="1:25" ht="13.8">
      <c r="A31" s="45" t="s">
        <v>55</v>
      </c>
      <c r="B31" s="45"/>
      <c r="C31" s="58">
        <v>45698</v>
      </c>
      <c r="D31" s="45" t="s">
        <v>387</v>
      </c>
      <c r="E31" s="59"/>
      <c r="F31" s="4" t="s">
        <v>232</v>
      </c>
      <c r="G31" s="45"/>
      <c r="H31" s="45" t="s">
        <v>372</v>
      </c>
      <c r="I31" s="45"/>
      <c r="J31" s="45"/>
      <c r="K31" s="45" t="s">
        <v>302</v>
      </c>
      <c r="L31" s="45" t="s">
        <v>399</v>
      </c>
      <c r="M31" s="45" t="s">
        <v>55</v>
      </c>
      <c r="N31" s="57">
        <v>300000</v>
      </c>
      <c r="O31" s="62">
        <v>0</v>
      </c>
      <c r="P31" s="57">
        <f>+Tableau2229[[#This Row],[MONTANT HT]]*Tableau2229[[#This Row],[TAUX TVA]]</f>
        <v>0</v>
      </c>
      <c r="Q31" s="57">
        <f>+Tableau2229[[#This Row],[MONTANT HT]]+Tableau2229[[#This Row],[MONTANT TVA]]</f>
        <v>300000</v>
      </c>
      <c r="R31" s="57"/>
      <c r="S31" s="57">
        <f>+Tableau2229[[#This Row],[MONTANT TTC]]-Tableau2229[[#This Row],[MONTANT PAYÉ (FCFA)]]</f>
        <v>300000</v>
      </c>
      <c r="T31" s="45"/>
      <c r="U31" s="45"/>
      <c r="V31" s="45"/>
      <c r="W31" s="45"/>
      <c r="X31" s="45"/>
      <c r="Y31" s="45"/>
    </row>
    <row r="32" spans="1:25" ht="13.8">
      <c r="A32" s="45" t="s">
        <v>55</v>
      </c>
      <c r="B32" s="45"/>
      <c r="C32" s="58">
        <v>45698</v>
      </c>
      <c r="D32" s="45" t="s">
        <v>388</v>
      </c>
      <c r="E32" s="59"/>
      <c r="F32" s="4" t="s">
        <v>232</v>
      </c>
      <c r="G32" s="45"/>
      <c r="H32" s="45" t="s">
        <v>372</v>
      </c>
      <c r="I32" s="45"/>
      <c r="J32" s="45"/>
      <c r="K32" s="45" t="s">
        <v>302</v>
      </c>
      <c r="L32" s="45" t="s">
        <v>400</v>
      </c>
      <c r="M32" s="45" t="s">
        <v>55</v>
      </c>
      <c r="N32" s="57">
        <v>75000</v>
      </c>
      <c r="O32" s="62">
        <v>0</v>
      </c>
      <c r="P32" s="57">
        <f>+Tableau2229[[#This Row],[MONTANT HT]]*Tableau2229[[#This Row],[TAUX TVA]]</f>
        <v>0</v>
      </c>
      <c r="Q32" s="57">
        <f>+Tableau2229[[#This Row],[MONTANT HT]]+Tableau2229[[#This Row],[MONTANT TVA]]</f>
        <v>75000</v>
      </c>
      <c r="R32" s="57"/>
      <c r="S32" s="57">
        <f>+Tableau2229[[#This Row],[MONTANT TTC]]-Tableau2229[[#This Row],[MONTANT PAYÉ (FCFA)]]</f>
        <v>75000</v>
      </c>
      <c r="T32" s="45"/>
      <c r="U32" s="45"/>
      <c r="V32" s="45"/>
      <c r="W32" s="45"/>
      <c r="X32" s="45"/>
      <c r="Y32" s="45"/>
    </row>
    <row r="33" spans="1:25" ht="13.8">
      <c r="A33" s="45" t="s">
        <v>55</v>
      </c>
      <c r="B33" s="45"/>
      <c r="C33" s="58">
        <v>45698</v>
      </c>
      <c r="D33" s="45" t="s">
        <v>411</v>
      </c>
      <c r="E33" s="59"/>
      <c r="F33" s="4" t="s">
        <v>232</v>
      </c>
      <c r="G33" s="45"/>
      <c r="H33" s="45" t="s">
        <v>390</v>
      </c>
      <c r="I33" s="45"/>
      <c r="J33" s="45"/>
      <c r="K33" s="45" t="s">
        <v>396</v>
      </c>
      <c r="L33" s="45" t="s">
        <v>422</v>
      </c>
      <c r="M33" s="45" t="s">
        <v>55</v>
      </c>
      <c r="N33" s="57">
        <v>250000</v>
      </c>
      <c r="O33" s="62">
        <v>0</v>
      </c>
      <c r="P33" s="57">
        <f>+Tableau2229[[#This Row],[MONTANT HT]]*Tableau2229[[#This Row],[TAUX TVA]]</f>
        <v>0</v>
      </c>
      <c r="Q33" s="57">
        <f>+Tableau2229[[#This Row],[MONTANT HT]]+Tableau2229[[#This Row],[MONTANT TVA]]</f>
        <v>250000</v>
      </c>
      <c r="R33" s="57"/>
      <c r="S33" s="57">
        <f>+Tableau2229[[#This Row],[MONTANT TTC]]-Tableau2229[[#This Row],[MONTANT PAYÉ (FCFA)]]</f>
        <v>250000</v>
      </c>
      <c r="T33" s="45"/>
      <c r="U33" s="45"/>
      <c r="V33" s="45"/>
      <c r="W33" s="45"/>
      <c r="X33" s="45"/>
      <c r="Y33" s="45"/>
    </row>
    <row r="34" spans="1:25" ht="13.8">
      <c r="A34" s="45" t="s">
        <v>55</v>
      </c>
      <c r="B34" s="45"/>
      <c r="C34" s="58">
        <v>45698</v>
      </c>
      <c r="D34" s="45" t="s">
        <v>412</v>
      </c>
      <c r="E34" s="59"/>
      <c r="F34" s="4" t="s">
        <v>232</v>
      </c>
      <c r="G34" s="45"/>
      <c r="H34" s="45" t="s">
        <v>391</v>
      </c>
      <c r="I34" s="45"/>
      <c r="J34" s="45"/>
      <c r="K34" s="45" t="s">
        <v>302</v>
      </c>
      <c r="L34" s="45" t="s">
        <v>401</v>
      </c>
      <c r="M34" s="45" t="s">
        <v>55</v>
      </c>
      <c r="N34" s="57">
        <v>230000</v>
      </c>
      <c r="O34" s="62">
        <v>0</v>
      </c>
      <c r="P34" s="57">
        <f>+Tableau2229[[#This Row],[MONTANT HT]]*Tableau2229[[#This Row],[TAUX TVA]]</f>
        <v>0</v>
      </c>
      <c r="Q34" s="57">
        <f>+Tableau2229[[#This Row],[MONTANT HT]]+Tableau2229[[#This Row],[MONTANT TVA]]</f>
        <v>230000</v>
      </c>
      <c r="R34" s="57"/>
      <c r="S34" s="57">
        <f>+Tableau2229[[#This Row],[MONTANT TTC]]-Tableau2229[[#This Row],[MONTANT PAYÉ (FCFA)]]</f>
        <v>230000</v>
      </c>
      <c r="T34" s="45"/>
      <c r="U34" s="45"/>
      <c r="V34" s="45"/>
      <c r="W34" s="45"/>
      <c r="X34" s="45"/>
      <c r="Y34" s="45"/>
    </row>
    <row r="35" spans="1:25" ht="13.8">
      <c r="A35" s="45" t="s">
        <v>55</v>
      </c>
      <c r="B35" s="45"/>
      <c r="C35" s="58">
        <v>45698</v>
      </c>
      <c r="D35" s="45" t="s">
        <v>413</v>
      </c>
      <c r="E35" s="59"/>
      <c r="F35" s="4" t="s">
        <v>232</v>
      </c>
      <c r="G35" s="45"/>
      <c r="H35" s="45" t="s">
        <v>405</v>
      </c>
      <c r="I35" s="45"/>
      <c r="J35" s="45"/>
      <c r="K35" s="45" t="s">
        <v>381</v>
      </c>
      <c r="L35" s="45" t="s">
        <v>402</v>
      </c>
      <c r="M35" s="45" t="s">
        <v>55</v>
      </c>
      <c r="N35" s="57">
        <v>100000</v>
      </c>
      <c r="O35" s="62">
        <v>0</v>
      </c>
      <c r="P35" s="57">
        <f>+Tableau2229[[#This Row],[MONTANT HT]]*Tableau2229[[#This Row],[TAUX TVA]]</f>
        <v>0</v>
      </c>
      <c r="Q35" s="57">
        <f>+Tableau2229[[#This Row],[MONTANT HT]]+Tableau2229[[#This Row],[MONTANT TVA]]</f>
        <v>100000</v>
      </c>
      <c r="R35" s="57"/>
      <c r="S35" s="57">
        <f>+Tableau2229[[#This Row],[MONTANT TTC]]-Tableau2229[[#This Row],[MONTANT PAYÉ (FCFA)]]</f>
        <v>100000</v>
      </c>
      <c r="T35" s="45"/>
      <c r="U35" s="45"/>
      <c r="V35" s="45"/>
      <c r="W35" s="45"/>
      <c r="X35" s="45"/>
      <c r="Y35" s="45"/>
    </row>
    <row r="36" spans="1:25" ht="13.8">
      <c r="A36" s="45" t="s">
        <v>50</v>
      </c>
      <c r="B36" s="45"/>
      <c r="C36" s="56">
        <v>45698</v>
      </c>
      <c r="D36" s="45" t="s">
        <v>414</v>
      </c>
      <c r="E36" s="10" t="s">
        <v>407</v>
      </c>
      <c r="F36" s="4" t="s">
        <v>233</v>
      </c>
      <c r="G36" s="4" t="s">
        <v>17</v>
      </c>
      <c r="H36" s="45" t="s">
        <v>329</v>
      </c>
      <c r="I36" s="45" t="s">
        <v>392</v>
      </c>
      <c r="J36" s="4" t="s">
        <v>408</v>
      </c>
      <c r="K36" s="4" t="s">
        <v>409</v>
      </c>
      <c r="L36" s="45" t="s">
        <v>403</v>
      </c>
      <c r="M36" s="45" t="s">
        <v>50</v>
      </c>
      <c r="N36" s="57">
        <v>322915</v>
      </c>
      <c r="O36" s="62">
        <v>0.18</v>
      </c>
      <c r="P36" s="57">
        <f>+Tableau2229[[#This Row],[MONTANT HT]]*Tableau2229[[#This Row],[TAUX TVA]]</f>
        <v>58124.7</v>
      </c>
      <c r="Q36" s="57">
        <f>+Tableau2229[[#This Row],[MONTANT HT]]+Tableau2229[[#This Row],[MONTANT TVA]]</f>
        <v>381039.7</v>
      </c>
      <c r="R36" s="57"/>
      <c r="S36" s="57">
        <f>+Tableau2229[[#This Row],[MONTANT TTC]]-Tableau2229[[#This Row],[MONTANT PAYÉ (FCFA)]]</f>
        <v>381039.7</v>
      </c>
      <c r="T36" s="45"/>
      <c r="U36" s="45"/>
      <c r="V36" s="45"/>
      <c r="W36" s="45"/>
      <c r="X36" s="45"/>
      <c r="Y36" s="45"/>
    </row>
    <row r="37" spans="1:25" ht="13.8">
      <c r="A37" s="45" t="s">
        <v>50</v>
      </c>
      <c r="B37" s="45"/>
      <c r="C37" s="56">
        <v>45698</v>
      </c>
      <c r="D37" s="45" t="s">
        <v>415</v>
      </c>
      <c r="E37" s="10" t="s">
        <v>406</v>
      </c>
      <c r="F37" s="4" t="s">
        <v>233</v>
      </c>
      <c r="G37" s="4" t="s">
        <v>17</v>
      </c>
      <c r="H37" s="45" t="s">
        <v>329</v>
      </c>
      <c r="I37" s="45" t="s">
        <v>393</v>
      </c>
      <c r="J37" s="4" t="s">
        <v>408</v>
      </c>
      <c r="K37" s="4" t="s">
        <v>410</v>
      </c>
      <c r="L37" s="45" t="s">
        <v>404</v>
      </c>
      <c r="M37" s="45" t="s">
        <v>50</v>
      </c>
      <c r="N37" s="46">
        <v>17875</v>
      </c>
      <c r="O37" s="63">
        <v>0.18</v>
      </c>
      <c r="P37" s="46">
        <f>+Tableau2229[[#This Row],[MONTANT HT]]*Tableau2229[[#This Row],[TAUX TVA]]</f>
        <v>3217.5</v>
      </c>
      <c r="Q37" s="46">
        <f>+Tableau2229[[#This Row],[MONTANT HT]]+Tableau2229[[#This Row],[MONTANT TVA]]</f>
        <v>21092.5</v>
      </c>
      <c r="R37" s="46"/>
      <c r="S37" s="46">
        <f>+Tableau2229[[#This Row],[MONTANT TTC]]-Tableau2229[[#This Row],[MONTANT PAYÉ (FCFA)]]</f>
        <v>21092.5</v>
      </c>
      <c r="T37" s="45"/>
      <c r="U37" s="45"/>
      <c r="V37" s="45"/>
      <c r="W37" s="45"/>
      <c r="X37" s="45"/>
      <c r="Y37" s="45"/>
    </row>
    <row r="38" spans="1:25" ht="13.8">
      <c r="A38" s="45" t="s">
        <v>55</v>
      </c>
      <c r="B38" s="45"/>
      <c r="C38" s="56">
        <v>45698</v>
      </c>
      <c r="D38" s="45" t="s">
        <v>416</v>
      </c>
      <c r="E38" s="59"/>
      <c r="F38" s="45" t="s">
        <v>232</v>
      </c>
      <c r="G38" s="45" t="s">
        <v>17</v>
      </c>
      <c r="H38" s="45" t="s">
        <v>329</v>
      </c>
      <c r="I38" s="45"/>
      <c r="J38" s="45" t="s">
        <v>417</v>
      </c>
      <c r="K38" s="45" t="s">
        <v>316</v>
      </c>
      <c r="L38" s="45" t="s">
        <v>418</v>
      </c>
      <c r="M38" s="45" t="s">
        <v>50</v>
      </c>
      <c r="N38" s="57">
        <v>350000</v>
      </c>
      <c r="O38" s="62">
        <v>0</v>
      </c>
      <c r="P38" s="57">
        <f>+Tableau2229[[#This Row],[MONTANT HT]]*Tableau2229[[#This Row],[TAUX TVA]]</f>
        <v>0</v>
      </c>
      <c r="Q38" s="57">
        <f>+Tableau2229[[#This Row],[MONTANT HT]]+Tableau2229[[#This Row],[MONTANT TVA]]</f>
        <v>350000</v>
      </c>
      <c r="R38" s="57"/>
      <c r="S38" s="57">
        <f>+Tableau2229[[#This Row],[MONTANT TTC]]-Tableau2229[[#This Row],[MONTANT PAYÉ (FCFA)]]</f>
        <v>350000</v>
      </c>
      <c r="T38" s="45"/>
      <c r="U38" s="45"/>
      <c r="V38" s="45"/>
      <c r="W38" s="45"/>
      <c r="X38" s="45"/>
      <c r="Y38" s="45"/>
    </row>
    <row r="39" spans="1:25" ht="13.8">
      <c r="A39" s="45" t="s">
        <v>55</v>
      </c>
      <c r="B39" s="45"/>
      <c r="C39" s="56">
        <v>45698</v>
      </c>
      <c r="D39" s="45" t="s">
        <v>419</v>
      </c>
      <c r="E39" s="59"/>
      <c r="F39" s="45" t="s">
        <v>232</v>
      </c>
      <c r="G39" s="45"/>
      <c r="H39" s="45" t="s">
        <v>298</v>
      </c>
      <c r="I39" s="45"/>
      <c r="J39" s="45"/>
      <c r="K39" s="45" t="s">
        <v>420</v>
      </c>
      <c r="L39" s="45" t="s">
        <v>421</v>
      </c>
      <c r="M39" s="45" t="s">
        <v>55</v>
      </c>
      <c r="N39" s="57">
        <v>82600</v>
      </c>
      <c r="O39" s="62">
        <v>0</v>
      </c>
      <c r="P39" s="57">
        <f>+Tableau2229[[#This Row],[MONTANT HT]]*Tableau2229[[#This Row],[TAUX TVA]]</f>
        <v>0</v>
      </c>
      <c r="Q39" s="57">
        <f>+Tableau2229[[#This Row],[MONTANT HT]]+Tableau2229[[#This Row],[MONTANT TVA]]</f>
        <v>82600</v>
      </c>
      <c r="R39" s="57"/>
      <c r="S39" s="57">
        <f>+Tableau2229[[#This Row],[MONTANT TTC]]-Tableau2229[[#This Row],[MONTANT PAYÉ (FCFA)]]</f>
        <v>82600</v>
      </c>
      <c r="T39" s="45"/>
      <c r="U39" s="45"/>
      <c r="V39" s="45"/>
      <c r="W39" s="45"/>
      <c r="X39" s="45"/>
      <c r="Y39" s="45"/>
    </row>
    <row r="40" spans="1:25" ht="13.8">
      <c r="A40" s="45" t="s">
        <v>52</v>
      </c>
      <c r="B40" s="45"/>
      <c r="C40" s="56">
        <v>45575</v>
      </c>
      <c r="D40" s="45" t="s">
        <v>423</v>
      </c>
      <c r="E40" s="59"/>
      <c r="F40" s="45" t="s">
        <v>232</v>
      </c>
      <c r="G40" s="45"/>
      <c r="H40" s="45" t="s">
        <v>301</v>
      </c>
      <c r="I40" s="45"/>
      <c r="J40" s="45" t="s">
        <v>417</v>
      </c>
      <c r="K40" s="45" t="s">
        <v>381</v>
      </c>
      <c r="L40" s="45" t="s">
        <v>424</v>
      </c>
      <c r="M40" s="45" t="s">
        <v>425</v>
      </c>
      <c r="N40" s="57">
        <v>200000</v>
      </c>
      <c r="O40" s="62">
        <v>0</v>
      </c>
      <c r="P40" s="57">
        <f>+Tableau2229[[#This Row],[MONTANT HT]]*Tableau2229[[#This Row],[TAUX TVA]]</f>
        <v>0</v>
      </c>
      <c r="Q40" s="57">
        <f>+Tableau2229[[#This Row],[MONTANT HT]]+Tableau2229[[#This Row],[MONTANT TVA]]</f>
        <v>200000</v>
      </c>
      <c r="R40" s="57"/>
      <c r="S40" s="57">
        <f>+Tableau2229[[#This Row],[MONTANT TTC]]-Tableau2229[[#This Row],[MONTANT PAYÉ (FCFA)]]</f>
        <v>200000</v>
      </c>
      <c r="T40" s="45"/>
      <c r="U40" s="45"/>
      <c r="V40" s="45"/>
      <c r="W40" s="45"/>
      <c r="X40" s="45"/>
      <c r="Y40" s="45"/>
    </row>
    <row r="41" spans="1:25" ht="13.8">
      <c r="A41" s="45" t="s">
        <v>52</v>
      </c>
      <c r="B41" s="45"/>
      <c r="C41" s="56">
        <v>45541</v>
      </c>
      <c r="D41" s="45" t="s">
        <v>426</v>
      </c>
      <c r="E41" s="59" t="s">
        <v>428</v>
      </c>
      <c r="F41" s="45" t="s">
        <v>232</v>
      </c>
      <c r="G41" s="45" t="s">
        <v>17</v>
      </c>
      <c r="H41" s="45" t="s">
        <v>427</v>
      </c>
      <c r="I41" s="45" t="s">
        <v>105</v>
      </c>
      <c r="J41" s="45" t="s">
        <v>408</v>
      </c>
      <c r="K41" s="45" t="s">
        <v>316</v>
      </c>
      <c r="L41" s="45" t="s">
        <v>429</v>
      </c>
      <c r="M41" s="45" t="s">
        <v>430</v>
      </c>
      <c r="N41" s="57">
        <v>702000</v>
      </c>
      <c r="O41" s="62">
        <v>0</v>
      </c>
      <c r="P41" s="57">
        <f>+Tableau2229[[#This Row],[MONTANT HT]]*Tableau2229[[#This Row],[TAUX TVA]]</f>
        <v>0</v>
      </c>
      <c r="Q41" s="57">
        <f>+Tableau2229[[#This Row],[MONTANT HT]]+Tableau2229[[#This Row],[MONTANT TVA]]</f>
        <v>702000</v>
      </c>
      <c r="R41" s="57"/>
      <c r="S41" s="57">
        <f>+Tableau2229[[#This Row],[MONTANT TTC]]-Tableau2229[[#This Row],[MONTANT PAYÉ (FCFA)]]</f>
        <v>702000</v>
      </c>
      <c r="T41" s="45"/>
      <c r="U41" s="45"/>
      <c r="V41" s="45"/>
      <c r="W41" s="45"/>
      <c r="X41" s="45"/>
      <c r="Y41" s="45"/>
    </row>
    <row r="42" spans="1:25" ht="13.8">
      <c r="A42" s="45" t="s">
        <v>55</v>
      </c>
      <c r="B42" s="45"/>
      <c r="C42" s="56">
        <v>45618</v>
      </c>
      <c r="D42" s="45" t="s">
        <v>431</v>
      </c>
      <c r="E42" s="59"/>
      <c r="F42" s="45" t="s">
        <v>232</v>
      </c>
      <c r="G42" s="45"/>
      <c r="H42" s="45" t="s">
        <v>432</v>
      </c>
      <c r="I42" s="45"/>
      <c r="J42" s="45" t="s">
        <v>408</v>
      </c>
      <c r="K42" s="45" t="s">
        <v>381</v>
      </c>
      <c r="L42" s="45" t="s">
        <v>433</v>
      </c>
      <c r="M42" s="45" t="s">
        <v>304</v>
      </c>
      <c r="N42" s="57">
        <v>13180000</v>
      </c>
      <c r="O42" s="62">
        <v>0</v>
      </c>
      <c r="P42" s="57">
        <f>+Tableau2229[[#This Row],[MONTANT HT]]*Tableau2229[[#This Row],[TAUX TVA]]</f>
        <v>0</v>
      </c>
      <c r="Q42" s="57">
        <f>+Tableau2229[[#This Row],[MONTANT HT]]+Tableau2229[[#This Row],[MONTANT TVA]]</f>
        <v>13180000</v>
      </c>
      <c r="R42" s="57"/>
      <c r="S42" s="57">
        <f>+Tableau2229[[#This Row],[MONTANT TTC]]-Tableau2229[[#This Row],[MONTANT PAYÉ (FCFA)]]</f>
        <v>13180000</v>
      </c>
      <c r="T42" s="45"/>
      <c r="U42" s="45"/>
      <c r="V42" s="45"/>
      <c r="W42" s="45"/>
      <c r="X42" s="45"/>
      <c r="Y42" s="45"/>
    </row>
    <row r="43" spans="1:25" ht="13.8">
      <c r="A43" s="45" t="s">
        <v>52</v>
      </c>
      <c r="B43" s="45"/>
      <c r="C43" s="56">
        <v>45575</v>
      </c>
      <c r="D43" s="4" t="s">
        <v>453</v>
      </c>
      <c r="E43" s="59"/>
      <c r="F43" s="4" t="s">
        <v>232</v>
      </c>
      <c r="G43" s="45"/>
      <c r="H43" s="4" t="s">
        <v>56</v>
      </c>
      <c r="I43" s="45"/>
      <c r="K43" s="45" t="s">
        <v>381</v>
      </c>
      <c r="L43" s="4" t="s">
        <v>454</v>
      </c>
      <c r="M43" s="4" t="s">
        <v>455</v>
      </c>
      <c r="N43" s="57">
        <v>22500</v>
      </c>
      <c r="O43" s="62">
        <v>0</v>
      </c>
      <c r="P43" s="57">
        <f>+Tableau2229[[#This Row],[MONTANT HT]]*Tableau2229[[#This Row],[TAUX TVA]]</f>
        <v>0</v>
      </c>
      <c r="Q43" s="57">
        <f>+Tableau2229[[#This Row],[MONTANT HT]]+Tableau2229[[#This Row],[MONTANT TVA]]</f>
        <v>22500</v>
      </c>
      <c r="R43" s="57"/>
      <c r="S43" s="57">
        <f>+Tableau2229[[#This Row],[MONTANT TTC]]-Tableau2229[[#This Row],[MONTANT PAYÉ (FCFA)]]</f>
        <v>22500</v>
      </c>
      <c r="T43" s="45"/>
      <c r="U43" s="45"/>
      <c r="V43" s="45"/>
      <c r="W43" s="45"/>
      <c r="X43" s="45"/>
      <c r="Y43" s="45"/>
    </row>
    <row r="44" spans="1:25" ht="13.8">
      <c r="A44" s="45" t="s">
        <v>52</v>
      </c>
      <c r="B44" s="45"/>
      <c r="C44" s="56">
        <v>45586</v>
      </c>
      <c r="D44" s="4" t="s">
        <v>457</v>
      </c>
      <c r="E44" s="59"/>
      <c r="F44" s="4" t="s">
        <v>232</v>
      </c>
      <c r="G44" s="45"/>
      <c r="H44" s="4" t="s">
        <v>56</v>
      </c>
      <c r="I44" s="45"/>
      <c r="K44" s="45" t="s">
        <v>381</v>
      </c>
      <c r="L44" s="4" t="s">
        <v>456</v>
      </c>
      <c r="M44" s="4" t="s">
        <v>455</v>
      </c>
      <c r="N44" s="57">
        <v>15000</v>
      </c>
      <c r="O44" s="62">
        <v>0</v>
      </c>
      <c r="P44" s="57">
        <f>+Tableau2229[[#This Row],[MONTANT HT]]*Tableau2229[[#This Row],[TAUX TVA]]</f>
        <v>0</v>
      </c>
      <c r="Q44" s="57">
        <f>+Tableau2229[[#This Row],[MONTANT HT]]+Tableau2229[[#This Row],[MONTANT TVA]]</f>
        <v>15000</v>
      </c>
      <c r="R44" s="65">
        <v>7000</v>
      </c>
      <c r="S44" s="57">
        <f>+Tableau2229[[#This Row],[MONTANT TTC]]-Tableau2229[[#This Row],[MONTANT PAYÉ (FCFA)]]</f>
        <v>8000</v>
      </c>
      <c r="T44" s="45"/>
      <c r="U44" s="45"/>
      <c r="V44" s="45"/>
      <c r="W44" s="45"/>
      <c r="X44" s="45"/>
      <c r="Y44" s="45"/>
    </row>
    <row r="45" spans="1:25" ht="13.8">
      <c r="A45" s="45" t="s">
        <v>52</v>
      </c>
      <c r="B45" s="45"/>
      <c r="C45" s="56">
        <v>45586</v>
      </c>
      <c r="D45" s="4" t="s">
        <v>458</v>
      </c>
      <c r="E45" s="10"/>
      <c r="F45" s="4" t="s">
        <v>232</v>
      </c>
      <c r="H45" s="4" t="s">
        <v>427</v>
      </c>
      <c r="K45" s="45" t="s">
        <v>381</v>
      </c>
      <c r="L45" s="4" t="s">
        <v>459</v>
      </c>
      <c r="M45" s="4" t="s">
        <v>460</v>
      </c>
      <c r="N45" s="53">
        <v>128000</v>
      </c>
      <c r="O45" s="62">
        <v>0</v>
      </c>
      <c r="P45" s="53">
        <f>+Tableau2229[[#This Row],[MONTANT HT]]*Tableau2229[[#This Row],[TAUX TVA]]</f>
        <v>0</v>
      </c>
      <c r="Q45" s="53">
        <f>+Tableau2229[[#This Row],[MONTANT HT]]+Tableau2229[[#This Row],[MONTANT TVA]]</f>
        <v>128000</v>
      </c>
      <c r="R45" s="53"/>
      <c r="S45" s="53">
        <f>+Tableau2229[[#This Row],[MONTANT TTC]]-Tableau2229[[#This Row],[MONTANT PAYÉ (FCFA)]]</f>
        <v>128000</v>
      </c>
    </row>
    <row r="46" spans="1:25" ht="13.8">
      <c r="A46" s="45" t="s">
        <v>52</v>
      </c>
      <c r="B46" s="45"/>
      <c r="C46" s="64">
        <v>45596</v>
      </c>
      <c r="D46" s="4" t="s">
        <v>461</v>
      </c>
      <c r="E46" s="10"/>
      <c r="F46" s="4" t="s">
        <v>232</v>
      </c>
      <c r="H46" s="4" t="s">
        <v>380</v>
      </c>
      <c r="K46" s="45" t="s">
        <v>381</v>
      </c>
      <c r="L46" s="4" t="s">
        <v>462</v>
      </c>
      <c r="M46" s="4" t="s">
        <v>460</v>
      </c>
      <c r="N46" s="53">
        <v>115000</v>
      </c>
      <c r="O46" s="62">
        <v>0</v>
      </c>
      <c r="P46" s="53">
        <f>+Tableau2229[[#This Row],[MONTANT HT]]*Tableau2229[[#This Row],[TAUX TVA]]</f>
        <v>0</v>
      </c>
      <c r="Q46" s="53">
        <f>+Tableau2229[[#This Row],[MONTANT HT]]+Tableau2229[[#This Row],[MONTANT TVA]]</f>
        <v>115000</v>
      </c>
      <c r="R46" s="53"/>
      <c r="S46" s="53">
        <f>+Tableau2229[[#This Row],[MONTANT TTC]]-Tableau2229[[#This Row],[MONTANT PAYÉ (FCFA)]]</f>
        <v>115000</v>
      </c>
    </row>
    <row r="47" spans="1:25" ht="13.8">
      <c r="A47" s="45" t="s">
        <v>52</v>
      </c>
      <c r="B47" s="45"/>
      <c r="C47" s="64">
        <v>45617</v>
      </c>
      <c r="D47" s="4" t="s">
        <v>463</v>
      </c>
      <c r="E47" s="10"/>
      <c r="F47" s="4" t="s">
        <v>232</v>
      </c>
      <c r="H47" s="4" t="s">
        <v>380</v>
      </c>
      <c r="K47" s="45" t="s">
        <v>381</v>
      </c>
      <c r="L47" s="4" t="s">
        <v>464</v>
      </c>
      <c r="M47" s="4" t="s">
        <v>460</v>
      </c>
      <c r="N47" s="53">
        <v>36000</v>
      </c>
      <c r="O47" s="62">
        <v>0</v>
      </c>
      <c r="P47" s="53">
        <f>+Tableau2229[[#This Row],[MONTANT HT]]*Tableau2229[[#This Row],[TAUX TVA]]</f>
        <v>0</v>
      </c>
      <c r="Q47" s="53">
        <f>+Tableau2229[[#This Row],[MONTANT HT]]+Tableau2229[[#This Row],[MONTANT TVA]]</f>
        <v>36000</v>
      </c>
      <c r="R47" s="53"/>
      <c r="S47" s="53">
        <f>+Tableau2229[[#This Row],[MONTANT TTC]]-Tableau2229[[#This Row],[MONTANT PAYÉ (FCFA)]]</f>
        <v>36000</v>
      </c>
    </row>
    <row r="48" spans="1:25" ht="13.8">
      <c r="A48" s="4" t="s">
        <v>54</v>
      </c>
      <c r="C48" s="64">
        <v>45609</v>
      </c>
      <c r="D48" s="4" t="s">
        <v>465</v>
      </c>
      <c r="E48" s="10"/>
      <c r="F48" s="4" t="s">
        <v>232</v>
      </c>
      <c r="H48" s="4" t="s">
        <v>329</v>
      </c>
      <c r="K48" s="4" t="s">
        <v>420</v>
      </c>
      <c r="L48" s="4" t="s">
        <v>466</v>
      </c>
      <c r="M48" s="4" t="s">
        <v>54</v>
      </c>
      <c r="N48" s="53">
        <v>218300</v>
      </c>
      <c r="O48" s="62">
        <v>0</v>
      </c>
      <c r="P48" s="53">
        <f>+Tableau2229[[#This Row],[MONTANT HT]]*Tableau2229[[#This Row],[TAUX TVA]]</f>
        <v>0</v>
      </c>
      <c r="Q48" s="53">
        <f>+Tableau2229[[#This Row],[MONTANT HT]]+Tableau2229[[#This Row],[MONTANT TVA]]</f>
        <v>218300</v>
      </c>
      <c r="R48" s="53"/>
      <c r="S48" s="53">
        <f>+Tableau2229[[#This Row],[MONTANT TTC]]-Tableau2229[[#This Row],[MONTANT PAYÉ (FCFA)]]</f>
        <v>218300</v>
      </c>
    </row>
    <row r="49" spans="1:19" ht="13.8">
      <c r="A49" s="4" t="s">
        <v>52</v>
      </c>
      <c r="C49" s="64">
        <v>45573</v>
      </c>
      <c r="D49" s="4" t="s">
        <v>468</v>
      </c>
      <c r="E49" s="10"/>
      <c r="F49" s="4" t="s">
        <v>232</v>
      </c>
      <c r="H49" s="4" t="s">
        <v>329</v>
      </c>
      <c r="K49" s="4" t="s">
        <v>299</v>
      </c>
      <c r="L49" s="4" t="s">
        <v>467</v>
      </c>
      <c r="M49" s="4" t="s">
        <v>348</v>
      </c>
      <c r="N49" s="53">
        <v>3500</v>
      </c>
      <c r="O49" s="62">
        <v>0</v>
      </c>
      <c r="P49" s="53">
        <f>+Tableau2229[[#This Row],[MONTANT HT]]*Tableau2229[[#This Row],[TAUX TVA]]</f>
        <v>0</v>
      </c>
      <c r="Q49" s="53">
        <f>+Tableau2229[[#This Row],[MONTANT HT]]+Tableau2229[[#This Row],[MONTANT TVA]]</f>
        <v>3500</v>
      </c>
      <c r="R49" s="53"/>
      <c r="S49" s="53">
        <f>+Tableau2229[[#This Row],[MONTANT TTC]]-Tableau2229[[#This Row],[MONTANT PAYÉ (FCFA)]]</f>
        <v>3500</v>
      </c>
    </row>
    <row r="50" spans="1:19" ht="13.8">
      <c r="A50" s="4" t="s">
        <v>52</v>
      </c>
      <c r="C50" s="64">
        <v>45595</v>
      </c>
      <c r="D50" s="4" t="s">
        <v>469</v>
      </c>
      <c r="E50" s="10"/>
      <c r="F50" s="4" t="s">
        <v>232</v>
      </c>
      <c r="H50" s="4" t="s">
        <v>376</v>
      </c>
      <c r="K50" s="4" t="s">
        <v>299</v>
      </c>
      <c r="L50" s="4" t="s">
        <v>470</v>
      </c>
      <c r="M50" s="4" t="s">
        <v>348</v>
      </c>
      <c r="N50" s="53">
        <v>8000</v>
      </c>
      <c r="O50" s="62">
        <v>0</v>
      </c>
      <c r="P50" s="53">
        <f>+Tableau2229[[#This Row],[MONTANT HT]]*Tableau2229[[#This Row],[TAUX TVA]]</f>
        <v>0</v>
      </c>
      <c r="Q50" s="53">
        <f>+Tableau2229[[#This Row],[MONTANT HT]]+Tableau2229[[#This Row],[MONTANT TVA]]</f>
        <v>8000</v>
      </c>
      <c r="R50" s="53"/>
      <c r="S50" s="53">
        <f>+Tableau2229[[#This Row],[MONTANT TTC]]-Tableau2229[[#This Row],[MONTANT PAYÉ (FCFA)]]</f>
        <v>8000</v>
      </c>
    </row>
    <row r="51" spans="1:19" ht="13.8">
      <c r="A51" s="4" t="s">
        <v>52</v>
      </c>
      <c r="C51" s="64">
        <v>45595</v>
      </c>
      <c r="D51" s="4" t="s">
        <v>471</v>
      </c>
      <c r="E51" s="10" t="s">
        <v>472</v>
      </c>
      <c r="F51" s="4" t="s">
        <v>233</v>
      </c>
      <c r="G51" s="4" t="s">
        <v>17</v>
      </c>
      <c r="H51" s="4" t="s">
        <v>376</v>
      </c>
      <c r="I51" s="4" t="s">
        <v>473</v>
      </c>
      <c r="K51" s="4" t="s">
        <v>474</v>
      </c>
      <c r="L51" s="4" t="s">
        <v>475</v>
      </c>
      <c r="M51" s="4" t="s">
        <v>50</v>
      </c>
      <c r="N51" s="44">
        <v>30000</v>
      </c>
      <c r="O51" s="62">
        <v>0</v>
      </c>
      <c r="P51" s="44">
        <f>+Tableau2229[[#This Row],[MONTANT HT]]*Tableau2229[[#This Row],[TAUX TVA]]</f>
        <v>0</v>
      </c>
      <c r="Q51" s="44">
        <f>+Tableau2229[[#This Row],[MONTANT HT]]+Tableau2229[[#This Row],[MONTANT TVA]]</f>
        <v>30000</v>
      </c>
      <c r="R51" s="44"/>
      <c r="S51" s="44">
        <f>+Tableau2229[[#This Row],[MONTANT TTC]]-Tableau2229[[#This Row],[MONTANT PAYÉ (FCFA)]]</f>
        <v>30000</v>
      </c>
    </row>
    <row r="52" spans="1:19" ht="13.8">
      <c r="A52" s="4" t="s">
        <v>52</v>
      </c>
      <c r="C52" s="47">
        <v>45600</v>
      </c>
      <c r="D52" s="4" t="s">
        <v>476</v>
      </c>
      <c r="E52" s="10"/>
      <c r="F52" s="4" t="s">
        <v>232</v>
      </c>
      <c r="H52" s="4" t="s">
        <v>380</v>
      </c>
      <c r="K52" s="4" t="s">
        <v>381</v>
      </c>
      <c r="L52" s="4" t="s">
        <v>477</v>
      </c>
      <c r="M52" s="4" t="s">
        <v>460</v>
      </c>
      <c r="N52" s="44">
        <v>127000</v>
      </c>
      <c r="O52" s="62">
        <v>0</v>
      </c>
      <c r="P52" s="44">
        <f>+Tableau2229[[#This Row],[MONTANT HT]]*Tableau2229[[#This Row],[TAUX TVA]]</f>
        <v>0</v>
      </c>
      <c r="Q52" s="44">
        <f>+Tableau2229[[#This Row],[MONTANT HT]]+Tableau2229[[#This Row],[MONTANT TVA]]</f>
        <v>127000</v>
      </c>
      <c r="R52" s="44"/>
      <c r="S52" s="44">
        <f>+Tableau2229[[#This Row],[MONTANT TTC]]-Tableau2229[[#This Row],[MONTANT PAYÉ (FCFA)]]</f>
        <v>127000</v>
      </c>
    </row>
    <row r="53" spans="1:19" ht="13.8">
      <c r="A53" s="4" t="s">
        <v>478</v>
      </c>
      <c r="C53" s="64">
        <v>45609</v>
      </c>
      <c r="D53" s="4" t="s">
        <v>465</v>
      </c>
      <c r="E53" s="10"/>
      <c r="F53" s="4" t="s">
        <v>232</v>
      </c>
      <c r="H53" s="4" t="s">
        <v>329</v>
      </c>
      <c r="K53" s="4" t="s">
        <v>420</v>
      </c>
      <c r="L53" s="4" t="s">
        <v>466</v>
      </c>
      <c r="M53" s="4" t="s">
        <v>478</v>
      </c>
      <c r="N53" s="53">
        <v>218300</v>
      </c>
      <c r="O53" s="62">
        <v>0</v>
      </c>
      <c r="P53" s="53">
        <f>+Tableau2229[[#This Row],[MONTANT HT]]*Tableau2229[[#This Row],[TAUX TVA]]</f>
        <v>0</v>
      </c>
      <c r="Q53" s="53">
        <f>+Tableau2229[[#This Row],[MONTANT HT]]+Tableau2229[[#This Row],[MONTANT TVA]]</f>
        <v>218300</v>
      </c>
      <c r="R53" s="53"/>
      <c r="S53" s="53">
        <f>+Tableau2229[[#This Row],[MONTANT TTC]]-Tableau2229[[#This Row],[MONTANT PAYÉ (FCFA)]]</f>
        <v>218300</v>
      </c>
    </row>
    <row r="54" spans="1:19" ht="13.8">
      <c r="A54" s="4" t="s">
        <v>52</v>
      </c>
      <c r="C54" s="64">
        <v>45580</v>
      </c>
      <c r="D54" s="4" t="s">
        <v>479</v>
      </c>
      <c r="E54" s="10"/>
      <c r="F54" s="4" t="s">
        <v>232</v>
      </c>
      <c r="H54" s="4" t="s">
        <v>427</v>
      </c>
      <c r="K54" s="4" t="s">
        <v>480</v>
      </c>
      <c r="L54" s="4" t="s">
        <v>481</v>
      </c>
      <c r="M54" s="4" t="s">
        <v>348</v>
      </c>
      <c r="N54" s="53">
        <v>458927</v>
      </c>
      <c r="O54" s="62">
        <v>0</v>
      </c>
      <c r="P54" s="53">
        <f>+Tableau2229[[#This Row],[MONTANT HT]]*Tableau2229[[#This Row],[TAUX TVA]]</f>
        <v>0</v>
      </c>
      <c r="Q54" s="53">
        <f>+Tableau2229[[#This Row],[MONTANT HT]]+Tableau2229[[#This Row],[MONTANT TVA]]</f>
        <v>458927</v>
      </c>
      <c r="R54" s="53"/>
      <c r="S54" s="53">
        <f>+Tableau2229[[#This Row],[MONTANT TTC]]-Tableau2229[[#This Row],[MONTANT PAYÉ (FCFA)]]</f>
        <v>458927</v>
      </c>
    </row>
    <row r="55" spans="1:19" ht="13.8">
      <c r="A55" s="4" t="s">
        <v>52</v>
      </c>
      <c r="C55" s="64">
        <v>45598</v>
      </c>
      <c r="D55" s="4" t="s">
        <v>482</v>
      </c>
      <c r="E55" s="10"/>
      <c r="F55" s="4" t="s">
        <v>232</v>
      </c>
      <c r="H55" s="4" t="s">
        <v>380</v>
      </c>
      <c r="K55" s="4" t="s">
        <v>381</v>
      </c>
      <c r="L55" s="4" t="s">
        <v>483</v>
      </c>
      <c r="M55" s="4" t="s">
        <v>460</v>
      </c>
      <c r="N55" s="53">
        <v>93500</v>
      </c>
      <c r="O55" s="62">
        <v>0</v>
      </c>
      <c r="P55" s="53">
        <f>+Tableau2229[[#This Row],[MONTANT HT]]*Tableau2229[[#This Row],[TAUX TVA]]</f>
        <v>0</v>
      </c>
      <c r="Q55" s="53">
        <f>+Tableau2229[[#This Row],[MONTANT HT]]+Tableau2229[[#This Row],[MONTANT TVA]]</f>
        <v>93500</v>
      </c>
      <c r="R55" s="65">
        <v>41000</v>
      </c>
      <c r="S55" s="53">
        <f>+Tableau2229[[#This Row],[MONTANT TTC]]-Tableau2229[[#This Row],[MONTANT PAYÉ (FCFA)]]</f>
        <v>52500</v>
      </c>
    </row>
    <row r="56" spans="1:19" ht="13.8">
      <c r="A56" s="4" t="s">
        <v>52</v>
      </c>
      <c r="C56" s="47">
        <v>45601</v>
      </c>
      <c r="D56" s="4" t="s">
        <v>484</v>
      </c>
      <c r="E56" s="10"/>
      <c r="F56" s="4" t="s">
        <v>232</v>
      </c>
      <c r="H56" s="4" t="s">
        <v>380</v>
      </c>
      <c r="K56" s="4" t="s">
        <v>381</v>
      </c>
      <c r="L56" s="4" t="s">
        <v>485</v>
      </c>
      <c r="M56" s="4" t="s">
        <v>460</v>
      </c>
      <c r="N56" s="44">
        <v>242000</v>
      </c>
      <c r="O56" s="62">
        <v>0</v>
      </c>
      <c r="P56" s="44">
        <f>+Tableau2229[[#This Row],[MONTANT HT]]*Tableau2229[[#This Row],[TAUX TVA]]</f>
        <v>0</v>
      </c>
      <c r="Q56" s="44">
        <f>+Tableau2229[[#This Row],[MONTANT HT]]+Tableau2229[[#This Row],[MONTANT TVA]]</f>
        <v>242000</v>
      </c>
      <c r="R56" s="44"/>
      <c r="S56" s="44">
        <f>+Tableau2229[[#This Row],[MONTANT TTC]]-Tableau2229[[#This Row],[MONTANT PAYÉ (FCFA)]]</f>
        <v>242000</v>
      </c>
    </row>
    <row r="57" spans="1:19" ht="13.8">
      <c r="A57" s="4" t="s">
        <v>52</v>
      </c>
      <c r="C57" s="47">
        <v>45601</v>
      </c>
      <c r="D57" s="4" t="s">
        <v>486</v>
      </c>
      <c r="E57" s="10"/>
      <c r="F57" s="4" t="s">
        <v>232</v>
      </c>
      <c r="H57" s="4" t="s">
        <v>56</v>
      </c>
      <c r="K57" s="4" t="s">
        <v>381</v>
      </c>
      <c r="L57" s="4" t="s">
        <v>487</v>
      </c>
      <c r="M57" s="4" t="s">
        <v>460</v>
      </c>
      <c r="N57" s="44">
        <v>16500</v>
      </c>
      <c r="O57" s="62">
        <v>0</v>
      </c>
      <c r="P57" s="44">
        <f>+Tableau2229[[#This Row],[MONTANT HT]]*Tableau2229[[#This Row],[TAUX TVA]]</f>
        <v>0</v>
      </c>
      <c r="Q57" s="44">
        <f>+Tableau2229[[#This Row],[MONTANT HT]]+Tableau2229[[#This Row],[MONTANT TVA]]</f>
        <v>16500</v>
      </c>
      <c r="R57" s="44"/>
      <c r="S57" s="44">
        <f>+Tableau2229[[#This Row],[MONTANT TTC]]-Tableau2229[[#This Row],[MONTANT PAYÉ (FCFA)]]</f>
        <v>16500</v>
      </c>
    </row>
    <row r="58" spans="1:19" ht="13.8">
      <c r="A58" s="4" t="s">
        <v>52</v>
      </c>
      <c r="C58" s="47">
        <v>45581</v>
      </c>
      <c r="D58" s="4" t="s">
        <v>488</v>
      </c>
      <c r="E58" s="10"/>
      <c r="F58" s="4" t="s">
        <v>232</v>
      </c>
      <c r="H58" s="4" t="s">
        <v>56</v>
      </c>
      <c r="K58" s="4" t="s">
        <v>381</v>
      </c>
      <c r="L58" s="4" t="s">
        <v>489</v>
      </c>
      <c r="M58" s="4" t="s">
        <v>455</v>
      </c>
      <c r="N58" s="44">
        <v>86000</v>
      </c>
      <c r="O58" s="62">
        <v>0</v>
      </c>
      <c r="P58" s="44">
        <f>+Tableau2229[[#This Row],[MONTANT HT]]*Tableau2229[[#This Row],[TAUX TVA]]</f>
        <v>0</v>
      </c>
      <c r="Q58" s="44">
        <f>+Tableau2229[[#This Row],[MONTANT HT]]+Tableau2229[[#This Row],[MONTANT TVA]]</f>
        <v>86000</v>
      </c>
      <c r="R58" s="66">
        <v>40000</v>
      </c>
      <c r="S58" s="44">
        <f>+Tableau2229[[#This Row],[MONTANT TTC]]-Tableau2229[[#This Row],[MONTANT PAYÉ (FCFA)]]</f>
        <v>46000</v>
      </c>
    </row>
    <row r="59" spans="1:19" ht="13.8">
      <c r="A59" s="4" t="s">
        <v>55</v>
      </c>
      <c r="C59" s="64">
        <v>45647</v>
      </c>
      <c r="D59" s="4" t="s">
        <v>490</v>
      </c>
      <c r="E59" s="10"/>
      <c r="F59" s="4" t="s">
        <v>232</v>
      </c>
      <c r="H59" s="4" t="s">
        <v>293</v>
      </c>
      <c r="K59" s="4" t="s">
        <v>491</v>
      </c>
      <c r="L59" s="4" t="s">
        <v>492</v>
      </c>
      <c r="M59" s="4" t="s">
        <v>55</v>
      </c>
      <c r="N59" s="53">
        <v>28500</v>
      </c>
      <c r="O59" s="62">
        <v>0</v>
      </c>
      <c r="P59" s="53">
        <f>+Tableau2229[[#This Row],[MONTANT HT]]*Tableau2229[[#This Row],[TAUX TVA]]</f>
        <v>0</v>
      </c>
      <c r="Q59" s="53">
        <f>+Tableau2229[[#This Row],[MONTANT HT]]+Tableau2229[[#This Row],[MONTANT TVA]]</f>
        <v>28500</v>
      </c>
      <c r="R59" s="53"/>
      <c r="S59" s="53">
        <f>+Tableau2229[[#This Row],[MONTANT TTC]]-Tableau2229[[#This Row],[MONTANT PAYÉ (FCFA)]]</f>
        <v>28500</v>
      </c>
    </row>
    <row r="60" spans="1:19" ht="13.8">
      <c r="A60" s="4" t="s">
        <v>52</v>
      </c>
      <c r="C60" s="64">
        <v>45487</v>
      </c>
      <c r="D60" s="4" t="s">
        <v>493</v>
      </c>
      <c r="E60" s="10"/>
      <c r="F60" s="4" t="s">
        <v>232</v>
      </c>
      <c r="H60" s="4" t="s">
        <v>56</v>
      </c>
      <c r="K60" s="4" t="s">
        <v>381</v>
      </c>
      <c r="L60" s="4" t="s">
        <v>494</v>
      </c>
      <c r="M60" s="4" t="s">
        <v>460</v>
      </c>
      <c r="N60" s="53">
        <v>8080</v>
      </c>
      <c r="O60" s="62">
        <v>0</v>
      </c>
      <c r="P60" s="53">
        <f>+Tableau2229[[#This Row],[MONTANT HT]]*Tableau2229[[#This Row],[TAUX TVA]]</f>
        <v>0</v>
      </c>
      <c r="Q60" s="53">
        <f>+Tableau2229[[#This Row],[MONTANT HT]]+Tableau2229[[#This Row],[MONTANT TVA]]</f>
        <v>8080</v>
      </c>
      <c r="R60" s="65">
        <v>8080</v>
      </c>
      <c r="S60" s="53">
        <f>+Tableau2229[[#This Row],[MONTANT TTC]]-Tableau2229[[#This Row],[MONTANT PAYÉ (FCFA)]]</f>
        <v>0</v>
      </c>
    </row>
    <row r="61" spans="1:19" ht="13.8">
      <c r="A61" s="4" t="s">
        <v>52</v>
      </c>
      <c r="C61" s="47">
        <v>45610</v>
      </c>
      <c r="D61" s="4" t="s">
        <v>496</v>
      </c>
      <c r="E61" s="10"/>
      <c r="F61" s="4" t="s">
        <v>232</v>
      </c>
      <c r="H61" s="4" t="s">
        <v>56</v>
      </c>
      <c r="K61" s="4" t="s">
        <v>299</v>
      </c>
      <c r="L61" s="4" t="s">
        <v>495</v>
      </c>
      <c r="M61" s="4" t="s">
        <v>455</v>
      </c>
      <c r="N61" s="44">
        <v>7850</v>
      </c>
      <c r="O61" s="62">
        <v>0</v>
      </c>
      <c r="P61" s="44">
        <f>+Tableau2229[[#This Row],[MONTANT HT]]*Tableau2229[[#This Row],[TAUX TVA]]</f>
        <v>0</v>
      </c>
      <c r="Q61" s="44">
        <f>+Tableau2229[[#This Row],[MONTANT HT]]+Tableau2229[[#This Row],[MONTANT TVA]]</f>
        <v>7850</v>
      </c>
      <c r="R61" s="66">
        <v>7850</v>
      </c>
      <c r="S61" s="44">
        <f>+Tableau2229[[#This Row],[MONTANT TTC]]-Tableau2229[[#This Row],[MONTANT PAYÉ (FCFA)]]</f>
        <v>0</v>
      </c>
    </row>
    <row r="62" spans="1:19" ht="13.8">
      <c r="A62" s="4" t="s">
        <v>52</v>
      </c>
      <c r="C62" s="47">
        <v>45647</v>
      </c>
      <c r="D62" s="4" t="s">
        <v>490</v>
      </c>
      <c r="E62" s="10"/>
      <c r="F62" s="4" t="s">
        <v>232</v>
      </c>
      <c r="H62" s="4" t="s">
        <v>56</v>
      </c>
      <c r="K62" s="4" t="s">
        <v>497</v>
      </c>
      <c r="L62" s="4" t="s">
        <v>498</v>
      </c>
      <c r="M62" s="4" t="s">
        <v>430</v>
      </c>
      <c r="N62" s="44">
        <v>3256450</v>
      </c>
      <c r="O62" s="62">
        <v>0</v>
      </c>
      <c r="P62" s="44">
        <f>+Tableau2229[[#This Row],[MONTANT HT]]*Tableau2229[[#This Row],[TAUX TVA]]</f>
        <v>0</v>
      </c>
      <c r="Q62" s="44">
        <f>+Tableau2229[[#This Row],[MONTANT HT]]+Tableau2229[[#This Row],[MONTANT TVA]]</f>
        <v>3256450</v>
      </c>
      <c r="R62" s="66">
        <v>1000000</v>
      </c>
      <c r="S62" s="44">
        <f>+Tableau2229[[#This Row],[MONTANT TTC]]-Tableau2229[[#This Row],[MONTANT PAYÉ (FCFA)]]</f>
        <v>2256450</v>
      </c>
    </row>
    <row r="63" spans="1:19" ht="13.8">
      <c r="A63" s="4" t="s">
        <v>52</v>
      </c>
      <c r="C63" s="47">
        <v>45604</v>
      </c>
      <c r="D63" s="4" t="s">
        <v>499</v>
      </c>
      <c r="E63" s="10"/>
      <c r="F63" s="4" t="s">
        <v>232</v>
      </c>
      <c r="H63" s="4" t="s">
        <v>56</v>
      </c>
      <c r="K63" s="4" t="s">
        <v>381</v>
      </c>
      <c r="L63" s="4" t="s">
        <v>500</v>
      </c>
      <c r="M63" s="4" t="s">
        <v>430</v>
      </c>
      <c r="N63" s="44">
        <v>3900</v>
      </c>
      <c r="O63" s="62">
        <v>0</v>
      </c>
      <c r="P63" s="44">
        <f>+Tableau2229[[#This Row],[MONTANT HT]]*Tableau2229[[#This Row],[TAUX TVA]]</f>
        <v>0</v>
      </c>
      <c r="Q63" s="44">
        <f>+Tableau2229[[#This Row],[MONTANT HT]]+Tableau2229[[#This Row],[MONTANT TVA]]</f>
        <v>3900</v>
      </c>
      <c r="R63" s="44"/>
      <c r="S63" s="44">
        <f>+Tableau2229[[#This Row],[MONTANT TTC]]-Tableau2229[[#This Row],[MONTANT PAYÉ (FCFA)]]</f>
        <v>3900</v>
      </c>
    </row>
    <row r="64" spans="1:19" ht="13.8">
      <c r="A64" s="4" t="s">
        <v>52</v>
      </c>
      <c r="C64" s="47">
        <v>45586</v>
      </c>
      <c r="D64" s="4" t="s">
        <v>457</v>
      </c>
      <c r="E64" s="10"/>
      <c r="F64" s="4" t="s">
        <v>232</v>
      </c>
      <c r="H64" s="4" t="s">
        <v>301</v>
      </c>
      <c r="K64" s="4" t="s">
        <v>299</v>
      </c>
      <c r="L64" s="4" t="s">
        <v>501</v>
      </c>
      <c r="M64" s="4" t="s">
        <v>502</v>
      </c>
      <c r="N64" s="44">
        <v>5000</v>
      </c>
      <c r="O64" s="62">
        <v>0</v>
      </c>
      <c r="P64" s="44">
        <f>+Tableau2229[[#This Row],[MONTANT HT]]*Tableau2229[[#This Row],[TAUX TVA]]</f>
        <v>0</v>
      </c>
      <c r="Q64" s="44">
        <f>+Tableau2229[[#This Row],[MONTANT HT]]+Tableau2229[[#This Row],[MONTANT TVA]]</f>
        <v>5000</v>
      </c>
      <c r="R64" s="44"/>
      <c r="S64" s="44">
        <f>+Tableau2229[[#This Row],[MONTANT TTC]]-Tableau2229[[#This Row],[MONTANT PAYÉ (FCFA)]]</f>
        <v>5000</v>
      </c>
    </row>
    <row r="65" spans="1:25" ht="13.8">
      <c r="A65" s="4" t="s">
        <v>52</v>
      </c>
      <c r="C65" s="64">
        <v>45482</v>
      </c>
      <c r="D65" s="4" t="s">
        <v>504</v>
      </c>
      <c r="E65" s="10"/>
      <c r="F65" s="4" t="s">
        <v>232</v>
      </c>
      <c r="H65" s="4" t="s">
        <v>56</v>
      </c>
      <c r="K65" s="4" t="s">
        <v>381</v>
      </c>
      <c r="L65" s="4" t="s">
        <v>503</v>
      </c>
      <c r="M65" s="4" t="s">
        <v>460</v>
      </c>
      <c r="N65" s="53">
        <v>16500</v>
      </c>
      <c r="O65" s="62">
        <v>0</v>
      </c>
      <c r="P65" s="53">
        <f>+Tableau2229[[#This Row],[MONTANT HT]]*Tableau2229[[#This Row],[TAUX TVA]]</f>
        <v>0</v>
      </c>
      <c r="Q65" s="53">
        <f>+Tableau2229[[#This Row],[MONTANT HT]]+Tableau2229[[#This Row],[MONTANT TVA]]</f>
        <v>16500</v>
      </c>
      <c r="R65" s="53"/>
      <c r="S65" s="53">
        <f>+Tableau2229[[#This Row],[MONTANT TTC]]-Tableau2229[[#This Row],[MONTANT PAYÉ (FCFA)]]</f>
        <v>16500</v>
      </c>
    </row>
    <row r="66" spans="1:25" ht="13.8">
      <c r="A66" s="4" t="s">
        <v>52</v>
      </c>
      <c r="C66" s="47">
        <v>45488</v>
      </c>
      <c r="D66" s="4" t="s">
        <v>505</v>
      </c>
      <c r="E66" s="10"/>
      <c r="F66" s="4" t="s">
        <v>232</v>
      </c>
      <c r="H66" s="4" t="s">
        <v>56</v>
      </c>
      <c r="K66" s="4" t="s">
        <v>381</v>
      </c>
      <c r="L66" s="4" t="s">
        <v>503</v>
      </c>
      <c r="M66" s="4" t="s">
        <v>460</v>
      </c>
      <c r="N66" s="44">
        <v>93500</v>
      </c>
      <c r="O66" s="62">
        <v>0</v>
      </c>
      <c r="P66" s="44">
        <f>+Tableau2229[[#This Row],[MONTANT HT]]*Tableau2229[[#This Row],[TAUX TVA]]</f>
        <v>0</v>
      </c>
      <c r="Q66" s="44">
        <f>+Tableau2229[[#This Row],[MONTANT HT]]+Tableau2229[[#This Row],[MONTANT TVA]]</f>
        <v>93500</v>
      </c>
      <c r="R66" s="44"/>
      <c r="S66" s="44">
        <f>+Tableau2229[[#This Row],[MONTANT TTC]]-Tableau2229[[#This Row],[MONTANT PAYÉ (FCFA)]]</f>
        <v>93500</v>
      </c>
    </row>
    <row r="67" spans="1:25" ht="13.8">
      <c r="A67" s="4" t="s">
        <v>52</v>
      </c>
      <c r="C67" s="47">
        <v>45466</v>
      </c>
      <c r="D67" s="4" t="s">
        <v>506</v>
      </c>
      <c r="E67" s="10"/>
      <c r="F67" s="4" t="s">
        <v>232</v>
      </c>
      <c r="H67" s="4" t="s">
        <v>56</v>
      </c>
      <c r="K67" s="4" t="s">
        <v>381</v>
      </c>
      <c r="L67" s="4" t="s">
        <v>507</v>
      </c>
      <c r="M67" s="4" t="s">
        <v>430</v>
      </c>
      <c r="N67" s="44">
        <v>43935</v>
      </c>
      <c r="O67" s="62">
        <v>0</v>
      </c>
      <c r="P67" s="44">
        <f>+Tableau2229[[#This Row],[MONTANT HT]]*Tableau2229[[#This Row],[TAUX TVA]]</f>
        <v>0</v>
      </c>
      <c r="Q67" s="44">
        <f>+Tableau2229[[#This Row],[MONTANT HT]]+Tableau2229[[#This Row],[MONTANT TVA]]</f>
        <v>43935</v>
      </c>
      <c r="R67" s="44"/>
      <c r="S67" s="44">
        <f>+Tableau2229[[#This Row],[MONTANT TTC]]-Tableau2229[[#This Row],[MONTANT PAYÉ (FCFA)]]</f>
        <v>43935</v>
      </c>
    </row>
    <row r="68" spans="1:25" ht="13.8">
      <c r="A68" s="67" t="s">
        <v>50</v>
      </c>
      <c r="B68" s="71">
        <v>45723</v>
      </c>
      <c r="C68" s="72">
        <v>45699</v>
      </c>
      <c r="D68" s="67" t="s">
        <v>508</v>
      </c>
      <c r="E68" s="69"/>
      <c r="F68" s="4" t="s">
        <v>232</v>
      </c>
      <c r="G68" s="67"/>
      <c r="H68" s="67" t="s">
        <v>509</v>
      </c>
      <c r="I68" s="67"/>
      <c r="J68" s="67"/>
      <c r="K68" s="4" t="s">
        <v>381</v>
      </c>
      <c r="L68" s="67" t="s">
        <v>510</v>
      </c>
      <c r="M68" s="67" t="s">
        <v>50</v>
      </c>
      <c r="N68" s="73">
        <v>225000</v>
      </c>
      <c r="O68" s="62">
        <v>0</v>
      </c>
      <c r="P68" s="73">
        <f>+Tableau2229[[#This Row],[MONTANT HT]]*Tableau2229[[#This Row],[TAUX TVA]]</f>
        <v>0</v>
      </c>
      <c r="Q68" s="73">
        <f>+Tableau2229[[#This Row],[MONTANT HT]]+Tableau2229[[#This Row],[MONTANT TVA]]</f>
        <v>225000</v>
      </c>
      <c r="R68" s="73"/>
      <c r="S68" s="73">
        <f>+Tableau2229[[#This Row],[MONTANT TTC]]-Tableau2229[[#This Row],[MONTANT PAYÉ (FCFA)]]</f>
        <v>225000</v>
      </c>
      <c r="T68" s="67"/>
      <c r="U68" s="67"/>
      <c r="V68" s="67"/>
      <c r="W68" s="67"/>
      <c r="X68" s="67"/>
      <c r="Y68" s="67"/>
    </row>
    <row r="69" spans="1:25" ht="13.8">
      <c r="A69" s="67" t="s">
        <v>55</v>
      </c>
      <c r="B69" s="71">
        <v>45723</v>
      </c>
      <c r="C69" s="68">
        <v>45721</v>
      </c>
      <c r="D69" s="67" t="s">
        <v>511</v>
      </c>
      <c r="E69" s="69"/>
      <c r="F69" s="4" t="s">
        <v>232</v>
      </c>
      <c r="G69" s="67"/>
      <c r="H69" s="67" t="s">
        <v>512</v>
      </c>
      <c r="I69" s="67"/>
      <c r="J69" s="67"/>
      <c r="K69" s="4" t="s">
        <v>381</v>
      </c>
      <c r="L69" s="67" t="s">
        <v>513</v>
      </c>
      <c r="M69" s="67" t="s">
        <v>307</v>
      </c>
      <c r="N69" s="70">
        <v>300000</v>
      </c>
      <c r="O69" s="62">
        <v>0</v>
      </c>
      <c r="P69" s="70">
        <f>+Tableau2229[[#This Row],[MONTANT HT]]*Tableau2229[[#This Row],[TAUX TVA]]</f>
        <v>0</v>
      </c>
      <c r="Q69" s="70">
        <f>+Tableau2229[[#This Row],[MONTANT HT]]+Tableau2229[[#This Row],[MONTANT TVA]]</f>
        <v>300000</v>
      </c>
      <c r="R69" s="70"/>
      <c r="S69" s="70">
        <f>+Tableau2229[[#This Row],[MONTANT TTC]]-Tableau2229[[#This Row],[MONTANT PAYÉ (FCFA)]]</f>
        <v>300000</v>
      </c>
      <c r="T69" s="67"/>
      <c r="U69" s="67"/>
      <c r="V69" s="67"/>
      <c r="W69" s="67"/>
      <c r="X69" s="67"/>
      <c r="Y69" s="67"/>
    </row>
    <row r="70" spans="1:25" ht="13.8">
      <c r="A70" s="67" t="s">
        <v>50</v>
      </c>
      <c r="B70" s="71">
        <v>45723</v>
      </c>
      <c r="C70" s="68">
        <v>45721</v>
      </c>
      <c r="D70" s="67" t="s">
        <v>511</v>
      </c>
      <c r="E70" s="69"/>
      <c r="F70" s="4" t="s">
        <v>232</v>
      </c>
      <c r="G70" s="67"/>
      <c r="H70" s="67" t="s">
        <v>512</v>
      </c>
      <c r="I70" s="67"/>
      <c r="J70" s="67"/>
      <c r="K70" s="4" t="s">
        <v>381</v>
      </c>
      <c r="L70" s="67" t="s">
        <v>513</v>
      </c>
      <c r="M70" s="67" t="s">
        <v>50</v>
      </c>
      <c r="N70" s="70">
        <v>300000</v>
      </c>
      <c r="O70" s="62">
        <v>0</v>
      </c>
      <c r="P70" s="73">
        <f>+Tableau2229[[#This Row],[MONTANT HT]]*Tableau2229[[#This Row],[TAUX TVA]]</f>
        <v>0</v>
      </c>
      <c r="Q70" s="73">
        <f>+Tableau2229[[#This Row],[MONTANT HT]]+Tableau2229[[#This Row],[MONTANT TVA]]</f>
        <v>300000</v>
      </c>
      <c r="R70" s="73"/>
      <c r="S70" s="73">
        <f>+Tableau2229[[#This Row],[MONTANT TTC]]-Tableau2229[[#This Row],[MONTANT PAYÉ (FCFA)]]</f>
        <v>300000</v>
      </c>
      <c r="T70" s="67"/>
      <c r="U70" s="67"/>
      <c r="V70" s="67"/>
      <c r="W70" s="67"/>
      <c r="X70" s="67"/>
      <c r="Y70" s="67"/>
    </row>
    <row r="71" spans="1:25" ht="13.8">
      <c r="A71" s="67" t="s">
        <v>50</v>
      </c>
      <c r="B71" s="71">
        <v>45723</v>
      </c>
      <c r="C71" s="72">
        <v>45723</v>
      </c>
      <c r="D71" s="67" t="s">
        <v>514</v>
      </c>
      <c r="E71" s="69"/>
      <c r="F71" s="4" t="s">
        <v>232</v>
      </c>
      <c r="G71" s="67"/>
      <c r="H71" s="67" t="s">
        <v>376</v>
      </c>
      <c r="I71" s="67"/>
      <c r="J71" s="67"/>
      <c r="K71" s="67" t="s">
        <v>302</v>
      </c>
      <c r="L71" s="67" t="s">
        <v>515</v>
      </c>
      <c r="M71" s="67" t="s">
        <v>50</v>
      </c>
      <c r="N71" s="73">
        <v>45000</v>
      </c>
      <c r="O71" s="62">
        <v>0</v>
      </c>
      <c r="P71" s="73">
        <f>+Tableau2229[[#This Row],[MONTANT HT]]*Tableau2229[[#This Row],[TAUX TVA]]</f>
        <v>0</v>
      </c>
      <c r="Q71" s="73">
        <f>+Tableau2229[[#This Row],[MONTANT HT]]+Tableau2229[[#This Row],[MONTANT TVA]]</f>
        <v>45000</v>
      </c>
      <c r="R71" s="73"/>
      <c r="S71" s="73">
        <f>+Tableau2229[[#This Row],[MONTANT TTC]]-Tableau2229[[#This Row],[MONTANT PAYÉ (FCFA)]]</f>
        <v>45000</v>
      </c>
      <c r="T71" s="67"/>
      <c r="U71" s="67"/>
      <c r="V71" s="67"/>
      <c r="W71" s="67"/>
      <c r="X71" s="67"/>
      <c r="Y71" s="67"/>
    </row>
    <row r="72" spans="1:25" ht="13.8">
      <c r="A72" s="67" t="s">
        <v>50</v>
      </c>
      <c r="B72" s="71">
        <v>45723</v>
      </c>
      <c r="C72" s="68">
        <v>45721</v>
      </c>
      <c r="D72" s="67" t="s">
        <v>511</v>
      </c>
      <c r="E72" s="69"/>
      <c r="F72" s="4" t="s">
        <v>232</v>
      </c>
      <c r="G72" s="67"/>
      <c r="H72" s="67" t="s">
        <v>516</v>
      </c>
      <c r="I72" s="67"/>
      <c r="J72" s="67"/>
      <c r="K72" s="4" t="s">
        <v>381</v>
      </c>
      <c r="L72" s="67" t="s">
        <v>517</v>
      </c>
      <c r="M72" s="67" t="s">
        <v>50</v>
      </c>
      <c r="N72" s="70">
        <v>700000</v>
      </c>
      <c r="O72" s="62">
        <v>0</v>
      </c>
      <c r="P72" s="70">
        <f>+Tableau2229[[#This Row],[MONTANT HT]]*Tableau2229[[#This Row],[TAUX TVA]]</f>
        <v>0</v>
      </c>
      <c r="Q72" s="70">
        <f>+Tableau2229[[#This Row],[MONTANT HT]]+Tableau2229[[#This Row],[MONTANT TVA]]</f>
        <v>700000</v>
      </c>
      <c r="R72" s="70"/>
      <c r="S72" s="70">
        <f>+Tableau2229[[#This Row],[MONTANT TTC]]-Tableau2229[[#This Row],[MONTANT PAYÉ (FCFA)]]</f>
        <v>700000</v>
      </c>
      <c r="T72" s="67"/>
      <c r="U72" s="67"/>
      <c r="V72" s="67"/>
      <c r="W72" s="67"/>
      <c r="X72" s="67"/>
      <c r="Y72" s="67"/>
    </row>
    <row r="73" spans="1:25" ht="13.8">
      <c r="A73" s="67" t="s">
        <v>50</v>
      </c>
      <c r="B73" s="71">
        <v>45723</v>
      </c>
      <c r="C73" s="72">
        <v>45715</v>
      </c>
      <c r="D73" s="67" t="s">
        <v>518</v>
      </c>
      <c r="E73" s="69"/>
      <c r="F73" s="4" t="s">
        <v>232</v>
      </c>
      <c r="G73" s="67"/>
      <c r="H73" s="67" t="s">
        <v>298</v>
      </c>
      <c r="I73" s="67"/>
      <c r="J73" s="67"/>
      <c r="K73" s="67" t="s">
        <v>302</v>
      </c>
      <c r="L73" s="67" t="s">
        <v>519</v>
      </c>
      <c r="M73" s="67" t="s">
        <v>50</v>
      </c>
      <c r="N73" s="73">
        <v>208506</v>
      </c>
      <c r="O73" s="62">
        <v>0</v>
      </c>
      <c r="P73" s="73">
        <f>+Tableau2229[[#This Row],[MONTANT HT]]*Tableau2229[[#This Row],[TAUX TVA]]</f>
        <v>0</v>
      </c>
      <c r="Q73" s="73">
        <f>+Tableau2229[[#This Row],[MONTANT HT]]+Tableau2229[[#This Row],[MONTANT TVA]]</f>
        <v>208506</v>
      </c>
      <c r="R73" s="73"/>
      <c r="S73" s="73">
        <f>+Tableau2229[[#This Row],[MONTANT TTC]]-Tableau2229[[#This Row],[MONTANT PAYÉ (FCFA)]]</f>
        <v>208506</v>
      </c>
      <c r="T73" s="67"/>
      <c r="U73" s="67"/>
      <c r="V73" s="67"/>
      <c r="W73" s="67"/>
      <c r="X73" s="67"/>
      <c r="Y73" s="67"/>
    </row>
    <row r="74" spans="1:25" ht="13.8">
      <c r="A74" s="67" t="s">
        <v>55</v>
      </c>
      <c r="B74" s="71">
        <v>45723</v>
      </c>
      <c r="C74" s="72">
        <v>45702</v>
      </c>
      <c r="D74" s="67" t="s">
        <v>520</v>
      </c>
      <c r="E74" s="69"/>
      <c r="F74" s="4" t="s">
        <v>232</v>
      </c>
      <c r="G74" s="67"/>
      <c r="H74" s="67" t="s">
        <v>372</v>
      </c>
      <c r="I74" s="67"/>
      <c r="J74" s="67"/>
      <c r="K74" s="67" t="s">
        <v>497</v>
      </c>
      <c r="L74" s="67" t="s">
        <v>521</v>
      </c>
      <c r="M74" s="67" t="s">
        <v>307</v>
      </c>
      <c r="N74" s="73">
        <v>92070</v>
      </c>
      <c r="O74" s="62">
        <v>0</v>
      </c>
      <c r="P74" s="73">
        <f>+Tableau2229[[#This Row],[MONTANT HT]]*Tableau2229[[#This Row],[TAUX TVA]]</f>
        <v>0</v>
      </c>
      <c r="Q74" s="73">
        <f>+Tableau2229[[#This Row],[MONTANT HT]]+Tableau2229[[#This Row],[MONTANT TVA]]</f>
        <v>92070</v>
      </c>
      <c r="R74" s="73"/>
      <c r="S74" s="73">
        <f>+Tableau2229[[#This Row],[MONTANT TTC]]-Tableau2229[[#This Row],[MONTANT PAYÉ (FCFA)]]</f>
        <v>92070</v>
      </c>
      <c r="T74" s="67"/>
      <c r="U74" s="67"/>
      <c r="V74" s="67"/>
      <c r="W74" s="67"/>
      <c r="X74" s="67"/>
      <c r="Y74" s="67"/>
    </row>
    <row r="75" spans="1:25" ht="13.8">
      <c r="A75" s="67" t="s">
        <v>55</v>
      </c>
      <c r="B75" s="71">
        <v>45723</v>
      </c>
      <c r="C75" s="68">
        <v>45722</v>
      </c>
      <c r="D75" s="67" t="s">
        <v>522</v>
      </c>
      <c r="E75" s="69"/>
      <c r="F75" s="4" t="s">
        <v>232</v>
      </c>
      <c r="G75" s="67"/>
      <c r="H75" s="67" t="s">
        <v>376</v>
      </c>
      <c r="I75" s="67"/>
      <c r="J75" s="67"/>
      <c r="K75" s="67" t="s">
        <v>381</v>
      </c>
      <c r="L75" s="67" t="s">
        <v>523</v>
      </c>
      <c r="M75" s="67" t="s">
        <v>321</v>
      </c>
      <c r="N75" s="70">
        <v>168500</v>
      </c>
      <c r="O75" s="62">
        <v>0</v>
      </c>
      <c r="P75" s="70">
        <f>+Tableau2229[[#This Row],[MONTANT HT]]*Tableau2229[[#This Row],[TAUX TVA]]</f>
        <v>0</v>
      </c>
      <c r="Q75" s="70">
        <f>+Tableau2229[[#This Row],[MONTANT HT]]+Tableau2229[[#This Row],[MONTANT TVA]]</f>
        <v>168500</v>
      </c>
      <c r="R75" s="70"/>
      <c r="S75" s="70">
        <f>+Tableau2229[[#This Row],[MONTANT TTC]]-Tableau2229[[#This Row],[MONTANT PAYÉ (FCFA)]]</f>
        <v>168500</v>
      </c>
      <c r="T75" s="67"/>
      <c r="U75" s="67"/>
      <c r="V75" s="67"/>
      <c r="W75" s="67"/>
      <c r="X75" s="67"/>
      <c r="Y75" s="67"/>
    </row>
    <row r="76" spans="1:25" ht="13.8">
      <c r="A76" s="67" t="s">
        <v>55</v>
      </c>
      <c r="B76" s="71">
        <v>45723</v>
      </c>
      <c r="C76" s="68">
        <v>45722</v>
      </c>
      <c r="D76" s="67" t="s">
        <v>522</v>
      </c>
      <c r="E76" s="69"/>
      <c r="F76" s="4" t="s">
        <v>232</v>
      </c>
      <c r="G76" s="67"/>
      <c r="H76" s="67" t="s">
        <v>376</v>
      </c>
      <c r="I76" s="67"/>
      <c r="J76" s="67"/>
      <c r="K76" s="67" t="s">
        <v>381</v>
      </c>
      <c r="L76" s="67" t="s">
        <v>524</v>
      </c>
      <c r="M76" s="67" t="s">
        <v>321</v>
      </c>
      <c r="N76" s="73">
        <v>24500</v>
      </c>
      <c r="O76" s="62">
        <v>0</v>
      </c>
      <c r="P76" s="73">
        <f>+Tableau2229[[#This Row],[MONTANT HT]]*Tableau2229[[#This Row],[TAUX TVA]]</f>
        <v>0</v>
      </c>
      <c r="Q76" s="73">
        <f>+Tableau2229[[#This Row],[MONTANT HT]]+Tableau2229[[#This Row],[MONTANT TVA]]</f>
        <v>24500</v>
      </c>
      <c r="R76" s="73"/>
      <c r="S76" s="73">
        <f>+Tableau2229[[#This Row],[MONTANT TTC]]-Tableau2229[[#This Row],[MONTANT PAYÉ (FCFA)]]</f>
        <v>24500</v>
      </c>
      <c r="T76" s="67"/>
      <c r="U76" s="67"/>
      <c r="V76" s="67"/>
      <c r="W76" s="67"/>
      <c r="X76" s="67"/>
      <c r="Y76" s="67"/>
    </row>
    <row r="77" spans="1:25" ht="13.8">
      <c r="A77" s="67" t="s">
        <v>55</v>
      </c>
      <c r="B77" s="71">
        <v>45723</v>
      </c>
      <c r="C77" s="68">
        <v>45722</v>
      </c>
      <c r="D77" s="67" t="s">
        <v>522</v>
      </c>
      <c r="E77" s="69"/>
      <c r="F77" s="4" t="s">
        <v>232</v>
      </c>
      <c r="G77" s="67"/>
      <c r="H77" s="67" t="s">
        <v>376</v>
      </c>
      <c r="I77" s="67"/>
      <c r="J77" s="67"/>
      <c r="K77" s="67" t="s">
        <v>381</v>
      </c>
      <c r="L77" s="67" t="s">
        <v>523</v>
      </c>
      <c r="M77" s="67" t="s">
        <v>304</v>
      </c>
      <c r="N77" s="73">
        <v>178000</v>
      </c>
      <c r="O77" s="62">
        <v>0</v>
      </c>
      <c r="P77" s="73">
        <f>+Tableau2229[[#This Row],[MONTANT HT]]*Tableau2229[[#This Row],[TAUX TVA]]</f>
        <v>0</v>
      </c>
      <c r="Q77" s="73">
        <f>+Tableau2229[[#This Row],[MONTANT HT]]+Tableau2229[[#This Row],[MONTANT TVA]]</f>
        <v>178000</v>
      </c>
      <c r="R77" s="73"/>
      <c r="S77" s="73">
        <f>+Tableau2229[[#This Row],[MONTANT TTC]]-Tableau2229[[#This Row],[MONTANT PAYÉ (FCFA)]]</f>
        <v>178000</v>
      </c>
      <c r="T77" s="67"/>
      <c r="U77" s="67"/>
      <c r="V77" s="67"/>
      <c r="W77" s="67"/>
      <c r="X77" s="67"/>
      <c r="Y77" s="67"/>
    </row>
    <row r="78" spans="1:25" ht="13.8">
      <c r="A78" s="67" t="s">
        <v>55</v>
      </c>
      <c r="B78" s="71">
        <v>45723</v>
      </c>
      <c r="C78" s="72">
        <v>45714</v>
      </c>
      <c r="D78" s="67" t="s">
        <v>526</v>
      </c>
      <c r="E78" s="69"/>
      <c r="F78" s="4" t="s">
        <v>232</v>
      </c>
      <c r="G78" s="67"/>
      <c r="H78" s="67" t="s">
        <v>376</v>
      </c>
      <c r="I78" s="67"/>
      <c r="J78" s="67"/>
      <c r="K78" s="67" t="s">
        <v>381</v>
      </c>
      <c r="L78" s="67" t="s">
        <v>524</v>
      </c>
      <c r="M78" s="67" t="s">
        <v>304</v>
      </c>
      <c r="N78" s="73">
        <v>94500</v>
      </c>
      <c r="O78" s="62">
        <v>0</v>
      </c>
      <c r="P78" s="73">
        <f>+Tableau2229[[#This Row],[MONTANT HT]]*Tableau2229[[#This Row],[TAUX TVA]]</f>
        <v>0</v>
      </c>
      <c r="Q78" s="73">
        <f>+Tableau2229[[#This Row],[MONTANT HT]]+Tableau2229[[#This Row],[MONTANT TVA]]</f>
        <v>94500</v>
      </c>
      <c r="R78" s="73"/>
      <c r="S78" s="73">
        <f>+Tableau2229[[#This Row],[MONTANT TTC]]-Tableau2229[[#This Row],[MONTANT PAYÉ (FCFA)]]</f>
        <v>94500</v>
      </c>
      <c r="T78" s="67"/>
      <c r="U78" s="67"/>
      <c r="V78" s="67"/>
      <c r="W78" s="67"/>
      <c r="X78" s="67"/>
      <c r="Y78" s="67"/>
    </row>
    <row r="79" spans="1:25" ht="13.8">
      <c r="A79" s="67" t="s">
        <v>55</v>
      </c>
      <c r="B79" s="71">
        <v>45723</v>
      </c>
      <c r="C79" s="72">
        <v>45710</v>
      </c>
      <c r="D79" s="67" t="s">
        <v>527</v>
      </c>
      <c r="E79" s="69"/>
      <c r="F79" s="4" t="s">
        <v>232</v>
      </c>
      <c r="G79" s="67"/>
      <c r="H79" s="67" t="s">
        <v>376</v>
      </c>
      <c r="I79" s="67"/>
      <c r="J79" s="67"/>
      <c r="K79" s="67" t="s">
        <v>381</v>
      </c>
      <c r="L79" s="67" t="s">
        <v>528</v>
      </c>
      <c r="M79" s="67" t="s">
        <v>304</v>
      </c>
      <c r="N79" s="73">
        <v>150000</v>
      </c>
      <c r="O79" s="62">
        <v>0</v>
      </c>
      <c r="P79" s="73">
        <f>+Tableau2229[[#This Row],[MONTANT HT]]*Tableau2229[[#This Row],[TAUX TVA]]</f>
        <v>0</v>
      </c>
      <c r="Q79" s="73">
        <f>+Tableau2229[[#This Row],[MONTANT HT]]+Tableau2229[[#This Row],[MONTANT TVA]]</f>
        <v>150000</v>
      </c>
      <c r="R79" s="73"/>
      <c r="S79" s="73">
        <f>+Tableau2229[[#This Row],[MONTANT TTC]]-Tableau2229[[#This Row],[MONTANT PAYÉ (FCFA)]]</f>
        <v>150000</v>
      </c>
      <c r="T79" s="67"/>
      <c r="U79" s="67"/>
      <c r="V79" s="67"/>
      <c r="W79" s="67"/>
      <c r="X79" s="67"/>
      <c r="Y79" s="67"/>
    </row>
    <row r="80" spans="1:25" ht="13.8">
      <c r="A80" s="67" t="s">
        <v>55</v>
      </c>
      <c r="B80" s="71">
        <v>45723</v>
      </c>
      <c r="C80" s="68">
        <v>45709</v>
      </c>
      <c r="D80" s="67" t="s">
        <v>529</v>
      </c>
      <c r="E80" s="69"/>
      <c r="F80" s="4" t="s">
        <v>232</v>
      </c>
      <c r="G80" s="67"/>
      <c r="H80" s="67" t="s">
        <v>298</v>
      </c>
      <c r="I80" s="67"/>
      <c r="J80" s="67"/>
      <c r="K80" s="67" t="s">
        <v>302</v>
      </c>
      <c r="L80" s="67" t="s">
        <v>530</v>
      </c>
      <c r="M80" s="67" t="s">
        <v>307</v>
      </c>
      <c r="N80" s="70">
        <v>4119995</v>
      </c>
      <c r="O80" s="62">
        <v>0</v>
      </c>
      <c r="P80" s="70">
        <f>+Tableau2229[[#This Row],[MONTANT HT]]*Tableau2229[[#This Row],[TAUX TVA]]</f>
        <v>0</v>
      </c>
      <c r="Q80" s="70">
        <f>+Tableau2229[[#This Row],[MONTANT HT]]+Tableau2229[[#This Row],[MONTANT TVA]]</f>
        <v>4119995</v>
      </c>
      <c r="R80" s="70">
        <f>3680000+40400+1000</f>
        <v>3721400</v>
      </c>
      <c r="S80" s="70">
        <f>+Tableau2229[[#This Row],[MONTANT TTC]]-Tableau2229[[#This Row],[MONTANT PAYÉ (FCFA)]]</f>
        <v>398595</v>
      </c>
      <c r="T80" s="67"/>
      <c r="U80" s="67"/>
      <c r="V80" s="67"/>
      <c r="W80" s="67"/>
      <c r="X80" s="67"/>
      <c r="Y80" s="67"/>
    </row>
    <row r="81" spans="1:25" ht="13.8">
      <c r="A81" s="67" t="s">
        <v>55</v>
      </c>
      <c r="B81" s="71">
        <v>45723</v>
      </c>
      <c r="C81" s="68">
        <v>45709</v>
      </c>
      <c r="D81" s="67" t="s">
        <v>529</v>
      </c>
      <c r="E81" s="69"/>
      <c r="F81" s="4" t="s">
        <v>232</v>
      </c>
      <c r="G81" s="67"/>
      <c r="H81" s="67" t="s">
        <v>298</v>
      </c>
      <c r="I81" s="67"/>
      <c r="J81" s="67"/>
      <c r="K81" s="67" t="s">
        <v>302</v>
      </c>
      <c r="L81" s="67" t="s">
        <v>531</v>
      </c>
      <c r="M81" s="67" t="s">
        <v>307</v>
      </c>
      <c r="N81" s="73">
        <v>1210000</v>
      </c>
      <c r="O81" s="62">
        <v>0</v>
      </c>
      <c r="P81" s="73">
        <f>+Tableau2229[[#This Row],[MONTANT HT]]*Tableau2229[[#This Row],[TAUX TVA]]</f>
        <v>0</v>
      </c>
      <c r="Q81" s="73">
        <f>+Tableau2229[[#This Row],[MONTANT HT]]+Tableau2229[[#This Row],[MONTANT TVA]]</f>
        <v>1210000</v>
      </c>
      <c r="R81" s="73"/>
      <c r="S81" s="73">
        <f>+Tableau2229[[#This Row],[MONTANT TTC]]-Tableau2229[[#This Row],[MONTANT PAYÉ (FCFA)]]</f>
        <v>1210000</v>
      </c>
      <c r="T81" s="67"/>
      <c r="U81" s="67"/>
      <c r="V81" s="67"/>
      <c r="W81" s="67"/>
      <c r="X81" s="67"/>
      <c r="Y81" s="67"/>
    </row>
    <row r="82" spans="1:25" ht="13.8">
      <c r="A82" s="67" t="s">
        <v>55</v>
      </c>
      <c r="B82" s="71">
        <v>45723</v>
      </c>
      <c r="C82" s="68">
        <v>45709</v>
      </c>
      <c r="D82" s="67" t="s">
        <v>529</v>
      </c>
      <c r="E82" s="69"/>
      <c r="F82" s="4" t="s">
        <v>232</v>
      </c>
      <c r="G82" s="67"/>
      <c r="H82" s="67" t="s">
        <v>298</v>
      </c>
      <c r="I82" s="67"/>
      <c r="J82" s="67"/>
      <c r="K82" s="67" t="s">
        <v>302</v>
      </c>
      <c r="L82" s="67" t="s">
        <v>530</v>
      </c>
      <c r="M82" s="67" t="s">
        <v>321</v>
      </c>
      <c r="N82" s="70">
        <v>4119995</v>
      </c>
      <c r="O82" s="62">
        <v>0</v>
      </c>
      <c r="P82" s="73">
        <f>+Tableau2229[[#This Row],[MONTANT HT]]*Tableau2229[[#This Row],[TAUX TVA]]</f>
        <v>0</v>
      </c>
      <c r="Q82" s="73">
        <f>+Tableau2229[[#This Row],[MONTANT HT]]+Tableau2229[[#This Row],[MONTANT TVA]]</f>
        <v>4119995</v>
      </c>
      <c r="R82" s="73"/>
      <c r="S82" s="73">
        <f>+Tableau2229[[#This Row],[MONTANT TTC]]-Tableau2229[[#This Row],[MONTANT PAYÉ (FCFA)]]</f>
        <v>4119995</v>
      </c>
      <c r="T82" s="67"/>
      <c r="U82" s="67"/>
      <c r="V82" s="67"/>
      <c r="W82" s="67"/>
      <c r="X82" s="67"/>
      <c r="Y82" s="67"/>
    </row>
    <row r="83" spans="1:25" ht="13.8">
      <c r="A83" s="67" t="s">
        <v>55</v>
      </c>
      <c r="B83" s="71">
        <v>45723</v>
      </c>
      <c r="C83" s="68">
        <v>45709</v>
      </c>
      <c r="D83" s="67" t="s">
        <v>529</v>
      </c>
      <c r="E83" s="69"/>
      <c r="F83" s="4" t="s">
        <v>232</v>
      </c>
      <c r="G83" s="67"/>
      <c r="H83" s="67" t="s">
        <v>298</v>
      </c>
      <c r="I83" s="67"/>
      <c r="J83" s="67"/>
      <c r="K83" s="67" t="s">
        <v>302</v>
      </c>
      <c r="L83" s="67" t="s">
        <v>531</v>
      </c>
      <c r="M83" s="67" t="s">
        <v>321</v>
      </c>
      <c r="N83" s="73">
        <v>1750000</v>
      </c>
      <c r="O83" s="62">
        <v>0</v>
      </c>
      <c r="P83" s="73">
        <f>+Tableau2229[[#This Row],[MONTANT HT]]*Tableau2229[[#This Row],[TAUX TVA]]</f>
        <v>0</v>
      </c>
      <c r="Q83" s="73">
        <f>+Tableau2229[[#This Row],[MONTANT HT]]+Tableau2229[[#This Row],[MONTANT TVA]]</f>
        <v>1750000</v>
      </c>
      <c r="R83" s="73"/>
      <c r="S83" s="73">
        <f>+Tableau2229[[#This Row],[MONTANT TTC]]-Tableau2229[[#This Row],[MONTANT PAYÉ (FCFA)]]</f>
        <v>1750000</v>
      </c>
      <c r="T83" s="67"/>
      <c r="U83" s="67"/>
      <c r="V83" s="67"/>
      <c r="W83" s="67"/>
      <c r="X83" s="67"/>
      <c r="Y83" s="67"/>
    </row>
    <row r="84" spans="1:25" ht="13.8">
      <c r="A84" s="67" t="s">
        <v>52</v>
      </c>
      <c r="B84" s="71">
        <v>45723</v>
      </c>
      <c r="C84" s="72">
        <v>45701</v>
      </c>
      <c r="D84" s="67" t="s">
        <v>532</v>
      </c>
      <c r="E84" s="69"/>
      <c r="F84" s="4" t="s">
        <v>232</v>
      </c>
      <c r="G84" s="67"/>
      <c r="H84" s="67" t="s">
        <v>372</v>
      </c>
      <c r="I84" s="67"/>
      <c r="J84" s="67"/>
      <c r="K84" s="67" t="s">
        <v>319</v>
      </c>
      <c r="L84" s="67" t="s">
        <v>533</v>
      </c>
      <c r="M84" s="67" t="s">
        <v>534</v>
      </c>
      <c r="N84" s="73">
        <v>186000</v>
      </c>
      <c r="O84" s="62">
        <v>0</v>
      </c>
      <c r="P84" s="73">
        <f>+Tableau2229[[#This Row],[MONTANT HT]]*Tableau2229[[#This Row],[TAUX TVA]]</f>
        <v>0</v>
      </c>
      <c r="Q84" s="73">
        <f>+Tableau2229[[#This Row],[MONTANT HT]]+Tableau2229[[#This Row],[MONTANT TVA]]</f>
        <v>186000</v>
      </c>
      <c r="R84" s="73">
        <v>90000</v>
      </c>
      <c r="S84" s="73">
        <f>+Tableau2229[[#This Row],[MONTANT TTC]]-Tableau2229[[#This Row],[MONTANT PAYÉ (FCFA)]]</f>
        <v>96000</v>
      </c>
      <c r="T84" s="67"/>
      <c r="U84" s="67"/>
      <c r="V84" s="67"/>
      <c r="W84" s="67"/>
      <c r="X84" s="67"/>
      <c r="Y84" s="67"/>
    </row>
    <row r="85" spans="1:25" ht="13.8">
      <c r="A85" s="67" t="s">
        <v>52</v>
      </c>
      <c r="B85" s="71">
        <v>45723</v>
      </c>
      <c r="C85" s="68">
        <v>45722</v>
      </c>
      <c r="D85" s="67" t="s">
        <v>522</v>
      </c>
      <c r="E85" s="69"/>
      <c r="F85" s="4" t="s">
        <v>232</v>
      </c>
      <c r="G85" s="67"/>
      <c r="H85" s="67" t="s">
        <v>372</v>
      </c>
      <c r="I85" s="67"/>
      <c r="J85" s="67"/>
      <c r="K85" s="67" t="s">
        <v>319</v>
      </c>
      <c r="L85" s="67" t="s">
        <v>535</v>
      </c>
      <c r="M85" s="67" t="s">
        <v>534</v>
      </c>
      <c r="N85" s="70">
        <v>70000</v>
      </c>
      <c r="O85" s="62">
        <v>0</v>
      </c>
      <c r="P85" s="70">
        <f>+Tableau2229[[#This Row],[MONTANT HT]]*Tableau2229[[#This Row],[TAUX TVA]]</f>
        <v>0</v>
      </c>
      <c r="Q85" s="70">
        <f>+Tableau2229[[#This Row],[MONTANT HT]]+Tableau2229[[#This Row],[MONTANT TVA]]</f>
        <v>70000</v>
      </c>
      <c r="R85" s="70"/>
      <c r="S85" s="70">
        <f>+Tableau2229[[#This Row],[MONTANT TTC]]-Tableau2229[[#This Row],[MONTANT PAYÉ (FCFA)]]</f>
        <v>70000</v>
      </c>
      <c r="T85" s="67"/>
      <c r="U85" s="67"/>
      <c r="V85" s="67"/>
      <c r="W85" s="67"/>
      <c r="X85" s="67"/>
      <c r="Y85" s="67"/>
    </row>
    <row r="86" spans="1:25" ht="13.8">
      <c r="A86" s="67" t="s">
        <v>52</v>
      </c>
      <c r="B86" s="71">
        <v>45723</v>
      </c>
      <c r="C86" s="68">
        <v>45721</v>
      </c>
      <c r="D86" s="67" t="s">
        <v>511</v>
      </c>
      <c r="E86" s="69"/>
      <c r="F86" s="4" t="s">
        <v>232</v>
      </c>
      <c r="G86" s="67"/>
      <c r="H86" s="67" t="s">
        <v>301</v>
      </c>
      <c r="I86" s="67"/>
      <c r="J86" s="67"/>
      <c r="K86" s="67" t="s">
        <v>294</v>
      </c>
      <c r="L86" s="67" t="s">
        <v>536</v>
      </c>
      <c r="M86" s="67" t="s">
        <v>537</v>
      </c>
      <c r="N86" s="70">
        <v>181800</v>
      </c>
      <c r="O86" s="62">
        <v>0</v>
      </c>
      <c r="P86" s="70">
        <f>+Tableau2229[[#This Row],[MONTANT HT]]*Tableau2229[[#This Row],[TAUX TVA]]</f>
        <v>0</v>
      </c>
      <c r="Q86" s="70">
        <f>+Tableau2229[[#This Row],[MONTANT HT]]+Tableau2229[[#This Row],[MONTANT TVA]]</f>
        <v>181800</v>
      </c>
      <c r="R86" s="70"/>
      <c r="S86" s="70">
        <f>+Tableau2229[[#This Row],[MONTANT TTC]]-Tableau2229[[#This Row],[MONTANT PAYÉ (FCFA)]]</f>
        <v>181800</v>
      </c>
      <c r="T86" s="67"/>
      <c r="U86" s="67"/>
      <c r="V86" s="67"/>
      <c r="W86" s="67"/>
      <c r="X86" s="67"/>
      <c r="Y86" s="67"/>
    </row>
    <row r="87" spans="1:25" ht="13.8">
      <c r="A87" s="67" t="s">
        <v>52</v>
      </c>
      <c r="B87" s="71">
        <v>45723</v>
      </c>
      <c r="C87" s="68">
        <v>45722</v>
      </c>
      <c r="D87" s="67" t="s">
        <v>522</v>
      </c>
      <c r="E87" s="69"/>
      <c r="F87" s="4" t="s">
        <v>232</v>
      </c>
      <c r="G87" s="67"/>
      <c r="H87" s="67" t="s">
        <v>380</v>
      </c>
      <c r="I87" s="67"/>
      <c r="J87" s="67"/>
      <c r="K87" s="67" t="s">
        <v>381</v>
      </c>
      <c r="L87" s="67" t="s">
        <v>538</v>
      </c>
      <c r="M87" s="67" t="s">
        <v>460</v>
      </c>
      <c r="N87" s="73">
        <v>165000</v>
      </c>
      <c r="O87" s="62">
        <v>0</v>
      </c>
      <c r="P87" s="73">
        <f>+Tableau2229[[#This Row],[MONTANT HT]]*Tableau2229[[#This Row],[TAUX TVA]]</f>
        <v>0</v>
      </c>
      <c r="Q87" s="73">
        <f>+Tableau2229[[#This Row],[MONTANT HT]]+Tableau2229[[#This Row],[MONTANT TVA]]</f>
        <v>165000</v>
      </c>
      <c r="R87" s="73">
        <v>100000</v>
      </c>
      <c r="S87" s="73">
        <f>+Tableau2229[[#This Row],[MONTANT TTC]]-Tableau2229[[#This Row],[MONTANT PAYÉ (FCFA)]]</f>
        <v>65000</v>
      </c>
      <c r="T87" s="67"/>
      <c r="U87" s="67"/>
      <c r="V87" s="67"/>
      <c r="W87" s="67"/>
      <c r="X87" s="67"/>
      <c r="Y87" s="67"/>
    </row>
    <row r="88" spans="1:25" ht="13.8">
      <c r="A88" s="67" t="s">
        <v>52</v>
      </c>
      <c r="B88" s="71">
        <v>45723</v>
      </c>
      <c r="C88" s="71">
        <v>45723</v>
      </c>
      <c r="D88" s="67" t="s">
        <v>514</v>
      </c>
      <c r="E88" s="69"/>
      <c r="F88" s="4" t="s">
        <v>232</v>
      </c>
      <c r="G88" s="67"/>
      <c r="H88" s="67" t="s">
        <v>380</v>
      </c>
      <c r="I88" s="67"/>
      <c r="J88" s="67"/>
      <c r="K88" s="67" t="s">
        <v>381</v>
      </c>
      <c r="L88" s="67" t="s">
        <v>539</v>
      </c>
      <c r="M88" s="67" t="s">
        <v>460</v>
      </c>
      <c r="N88" s="73">
        <v>164603</v>
      </c>
      <c r="O88" s="62">
        <v>0</v>
      </c>
      <c r="P88" s="73">
        <f>+Tableau2229[[#This Row],[MONTANT HT]]*Tableau2229[[#This Row],[TAUX TVA]]</f>
        <v>0</v>
      </c>
      <c r="Q88" s="73">
        <f>+Tableau2229[[#This Row],[MONTANT HT]]+Tableau2229[[#This Row],[MONTANT TVA]]</f>
        <v>164603</v>
      </c>
      <c r="R88" s="73"/>
      <c r="S88" s="73">
        <f>+Tableau2229[[#This Row],[MONTANT TTC]]-Tableau2229[[#This Row],[MONTANT PAYÉ (FCFA)]]</f>
        <v>164603</v>
      </c>
      <c r="T88" s="67"/>
      <c r="U88" s="67"/>
      <c r="V88" s="67"/>
      <c r="W88" s="67"/>
      <c r="X88" s="67"/>
      <c r="Y88" s="67"/>
    </row>
    <row r="89" spans="1:25" ht="13.8">
      <c r="A89" s="67" t="s">
        <v>52</v>
      </c>
      <c r="B89" s="71">
        <v>45723</v>
      </c>
      <c r="C89" s="71">
        <v>45723</v>
      </c>
      <c r="D89" s="67" t="s">
        <v>514</v>
      </c>
      <c r="E89" s="69"/>
      <c r="F89" s="4" t="s">
        <v>232</v>
      </c>
      <c r="G89" s="67"/>
      <c r="H89" s="67" t="s">
        <v>301</v>
      </c>
      <c r="I89" s="67"/>
      <c r="J89" s="67"/>
      <c r="K89" s="67" t="s">
        <v>381</v>
      </c>
      <c r="L89" s="67" t="s">
        <v>540</v>
      </c>
      <c r="M89" s="67" t="s">
        <v>541</v>
      </c>
      <c r="N89" s="70">
        <v>79790</v>
      </c>
      <c r="O89" s="62">
        <v>0</v>
      </c>
      <c r="P89" s="70">
        <f>+Tableau2229[[#This Row],[MONTANT HT]]*Tableau2229[[#This Row],[TAUX TVA]]</f>
        <v>0</v>
      </c>
      <c r="Q89" s="70">
        <f>+Tableau2229[[#This Row],[MONTANT HT]]+Tableau2229[[#This Row],[MONTANT TVA]]</f>
        <v>79790</v>
      </c>
      <c r="R89" s="70"/>
      <c r="S89" s="70">
        <f>+Tableau2229[[#This Row],[MONTANT TTC]]-Tableau2229[[#This Row],[MONTANT PAYÉ (FCFA)]]</f>
        <v>79790</v>
      </c>
      <c r="T89" s="67"/>
      <c r="U89" s="67"/>
      <c r="V89" s="67"/>
      <c r="W89" s="67"/>
      <c r="X89" s="67"/>
      <c r="Y89" s="67"/>
    </row>
    <row r="90" spans="1:25" ht="13.8">
      <c r="A90" s="67" t="s">
        <v>52</v>
      </c>
      <c r="B90" s="71">
        <v>45723</v>
      </c>
      <c r="C90" s="71">
        <v>45723</v>
      </c>
      <c r="D90" s="67" t="s">
        <v>514</v>
      </c>
      <c r="E90" s="69"/>
      <c r="F90" s="4" t="s">
        <v>232</v>
      </c>
      <c r="G90" s="67"/>
      <c r="H90" s="67" t="s">
        <v>301</v>
      </c>
      <c r="I90" s="67"/>
      <c r="J90" s="67"/>
      <c r="K90" s="67" t="s">
        <v>381</v>
      </c>
      <c r="L90" s="67" t="s">
        <v>542</v>
      </c>
      <c r="M90" s="67" t="s">
        <v>543</v>
      </c>
      <c r="N90" s="73">
        <v>10000</v>
      </c>
      <c r="O90" s="62">
        <v>0</v>
      </c>
      <c r="P90" s="73">
        <f>+Tableau2229[[#This Row],[MONTANT HT]]*Tableau2229[[#This Row],[TAUX TVA]]</f>
        <v>0</v>
      </c>
      <c r="Q90" s="73">
        <f>+Tableau2229[[#This Row],[MONTANT HT]]+Tableau2229[[#This Row],[MONTANT TVA]]</f>
        <v>10000</v>
      </c>
      <c r="R90" s="73"/>
      <c r="S90" s="73">
        <f>+Tableau2229[[#This Row],[MONTANT TTC]]-Tableau2229[[#This Row],[MONTANT PAYÉ (FCFA)]]</f>
        <v>10000</v>
      </c>
      <c r="T90" s="67"/>
      <c r="U90" s="67"/>
      <c r="V90" s="67"/>
      <c r="W90" s="67"/>
      <c r="X90" s="67"/>
      <c r="Y90" s="67"/>
    </row>
    <row r="91" spans="1:25" ht="13.8">
      <c r="A91" s="67" t="s">
        <v>52</v>
      </c>
      <c r="B91" s="71">
        <v>45723</v>
      </c>
      <c r="C91" s="71">
        <v>45723</v>
      </c>
      <c r="D91" s="67" t="s">
        <v>514</v>
      </c>
      <c r="E91" s="69"/>
      <c r="F91" s="4" t="s">
        <v>232</v>
      </c>
      <c r="G91" s="67"/>
      <c r="H91" s="67" t="s">
        <v>301</v>
      </c>
      <c r="I91" s="67"/>
      <c r="J91" s="67"/>
      <c r="K91" s="67" t="s">
        <v>381</v>
      </c>
      <c r="L91" s="67" t="s">
        <v>544</v>
      </c>
      <c r="M91" s="67" t="s">
        <v>545</v>
      </c>
      <c r="N91" s="70">
        <v>199475</v>
      </c>
      <c r="O91" s="62">
        <v>0</v>
      </c>
      <c r="P91" s="70">
        <f>+Tableau2229[[#This Row],[MONTANT HT]]*Tableau2229[[#This Row],[TAUX TVA]]</f>
        <v>0</v>
      </c>
      <c r="Q91" s="70">
        <f>+Tableau2229[[#This Row],[MONTANT HT]]+Tableau2229[[#This Row],[MONTANT TVA]]</f>
        <v>199475</v>
      </c>
      <c r="R91" s="70"/>
      <c r="S91" s="70">
        <f>+Tableau2229[[#This Row],[MONTANT TTC]]-Tableau2229[[#This Row],[MONTANT PAYÉ (FCFA)]]</f>
        <v>199475</v>
      </c>
      <c r="T91" s="67"/>
      <c r="U91" s="67"/>
      <c r="V91" s="67"/>
      <c r="W91" s="67"/>
      <c r="X91" s="67"/>
      <c r="Y91" s="67"/>
    </row>
    <row r="92" spans="1:25" ht="13.8">
      <c r="A92" s="67" t="s">
        <v>55</v>
      </c>
      <c r="B92" s="71">
        <v>45723</v>
      </c>
      <c r="C92" s="71">
        <v>45723</v>
      </c>
      <c r="D92" s="67" t="s">
        <v>514</v>
      </c>
      <c r="E92" s="69"/>
      <c r="F92" s="4" t="s">
        <v>232</v>
      </c>
      <c r="G92" s="67"/>
      <c r="H92" s="67" t="s">
        <v>376</v>
      </c>
      <c r="I92" s="67"/>
      <c r="J92" s="67"/>
      <c r="K92" s="67" t="s">
        <v>381</v>
      </c>
      <c r="L92" s="67" t="s">
        <v>546</v>
      </c>
      <c r="M92" s="67" t="s">
        <v>547</v>
      </c>
      <c r="N92" s="70">
        <v>25000</v>
      </c>
      <c r="O92" s="62">
        <v>0</v>
      </c>
      <c r="P92" s="70">
        <f>+Tableau2229[[#This Row],[MONTANT HT]]*Tableau2229[[#This Row],[TAUX TVA]]</f>
        <v>0</v>
      </c>
      <c r="Q92" s="70">
        <f>+Tableau2229[[#This Row],[MONTANT HT]]+Tableau2229[[#This Row],[MONTANT TVA]]</f>
        <v>25000</v>
      </c>
      <c r="R92" s="70"/>
      <c r="S92" s="70">
        <f>+Tableau2229[[#This Row],[MONTANT TTC]]-Tableau2229[[#This Row],[MONTANT PAYÉ (FCFA)]]</f>
        <v>25000</v>
      </c>
      <c r="T92" s="67"/>
      <c r="U92" s="67"/>
      <c r="V92" s="67"/>
      <c r="W92" s="67"/>
      <c r="X92" s="67"/>
      <c r="Y92" s="67"/>
    </row>
    <row r="93" spans="1:25" ht="13.8">
      <c r="A93" s="67" t="s">
        <v>50</v>
      </c>
      <c r="B93" s="67"/>
      <c r="C93" s="72"/>
      <c r="D93" s="67"/>
      <c r="E93" s="69"/>
      <c r="F93" s="67"/>
      <c r="G93" s="67"/>
      <c r="H93" s="67"/>
      <c r="I93" s="67"/>
      <c r="J93" s="67"/>
      <c r="K93" s="67"/>
      <c r="L93" s="67"/>
      <c r="M93" s="67"/>
      <c r="N93" s="73"/>
      <c r="O93" s="75"/>
      <c r="P93" s="73">
        <f>+Tableau2229[[#This Row],[MONTANT HT]]*Tableau2229[[#This Row],[TAUX TVA]]</f>
        <v>0</v>
      </c>
      <c r="Q93" s="73">
        <f>+Tableau2229[[#This Row],[MONTANT HT]]+Tableau2229[[#This Row],[MONTANT TVA]]</f>
        <v>0</v>
      </c>
      <c r="R93" s="73"/>
      <c r="S93" s="73">
        <f>+Tableau2229[[#This Row],[MONTANT TTC]]-Tableau2229[[#This Row],[MONTANT PAYÉ (FCFA)]]</f>
        <v>0</v>
      </c>
      <c r="T93" s="67"/>
      <c r="U93" s="67"/>
      <c r="V93" s="67"/>
      <c r="W93" s="67"/>
      <c r="X93" s="67"/>
      <c r="Y93" s="67"/>
    </row>
  </sheetData>
  <dataValidations count="3">
    <dataValidation type="list" allowBlank="1" showInputMessage="1" showErrorMessage="1" sqref="O4:O93" xr:uid="{00000000-0002-0000-0600-000000000000}">
      <formula1>TAUX_TVA</formula1>
    </dataValidation>
    <dataValidation type="list" allowBlank="1" showInputMessage="1" showErrorMessage="1" sqref="F4:F93" xr:uid="{00000000-0002-0000-0600-000001000000}">
      <formula1>TYPE_D_ENGAGEMENT</formula1>
    </dataValidation>
    <dataValidation type="list" allowBlank="1" showInputMessage="1" showErrorMessage="1" sqref="A4:A93" xr:uid="{00000000-0002-0000-0600-000002000000}">
      <formula1>ENTITÉ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AC155"/>
  <sheetViews>
    <sheetView topLeftCell="N136" zoomScale="85" zoomScaleNormal="85" workbookViewId="0">
      <selection activeCell="AA4" sqref="AA4"/>
    </sheetView>
  </sheetViews>
  <sheetFormatPr baseColWidth="10" defaultColWidth="9" defaultRowHeight="14.4" outlineLevelCol="1"/>
  <cols>
    <col min="1" max="1" width="18.88671875" style="4" customWidth="1"/>
    <col min="2" max="2" width="21.88671875" style="4" bestFit="1" customWidth="1"/>
    <col min="3" max="3" width="19.21875" style="4" bestFit="1" customWidth="1"/>
    <col min="4" max="4" width="18.77734375" style="4" customWidth="1"/>
    <col min="5" max="6" width="21.21875" style="4" bestFit="1" customWidth="1"/>
    <col min="7" max="7" width="31.77734375" style="4" customWidth="1" outlineLevel="1"/>
    <col min="8" max="8" width="33.33203125" style="4" customWidth="1" outlineLevel="1"/>
    <col min="9" max="10" width="50.21875" style="4" bestFit="1" customWidth="1"/>
    <col min="11" max="11" width="38.109375" style="4" customWidth="1" outlineLevel="1"/>
    <col min="12" max="12" width="64.21875" style="4" customWidth="1" outlineLevel="1"/>
    <col min="13" max="13" width="91.44140625" style="4" bestFit="1" customWidth="1"/>
    <col min="14" max="14" width="24.44140625" bestFit="1" customWidth="1"/>
    <col min="15" max="15" width="18.77734375" bestFit="1" customWidth="1"/>
    <col min="16" max="16" width="19" bestFit="1" customWidth="1"/>
    <col min="17" max="17" width="18.5546875" bestFit="1" customWidth="1"/>
    <col min="18" max="18" width="18.5546875" customWidth="1"/>
    <col min="19" max="19" width="15" customWidth="1" outlineLevel="1"/>
    <col min="20" max="20" width="38.109375" style="4" customWidth="1" outlineLevel="1"/>
    <col min="21" max="21" width="27.33203125" style="4" customWidth="1" outlineLevel="1"/>
    <col min="22" max="22" width="26.77734375" style="4" customWidth="1"/>
    <col min="23" max="23" width="18.88671875" style="4" customWidth="1"/>
    <col min="24" max="25" width="18.44140625" style="4" customWidth="1" outlineLevel="1"/>
    <col min="26" max="26" width="28.21875" style="4" customWidth="1" outlineLevel="1"/>
    <col min="27" max="27" width="30.6640625" style="4" customWidth="1" outlineLevel="1"/>
    <col min="28" max="28" width="19.6640625" style="4" customWidth="1" outlineLevel="1"/>
    <col min="29" max="29" width="43.77734375" style="4" bestFit="1" customWidth="1"/>
    <col min="30" max="30" width="30.6640625" style="4" bestFit="1" customWidth="1"/>
    <col min="31" max="31" width="19.6640625" style="4" bestFit="1" customWidth="1"/>
    <col min="32" max="32" width="30.6640625" style="4" bestFit="1" customWidth="1"/>
    <col min="33" max="33" width="17.109375" style="4" customWidth="1"/>
    <col min="34" max="16384" width="9" style="4"/>
  </cols>
  <sheetData>
    <row r="1" spans="1:29" s="20" customFormat="1" ht="17.399999999999999">
      <c r="A1" s="20" t="s">
        <v>234</v>
      </c>
    </row>
    <row r="2" spans="1:29" ht="13.8">
      <c r="N2" s="4"/>
      <c r="O2" s="4"/>
      <c r="P2" s="4"/>
      <c r="Q2" s="4"/>
      <c r="R2" s="4"/>
      <c r="S2" s="4"/>
    </row>
    <row r="3" spans="1:29" s="52" customFormat="1" ht="27.6">
      <c r="A3" s="49" t="s">
        <v>3</v>
      </c>
      <c r="B3" s="49" t="s">
        <v>525</v>
      </c>
      <c r="C3" s="50" t="s">
        <v>341</v>
      </c>
      <c r="D3" s="50" t="s">
        <v>4</v>
      </c>
      <c r="E3" s="50" t="s">
        <v>235</v>
      </c>
      <c r="F3" s="50" t="s">
        <v>236</v>
      </c>
      <c r="G3" s="49" t="s">
        <v>231</v>
      </c>
      <c r="H3" s="49" t="s">
        <v>237</v>
      </c>
      <c r="I3" s="49" t="s">
        <v>163</v>
      </c>
      <c r="J3" s="50" t="s">
        <v>238</v>
      </c>
      <c r="K3" s="50" t="s">
        <v>239</v>
      </c>
      <c r="L3" s="50" t="s">
        <v>240</v>
      </c>
      <c r="M3" s="50" t="s">
        <v>18</v>
      </c>
      <c r="N3" s="50" t="s">
        <v>303</v>
      </c>
      <c r="O3" s="49" t="s">
        <v>11</v>
      </c>
      <c r="P3" s="49" t="s">
        <v>241</v>
      </c>
      <c r="Q3" s="49" t="s">
        <v>296</v>
      </c>
      <c r="R3" s="49" t="s">
        <v>13</v>
      </c>
      <c r="S3" s="49" t="s">
        <v>297</v>
      </c>
      <c r="T3" s="51" t="s">
        <v>342</v>
      </c>
      <c r="U3" s="76" t="s">
        <v>242</v>
      </c>
      <c r="V3" s="49" t="s">
        <v>243</v>
      </c>
      <c r="W3" s="76" t="s">
        <v>244</v>
      </c>
      <c r="X3" s="49" t="s">
        <v>245</v>
      </c>
      <c r="Y3" s="49" t="s">
        <v>246</v>
      </c>
      <c r="Z3" s="49" t="s">
        <v>247</v>
      </c>
      <c r="AA3" s="49" t="s">
        <v>248</v>
      </c>
      <c r="AB3" s="49" t="s">
        <v>249</v>
      </c>
      <c r="AC3" s="49" t="s">
        <v>250</v>
      </c>
    </row>
    <row r="4" spans="1:29" ht="13.8">
      <c r="A4" s="4" t="s">
        <v>55</v>
      </c>
      <c r="C4" s="43">
        <v>45680</v>
      </c>
      <c r="D4" s="43"/>
      <c r="E4" s="4" t="s">
        <v>292</v>
      </c>
      <c r="F4" s="10"/>
      <c r="G4" s="4" t="s">
        <v>232</v>
      </c>
      <c r="I4" s="4" t="s">
        <v>293</v>
      </c>
      <c r="L4" s="4" t="s">
        <v>294</v>
      </c>
      <c r="M4" s="4" t="s">
        <v>295</v>
      </c>
      <c r="N4" s="4" t="s">
        <v>304</v>
      </c>
      <c r="O4" s="44">
        <v>15000</v>
      </c>
      <c r="P4" s="61">
        <v>0</v>
      </c>
      <c r="Q4" s="44">
        <f>+Tableau222[[#This Row],[MONTANT HT]]*Tableau222[[#This Row],[TAUX TVA]]</f>
        <v>0</v>
      </c>
      <c r="R4" s="44">
        <f>+Tableau222[[#This Row],[MONTANT HT]]+Tableau222[[#This Row],[MONTANT TVA]]</f>
        <v>15000</v>
      </c>
      <c r="S4" s="44"/>
      <c r="T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45680</v>
      </c>
      <c r="V4" s="44"/>
      <c r="W4" s="44">
        <f>+Tableau222[[#This Row],[MONTANT TTC]]-Tableau222[[#This Row],[MONTANT PAYÉ (FCFA)]]</f>
        <v>15000</v>
      </c>
    </row>
    <row r="5" spans="1:29" ht="13.8">
      <c r="A5" s="45" t="s">
        <v>52</v>
      </c>
      <c r="B5" s="45"/>
      <c r="C5" s="43">
        <v>45681</v>
      </c>
      <c r="D5" s="43"/>
      <c r="E5" s="4" t="s">
        <v>300</v>
      </c>
      <c r="F5" s="59"/>
      <c r="G5" s="4" t="s">
        <v>232</v>
      </c>
      <c r="H5" s="45"/>
      <c r="I5" s="45" t="s">
        <v>301</v>
      </c>
      <c r="J5" s="45"/>
      <c r="K5" s="45"/>
      <c r="L5" s="45" t="s">
        <v>302</v>
      </c>
      <c r="M5" s="45" t="s">
        <v>305</v>
      </c>
      <c r="N5" s="45" t="s">
        <v>306</v>
      </c>
      <c r="O5" s="46">
        <v>240000</v>
      </c>
      <c r="P5" s="61">
        <v>0</v>
      </c>
      <c r="Q5" s="46">
        <f>+Tableau222[[#This Row],[MONTANT HT]]*Tableau222[[#This Row],[TAUX TVA]]</f>
        <v>0</v>
      </c>
      <c r="R5" s="46">
        <f>+Tableau222[[#This Row],[MONTANT HT]]+Tableau222[[#This Row],[MONTANT TVA]]</f>
        <v>240000</v>
      </c>
      <c r="S5" s="46"/>
      <c r="T5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45681</v>
      </c>
      <c r="U5" s="45"/>
      <c r="V5" s="46"/>
      <c r="W5" s="46">
        <f>+Tableau222[[#This Row],[MONTANT TTC]]-Tableau222[[#This Row],[MONTANT PAYÉ (FCFA)]]</f>
        <v>240000</v>
      </c>
      <c r="X5" s="45"/>
      <c r="Y5" s="45"/>
      <c r="Z5" s="45" t="s">
        <v>15</v>
      </c>
      <c r="AA5" s="45"/>
      <c r="AB5" s="45"/>
      <c r="AC5" s="45"/>
    </row>
    <row r="6" spans="1:29" ht="13.8">
      <c r="A6" s="45" t="s">
        <v>55</v>
      </c>
      <c r="B6" s="45"/>
      <c r="C6" s="43">
        <v>45682</v>
      </c>
      <c r="D6" s="43"/>
      <c r="E6" s="4" t="s">
        <v>310</v>
      </c>
      <c r="F6" s="59"/>
      <c r="G6" s="4" t="s">
        <v>232</v>
      </c>
      <c r="H6" s="45"/>
      <c r="I6" s="45" t="s">
        <v>298</v>
      </c>
      <c r="J6" s="45"/>
      <c r="K6" s="45"/>
      <c r="L6" s="45" t="s">
        <v>299</v>
      </c>
      <c r="M6" s="45" t="s">
        <v>309</v>
      </c>
      <c r="N6" s="45" t="s">
        <v>308</v>
      </c>
      <c r="O6" s="46">
        <v>1300000</v>
      </c>
      <c r="P6" s="61">
        <v>0</v>
      </c>
      <c r="Q6" s="46">
        <f>+Tableau222[[#This Row],[MONTANT HT]]*Tableau222[[#This Row],[TAUX TVA]]</f>
        <v>0</v>
      </c>
      <c r="R6" s="46">
        <f>+Tableau222[[#This Row],[MONTANT HT]]+Tableau222[[#This Row],[MONTANT TVA]]</f>
        <v>1300000</v>
      </c>
      <c r="S6" s="46"/>
      <c r="T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45682</v>
      </c>
      <c r="U6" s="45"/>
      <c r="V6" s="46"/>
      <c r="W6" s="46">
        <f>+Tableau222[[#This Row],[MONTANT TTC]]-Tableau222[[#This Row],[MONTANT PAYÉ (FCFA)]]</f>
        <v>1300000</v>
      </c>
      <c r="X6" s="45"/>
      <c r="Y6" s="45"/>
      <c r="Z6" s="45"/>
      <c r="AA6" s="45"/>
      <c r="AB6" s="45"/>
      <c r="AC6" s="45"/>
    </row>
    <row r="7" spans="1:29" ht="13.8">
      <c r="A7" s="45" t="s">
        <v>55</v>
      </c>
      <c r="B7" s="45"/>
      <c r="C7" s="43">
        <v>45682</v>
      </c>
      <c r="D7" s="43"/>
      <c r="E7" s="4" t="s">
        <v>311</v>
      </c>
      <c r="F7" s="59"/>
      <c r="G7" s="4" t="s">
        <v>232</v>
      </c>
      <c r="H7" s="45"/>
      <c r="I7" s="45" t="s">
        <v>298</v>
      </c>
      <c r="J7" s="45"/>
      <c r="K7" s="45"/>
      <c r="L7" s="45" t="s">
        <v>299</v>
      </c>
      <c r="M7" s="45" t="s">
        <v>312</v>
      </c>
      <c r="N7" s="45" t="s">
        <v>304</v>
      </c>
      <c r="O7" s="46">
        <v>270000</v>
      </c>
      <c r="P7" s="61">
        <v>0</v>
      </c>
      <c r="Q7" s="46">
        <f>+Tableau222[[#This Row],[MONTANT HT]]*Tableau222[[#This Row],[TAUX TVA]]</f>
        <v>0</v>
      </c>
      <c r="R7" s="46">
        <f>+Tableau222[[#This Row],[MONTANT HT]]+Tableau222[[#This Row],[MONTANT TVA]]</f>
        <v>270000</v>
      </c>
      <c r="S7" s="46"/>
      <c r="T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45682</v>
      </c>
      <c r="U7" s="45"/>
      <c r="V7" s="46"/>
      <c r="W7" s="46">
        <f>+Tableau222[[#This Row],[MONTANT TTC]]-Tableau222[[#This Row],[MONTANT PAYÉ (FCFA)]]</f>
        <v>270000</v>
      </c>
      <c r="X7" s="45"/>
      <c r="Y7" s="45"/>
      <c r="Z7" s="45"/>
      <c r="AA7" s="45"/>
      <c r="AB7" s="45"/>
      <c r="AC7" s="45"/>
    </row>
    <row r="8" spans="1:29" ht="13.8">
      <c r="A8" s="45" t="s">
        <v>55</v>
      </c>
      <c r="B8" s="45"/>
      <c r="C8" s="43">
        <v>45682</v>
      </c>
      <c r="D8" s="43"/>
      <c r="E8" s="4" t="s">
        <v>313</v>
      </c>
      <c r="F8" s="59"/>
      <c r="G8" s="4" t="s">
        <v>232</v>
      </c>
      <c r="H8" s="45"/>
      <c r="I8" s="45" t="s">
        <v>298</v>
      </c>
      <c r="J8" s="45"/>
      <c r="K8" s="45"/>
      <c r="L8" s="45" t="s">
        <v>302</v>
      </c>
      <c r="M8" s="45" t="s">
        <v>314</v>
      </c>
      <c r="N8" s="45" t="s">
        <v>304</v>
      </c>
      <c r="O8" s="46">
        <v>170000</v>
      </c>
      <c r="P8" s="61">
        <v>0</v>
      </c>
      <c r="Q8" s="46">
        <f>+Tableau222[[#This Row],[MONTANT HT]]*Tableau222[[#This Row],[TAUX TVA]]</f>
        <v>0</v>
      </c>
      <c r="R8" s="46">
        <f>+Tableau222[[#This Row],[MONTANT HT]]+Tableau222[[#This Row],[MONTANT TVA]]</f>
        <v>170000</v>
      </c>
      <c r="S8" s="46"/>
      <c r="T8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45682</v>
      </c>
      <c r="U8" s="45"/>
      <c r="V8" s="46"/>
      <c r="W8" s="46">
        <f>+Tableau222[[#This Row],[MONTANT TTC]]-Tableau222[[#This Row],[MONTANT PAYÉ (FCFA)]]</f>
        <v>170000</v>
      </c>
      <c r="X8" s="45"/>
      <c r="Y8" s="45"/>
      <c r="Z8" s="45"/>
      <c r="AA8" s="45"/>
      <c r="AB8" s="45"/>
      <c r="AC8" s="45"/>
    </row>
    <row r="9" spans="1:29" ht="13.8">
      <c r="A9" s="45" t="s">
        <v>55</v>
      </c>
      <c r="B9" s="45"/>
      <c r="C9" s="43">
        <v>45682</v>
      </c>
      <c r="D9" s="43"/>
      <c r="E9" s="4" t="s">
        <v>315</v>
      </c>
      <c r="F9" s="59"/>
      <c r="G9" s="4" t="s">
        <v>232</v>
      </c>
      <c r="H9" s="45"/>
      <c r="I9" s="45" t="s">
        <v>298</v>
      </c>
      <c r="J9" s="45"/>
      <c r="K9" s="45"/>
      <c r="L9" s="45" t="s">
        <v>316</v>
      </c>
      <c r="M9" s="45" t="s">
        <v>317</v>
      </c>
      <c r="N9" s="45" t="s">
        <v>307</v>
      </c>
      <c r="O9" s="46">
        <v>150000</v>
      </c>
      <c r="P9" s="61">
        <v>0</v>
      </c>
      <c r="Q9" s="46">
        <f>+Tableau222[[#This Row],[MONTANT HT]]*Tableau222[[#This Row],[TAUX TVA]]</f>
        <v>0</v>
      </c>
      <c r="R9" s="46">
        <f>+Tableau222[[#This Row],[MONTANT HT]]+Tableau222[[#This Row],[MONTANT TVA]]</f>
        <v>150000</v>
      </c>
      <c r="S9" s="46"/>
      <c r="T9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45682</v>
      </c>
      <c r="U9" s="45"/>
      <c r="V9" s="46"/>
      <c r="W9" s="46">
        <f>+Tableau222[[#This Row],[MONTANT TTC]]-Tableau222[[#This Row],[MONTANT PAYÉ (FCFA)]]</f>
        <v>150000</v>
      </c>
      <c r="X9" s="45"/>
      <c r="Y9" s="45"/>
      <c r="Z9" s="45"/>
      <c r="AA9" s="45"/>
      <c r="AB9" s="45"/>
      <c r="AC9" s="45"/>
    </row>
    <row r="10" spans="1:29" ht="13.8">
      <c r="A10" s="45" t="s">
        <v>55</v>
      </c>
      <c r="B10" s="45"/>
      <c r="C10" s="47">
        <v>45684</v>
      </c>
      <c r="D10" s="47"/>
      <c r="E10" s="4" t="s">
        <v>318</v>
      </c>
      <c r="F10" s="59"/>
      <c r="G10" s="4" t="s">
        <v>232</v>
      </c>
      <c r="H10" s="45"/>
      <c r="I10" s="45" t="s">
        <v>298</v>
      </c>
      <c r="J10" s="45"/>
      <c r="K10" s="45"/>
      <c r="L10" s="45" t="s">
        <v>319</v>
      </c>
      <c r="M10" s="45" t="s">
        <v>320</v>
      </c>
      <c r="N10" s="45" t="s">
        <v>321</v>
      </c>
      <c r="O10" s="46">
        <v>8000</v>
      </c>
      <c r="P10" s="61">
        <v>0</v>
      </c>
      <c r="Q10" s="46">
        <f>+Tableau222[[#This Row],[MONTANT HT]]*Tableau222[[#This Row],[TAUX TVA]]</f>
        <v>0</v>
      </c>
      <c r="R10" s="46">
        <f>+Tableau222[[#This Row],[MONTANT HT]]+Tableau222[[#This Row],[MONTANT TVA]]</f>
        <v>8000</v>
      </c>
      <c r="S10" s="46"/>
      <c r="T10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0" s="45"/>
      <c r="V10" s="46"/>
      <c r="W10" s="46">
        <f>+Tableau222[[#This Row],[MONTANT TTC]]-Tableau222[[#This Row],[MONTANT PAYÉ (FCFA)]]</f>
        <v>8000</v>
      </c>
      <c r="X10" s="45"/>
      <c r="Y10" s="45"/>
      <c r="Z10" s="45"/>
      <c r="AA10" s="45"/>
      <c r="AB10" s="45"/>
      <c r="AC10" s="45"/>
    </row>
    <row r="11" spans="1:29" ht="13.8">
      <c r="A11" s="45" t="s">
        <v>55</v>
      </c>
      <c r="B11" s="45"/>
      <c r="C11" s="47">
        <v>45684</v>
      </c>
      <c r="D11" s="47"/>
      <c r="E11" s="4" t="s">
        <v>322</v>
      </c>
      <c r="F11" s="59"/>
      <c r="G11" s="4" t="s">
        <v>232</v>
      </c>
      <c r="H11" s="45"/>
      <c r="I11" s="45" t="s">
        <v>298</v>
      </c>
      <c r="J11" s="45"/>
      <c r="K11" s="45"/>
      <c r="L11" s="45" t="s">
        <v>302</v>
      </c>
      <c r="M11" s="45" t="s">
        <v>323</v>
      </c>
      <c r="N11" s="45" t="s">
        <v>321</v>
      </c>
      <c r="O11" s="46">
        <v>191000</v>
      </c>
      <c r="P11" s="61">
        <v>0</v>
      </c>
      <c r="Q11" s="46">
        <f>+Tableau222[[#This Row],[MONTANT HT]]*Tableau222[[#This Row],[TAUX TVA]]</f>
        <v>0</v>
      </c>
      <c r="R11" s="46">
        <f>+Tableau222[[#This Row],[MONTANT HT]]+Tableau222[[#This Row],[MONTANT TVA]]</f>
        <v>191000</v>
      </c>
      <c r="S11" s="46"/>
      <c r="T11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1" s="45"/>
      <c r="V11" s="46"/>
      <c r="W11" s="46">
        <f>+Tableau222[[#This Row],[MONTANT TTC]]-Tableau222[[#This Row],[MONTANT PAYÉ (FCFA)]]</f>
        <v>191000</v>
      </c>
      <c r="X11" s="45"/>
      <c r="Y11" s="45"/>
      <c r="Z11" s="45"/>
      <c r="AA11" s="45"/>
      <c r="AB11" s="45"/>
      <c r="AC11" s="45"/>
    </row>
    <row r="12" spans="1:29" ht="13.8">
      <c r="A12" s="45" t="s">
        <v>55</v>
      </c>
      <c r="B12" s="45"/>
      <c r="C12" s="47">
        <v>45684</v>
      </c>
      <c r="D12" s="47"/>
      <c r="E12" s="4" t="s">
        <v>324</v>
      </c>
      <c r="F12" s="59"/>
      <c r="G12" s="4" t="s">
        <v>232</v>
      </c>
      <c r="H12" s="45"/>
      <c r="I12" s="45" t="s">
        <v>325</v>
      </c>
      <c r="J12" s="45"/>
      <c r="K12" s="45"/>
      <c r="L12" s="45" t="s">
        <v>302</v>
      </c>
      <c r="M12" s="45" t="s">
        <v>327</v>
      </c>
      <c r="N12" s="45" t="s">
        <v>304</v>
      </c>
      <c r="O12" s="46">
        <v>111500</v>
      </c>
      <c r="P12" s="61">
        <v>0</v>
      </c>
      <c r="Q12" s="46">
        <f>+Tableau222[[#This Row],[MONTANT HT]]*Tableau222[[#This Row],[TAUX TVA]]</f>
        <v>0</v>
      </c>
      <c r="R12" s="46">
        <f>+Tableau222[[#This Row],[MONTANT HT]]+Tableau222[[#This Row],[MONTANT TVA]]</f>
        <v>111500</v>
      </c>
      <c r="S12" s="46"/>
      <c r="T12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2" s="45"/>
      <c r="V12" s="46"/>
      <c r="W12" s="46">
        <f>+Tableau222[[#This Row],[MONTANT TTC]]-Tableau222[[#This Row],[MONTANT PAYÉ (FCFA)]]</f>
        <v>111500</v>
      </c>
      <c r="X12" s="45"/>
      <c r="Y12" s="45"/>
      <c r="Z12" s="45"/>
      <c r="AA12" s="45"/>
      <c r="AB12" s="45"/>
      <c r="AC12" s="45"/>
    </row>
    <row r="13" spans="1:29" ht="13.8">
      <c r="A13" s="45" t="s">
        <v>55</v>
      </c>
      <c r="B13" s="45"/>
      <c r="C13" s="47">
        <v>45684</v>
      </c>
      <c r="D13" s="47"/>
      <c r="E13" s="4" t="s">
        <v>326</v>
      </c>
      <c r="F13" s="59"/>
      <c r="G13" s="4" t="s">
        <v>232</v>
      </c>
      <c r="H13" s="45"/>
      <c r="I13" s="45" t="s">
        <v>325</v>
      </c>
      <c r="J13" s="45"/>
      <c r="K13" s="45"/>
      <c r="L13" s="45" t="s">
        <v>302</v>
      </c>
      <c r="M13" s="45" t="s">
        <v>327</v>
      </c>
      <c r="N13" s="45" t="s">
        <v>307</v>
      </c>
      <c r="O13" s="46">
        <v>147250</v>
      </c>
      <c r="P13" s="61">
        <v>0</v>
      </c>
      <c r="Q13" s="46">
        <f>+Tableau222[[#This Row],[MONTANT HT]]*Tableau222[[#This Row],[TAUX TVA]]</f>
        <v>0</v>
      </c>
      <c r="R13" s="46">
        <f>+Tableau222[[#This Row],[MONTANT HT]]+Tableau222[[#This Row],[MONTANT TVA]]</f>
        <v>147250</v>
      </c>
      <c r="S13" s="46"/>
      <c r="T13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3" s="45"/>
      <c r="V13" s="46"/>
      <c r="W13" s="46">
        <f>+Tableau222[[#This Row],[MONTANT TTC]]-Tableau222[[#This Row],[MONTANT PAYÉ (FCFA)]]</f>
        <v>147250</v>
      </c>
      <c r="X13" s="45"/>
      <c r="Y13" s="45"/>
      <c r="Z13" s="45"/>
      <c r="AA13" s="45"/>
      <c r="AB13" s="45"/>
      <c r="AC13" s="45"/>
    </row>
    <row r="14" spans="1:29" ht="13.8">
      <c r="A14" s="45" t="s">
        <v>50</v>
      </c>
      <c r="B14" s="45"/>
      <c r="C14" s="47">
        <v>45684</v>
      </c>
      <c r="D14" s="47"/>
      <c r="E14" s="4" t="s">
        <v>328</v>
      </c>
      <c r="F14" s="59"/>
      <c r="G14" s="4" t="s">
        <v>232</v>
      </c>
      <c r="H14" s="45"/>
      <c r="I14" s="45" t="s">
        <v>329</v>
      </c>
      <c r="J14" s="45"/>
      <c r="K14" s="45"/>
      <c r="L14" s="45" t="s">
        <v>319</v>
      </c>
      <c r="M14" s="45" t="s">
        <v>330</v>
      </c>
      <c r="N14" s="45" t="s">
        <v>9</v>
      </c>
      <c r="O14" s="46">
        <v>67000</v>
      </c>
      <c r="P14" s="61">
        <v>0</v>
      </c>
      <c r="Q14" s="46">
        <f>+Tableau222[[#This Row],[MONTANT HT]]*Tableau222[[#This Row],[TAUX TVA]]</f>
        <v>0</v>
      </c>
      <c r="R14" s="46">
        <f>+Tableau222[[#This Row],[MONTANT HT]]+Tableau222[[#This Row],[MONTANT TVA]]</f>
        <v>67000</v>
      </c>
      <c r="S14" s="46"/>
      <c r="T14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4" s="45"/>
      <c r="V14" s="46"/>
      <c r="W14" s="46">
        <f>+Tableau222[[#This Row],[MONTANT TTC]]-Tableau222[[#This Row],[MONTANT PAYÉ (FCFA)]]</f>
        <v>67000</v>
      </c>
      <c r="X14" s="45"/>
      <c r="Y14" s="45"/>
      <c r="Z14" s="45"/>
      <c r="AA14" s="45"/>
      <c r="AB14" s="45"/>
      <c r="AC14" s="45"/>
    </row>
    <row r="15" spans="1:29" ht="13.8">
      <c r="A15" s="45" t="s">
        <v>55</v>
      </c>
      <c r="B15" s="45"/>
      <c r="C15" s="47">
        <v>45684</v>
      </c>
      <c r="D15" s="47"/>
      <c r="E15" s="4" t="s">
        <v>331</v>
      </c>
      <c r="F15" s="59"/>
      <c r="G15" s="4" t="s">
        <v>232</v>
      </c>
      <c r="H15" s="45"/>
      <c r="I15" s="45" t="s">
        <v>332</v>
      </c>
      <c r="J15" s="45"/>
      <c r="K15" s="45"/>
      <c r="L15" s="45" t="s">
        <v>333</v>
      </c>
      <c r="M15" s="45" t="s">
        <v>334</v>
      </c>
      <c r="N15" s="45" t="s">
        <v>304</v>
      </c>
      <c r="O15" s="46">
        <v>467500</v>
      </c>
      <c r="P15" s="61">
        <v>0</v>
      </c>
      <c r="Q15" s="46">
        <f>+Tableau222[[#This Row],[MONTANT HT]]*Tableau222[[#This Row],[TAUX TVA]]</f>
        <v>0</v>
      </c>
      <c r="R15" s="46">
        <f>+Tableau222[[#This Row],[MONTANT HT]]+Tableau222[[#This Row],[MONTANT TVA]]</f>
        <v>467500</v>
      </c>
      <c r="S15" s="46"/>
      <c r="T15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5" s="45"/>
      <c r="V15" s="46"/>
      <c r="W15" s="46">
        <f>+Tableau222[[#This Row],[MONTANT TTC]]-Tableau222[[#This Row],[MONTANT PAYÉ (FCFA)]]</f>
        <v>467500</v>
      </c>
      <c r="X15" s="45"/>
      <c r="Y15" s="45"/>
      <c r="Z15" s="45"/>
      <c r="AA15" s="45"/>
      <c r="AB15" s="45"/>
      <c r="AC15" s="45"/>
    </row>
    <row r="16" spans="1:29" ht="13.8">
      <c r="A16" s="45" t="s">
        <v>55</v>
      </c>
      <c r="B16" s="45"/>
      <c r="C16" s="47">
        <v>45684</v>
      </c>
      <c r="D16" s="47"/>
      <c r="E16" s="4" t="s">
        <v>335</v>
      </c>
      <c r="F16" s="59"/>
      <c r="G16" s="4" t="s">
        <v>232</v>
      </c>
      <c r="H16" s="45"/>
      <c r="I16" s="45" t="s">
        <v>336</v>
      </c>
      <c r="J16" s="45"/>
      <c r="K16" s="45"/>
      <c r="L16" s="45" t="s">
        <v>333</v>
      </c>
      <c r="M16" s="45" t="s">
        <v>337</v>
      </c>
      <c r="N16" s="45" t="s">
        <v>307</v>
      </c>
      <c r="O16" s="46">
        <v>265000</v>
      </c>
      <c r="P16" s="61">
        <v>0</v>
      </c>
      <c r="Q16" s="46">
        <f>+Tableau222[[#This Row],[MONTANT HT]]*Tableau222[[#This Row],[TAUX TVA]]</f>
        <v>0</v>
      </c>
      <c r="R16" s="46">
        <f>+Tableau222[[#This Row],[MONTANT HT]]+Tableau222[[#This Row],[MONTANT TVA]]</f>
        <v>265000</v>
      </c>
      <c r="S16" s="46"/>
      <c r="T1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6" s="45"/>
      <c r="V16" s="46"/>
      <c r="W16" s="46">
        <f>+Tableau222[[#This Row],[MONTANT TTC]]-Tableau222[[#This Row],[MONTANT PAYÉ (FCFA)]]</f>
        <v>265000</v>
      </c>
      <c r="X16" s="45"/>
      <c r="Y16" s="45"/>
      <c r="Z16" s="45"/>
      <c r="AA16" s="45"/>
      <c r="AB16" s="45"/>
      <c r="AC16" s="45"/>
    </row>
    <row r="17" spans="1:29" ht="13.8">
      <c r="A17" s="45" t="s">
        <v>55</v>
      </c>
      <c r="B17" s="45"/>
      <c r="C17" s="47">
        <v>45684</v>
      </c>
      <c r="D17" s="47"/>
      <c r="E17" s="4" t="s">
        <v>338</v>
      </c>
      <c r="F17" s="59"/>
      <c r="G17" s="4" t="s">
        <v>232</v>
      </c>
      <c r="H17" s="45"/>
      <c r="I17" s="45" t="s">
        <v>339</v>
      </c>
      <c r="J17" s="45"/>
      <c r="K17" s="45"/>
      <c r="L17" s="45" t="s">
        <v>333</v>
      </c>
      <c r="M17" s="45" t="s">
        <v>340</v>
      </c>
      <c r="N17" s="45" t="s">
        <v>321</v>
      </c>
      <c r="O17" s="46">
        <v>274000</v>
      </c>
      <c r="P17" s="61">
        <v>0</v>
      </c>
      <c r="Q17" s="46">
        <f>+Tableau222[[#This Row],[MONTANT HT]]*Tableau222[[#This Row],[TAUX TVA]]</f>
        <v>0</v>
      </c>
      <c r="R17" s="46">
        <f>+Tableau222[[#This Row],[MONTANT HT]]+Tableau222[[#This Row],[MONTANT TVA]]</f>
        <v>274000</v>
      </c>
      <c r="S17" s="46"/>
      <c r="T1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U17" s="45"/>
      <c r="V17" s="46"/>
      <c r="W17" s="46">
        <f>+Tableau222[[#This Row],[MONTANT TTC]]-Tableau222[[#This Row],[MONTANT PAYÉ (FCFA)]]</f>
        <v>274000</v>
      </c>
      <c r="X17" s="45"/>
      <c r="Y17" s="45"/>
      <c r="Z17" s="45"/>
      <c r="AA17" s="45"/>
      <c r="AB17" s="45"/>
      <c r="AC17" s="45"/>
    </row>
    <row r="18" spans="1:29" ht="13.8">
      <c r="A18" s="45" t="s">
        <v>55</v>
      </c>
      <c r="B18" s="45"/>
      <c r="C18" s="47">
        <v>45684</v>
      </c>
      <c r="E18" s="4" t="s">
        <v>343</v>
      </c>
      <c r="F18" s="10"/>
      <c r="G18" s="4" t="s">
        <v>232</v>
      </c>
      <c r="I18" s="4" t="s">
        <v>298</v>
      </c>
      <c r="L18" s="4" t="s">
        <v>302</v>
      </c>
      <c r="M18" s="4" t="s">
        <v>314</v>
      </c>
      <c r="N18" s="45" t="s">
        <v>321</v>
      </c>
      <c r="O18" s="53">
        <v>200000</v>
      </c>
      <c r="P18" s="61">
        <v>0</v>
      </c>
      <c r="Q18" s="53">
        <f>+Tableau222[[#This Row],[MONTANT HT]]*Tableau222[[#This Row],[TAUX TVA]]</f>
        <v>0</v>
      </c>
      <c r="R18" s="53">
        <f>+Tableau222[[#This Row],[MONTANT HT]]+Tableau222[[#This Row],[MONTANT TVA]]</f>
        <v>200000</v>
      </c>
      <c r="S18" s="53"/>
      <c r="T1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V18" s="53"/>
      <c r="W18" s="53">
        <f>+Tableau222[[#This Row],[MONTANT TTC]]-Tableau222[[#This Row],[MONTANT PAYÉ (FCFA)]]</f>
        <v>200000</v>
      </c>
    </row>
    <row r="19" spans="1:29" ht="13.8">
      <c r="A19" s="45" t="s">
        <v>50</v>
      </c>
      <c r="B19" s="45"/>
      <c r="C19" s="56">
        <v>45695</v>
      </c>
      <c r="D19" s="45"/>
      <c r="E19" s="45" t="s">
        <v>361</v>
      </c>
      <c r="F19" s="59"/>
      <c r="G19" s="4" t="s">
        <v>232</v>
      </c>
      <c r="H19" s="45"/>
      <c r="I19" s="4" t="s">
        <v>298</v>
      </c>
      <c r="J19" s="45"/>
      <c r="K19" s="45"/>
      <c r="L19" s="45" t="s">
        <v>362</v>
      </c>
      <c r="M19" s="45" t="s">
        <v>363</v>
      </c>
      <c r="N19" s="45" t="s">
        <v>364</v>
      </c>
      <c r="O19" s="57">
        <v>250000</v>
      </c>
      <c r="P19" s="62">
        <v>0</v>
      </c>
      <c r="Q19" s="57">
        <f>+Tableau222[[#This Row],[MONTANT HT]]*Tableau222[[#This Row],[TAUX TVA]]</f>
        <v>0</v>
      </c>
      <c r="R19" s="57">
        <f>+Tableau222[[#This Row],[MONTANT HT]]+Tableau222[[#This Row],[MONTANT TVA]]</f>
        <v>250000</v>
      </c>
      <c r="S19" s="57"/>
      <c r="T19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45695</v>
      </c>
      <c r="U19" s="45"/>
      <c r="V19" s="57"/>
      <c r="W19" s="57">
        <f>+Tableau222[[#This Row],[MONTANT TTC]]-Tableau222[[#This Row],[MONTANT PAYÉ (FCFA)]]</f>
        <v>250000</v>
      </c>
      <c r="X19" s="45"/>
      <c r="Y19" s="45"/>
      <c r="Z19" s="45"/>
      <c r="AA19" s="45"/>
      <c r="AB19" s="45"/>
      <c r="AC19" s="45"/>
    </row>
    <row r="20" spans="1:29" ht="13.8">
      <c r="A20" s="45" t="s">
        <v>50</v>
      </c>
      <c r="B20" s="45"/>
      <c r="C20" s="56">
        <v>45695</v>
      </c>
      <c r="D20" s="45"/>
      <c r="E20" s="45" t="s">
        <v>365</v>
      </c>
      <c r="F20" s="59"/>
      <c r="G20" s="4" t="s">
        <v>232</v>
      </c>
      <c r="H20" s="45"/>
      <c r="I20" s="4" t="s">
        <v>298</v>
      </c>
      <c r="J20" s="45"/>
      <c r="K20" s="45"/>
      <c r="L20" s="45" t="s">
        <v>362</v>
      </c>
      <c r="M20" s="45" t="s">
        <v>366</v>
      </c>
      <c r="N20" s="45" t="s">
        <v>364</v>
      </c>
      <c r="O20" s="57">
        <v>70000</v>
      </c>
      <c r="P20" s="62">
        <v>0</v>
      </c>
      <c r="Q20" s="57">
        <f>+Tableau222[[#This Row],[MONTANT HT]]*Tableau222[[#This Row],[TAUX TVA]]</f>
        <v>0</v>
      </c>
      <c r="R20" s="57">
        <f>+Tableau222[[#This Row],[MONTANT HT]]+Tableau222[[#This Row],[MONTANT TVA]]</f>
        <v>70000</v>
      </c>
      <c r="S20" s="57"/>
      <c r="T20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45695</v>
      </c>
      <c r="U20" s="45"/>
      <c r="V20" s="57"/>
      <c r="W20" s="57">
        <f>+Tableau222[[#This Row],[MONTANT TTC]]-Tableau222[[#This Row],[MONTANT PAYÉ (FCFA)]]</f>
        <v>70000</v>
      </c>
      <c r="X20" s="45"/>
      <c r="Y20" s="45"/>
      <c r="Z20" s="45"/>
      <c r="AA20" s="45"/>
      <c r="AB20" s="45"/>
      <c r="AC20" s="45"/>
    </row>
    <row r="21" spans="1:29" ht="13.8">
      <c r="A21" s="45" t="s">
        <v>55</v>
      </c>
      <c r="B21" s="45"/>
      <c r="C21" s="56">
        <v>45695</v>
      </c>
      <c r="D21" s="45"/>
      <c r="E21" s="45" t="s">
        <v>367</v>
      </c>
      <c r="F21" s="59"/>
      <c r="G21" s="4" t="s">
        <v>232</v>
      </c>
      <c r="H21" s="45"/>
      <c r="I21" s="4" t="s">
        <v>298</v>
      </c>
      <c r="J21" s="45"/>
      <c r="K21" s="45"/>
      <c r="L21" s="45" t="s">
        <v>299</v>
      </c>
      <c r="M21" s="45" t="s">
        <v>368</v>
      </c>
      <c r="N21" s="45" t="s">
        <v>304</v>
      </c>
      <c r="O21" s="57">
        <v>5000</v>
      </c>
      <c r="P21" s="62">
        <v>0</v>
      </c>
      <c r="Q21" s="57">
        <f>+Tableau222[[#This Row],[MONTANT HT]]*Tableau222[[#This Row],[TAUX TVA]]</f>
        <v>0</v>
      </c>
      <c r="R21" s="57">
        <f>+Tableau222[[#This Row],[MONTANT HT]]+Tableau222[[#This Row],[MONTANT TVA]]</f>
        <v>5000</v>
      </c>
      <c r="S21" s="57"/>
      <c r="T21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45695</v>
      </c>
      <c r="U21" s="45"/>
      <c r="V21" s="57"/>
      <c r="W21" s="57">
        <f>+Tableau222[[#This Row],[MONTANT TTC]]-Tableau222[[#This Row],[MONTANT PAYÉ (FCFA)]]</f>
        <v>5000</v>
      </c>
      <c r="X21" s="45"/>
      <c r="Y21" s="45"/>
      <c r="Z21" s="45"/>
      <c r="AA21" s="45"/>
      <c r="AB21" s="45"/>
      <c r="AC21" s="45"/>
    </row>
    <row r="22" spans="1:29" ht="13.8">
      <c r="A22" s="45" t="s">
        <v>55</v>
      </c>
      <c r="B22" s="45"/>
      <c r="C22" s="56">
        <v>45695</v>
      </c>
      <c r="D22" s="45"/>
      <c r="E22" s="45" t="s">
        <v>375</v>
      </c>
      <c r="F22" s="59"/>
      <c r="G22" s="4" t="s">
        <v>232</v>
      </c>
      <c r="H22" s="45"/>
      <c r="I22" s="45" t="s">
        <v>376</v>
      </c>
      <c r="J22" s="45"/>
      <c r="K22" s="45"/>
      <c r="L22" s="45" t="s">
        <v>377</v>
      </c>
      <c r="M22" s="45" t="s">
        <v>378</v>
      </c>
      <c r="N22" s="45" t="s">
        <v>55</v>
      </c>
      <c r="O22" s="57">
        <v>150000</v>
      </c>
      <c r="P22" s="62">
        <v>0</v>
      </c>
      <c r="Q22" s="57">
        <f>+Tableau222[[#This Row],[MONTANT HT]]*Tableau222[[#This Row],[TAUX TVA]]</f>
        <v>0</v>
      </c>
      <c r="R22" s="57">
        <f>+Tableau222[[#This Row],[MONTANT HT]]+Tableau222[[#This Row],[MONTANT TVA]]</f>
        <v>150000</v>
      </c>
      <c r="S22" s="57"/>
      <c r="T22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45695</v>
      </c>
      <c r="U22" s="45"/>
      <c r="V22" s="57"/>
      <c r="W22" s="57">
        <f>+Tableau222[[#This Row],[MONTANT TTC]]-Tableau222[[#This Row],[MONTANT PAYÉ (FCFA)]]</f>
        <v>150000</v>
      </c>
      <c r="X22" s="45"/>
      <c r="Y22" s="45"/>
      <c r="Z22" s="45"/>
      <c r="AA22" s="45"/>
      <c r="AB22" s="45"/>
      <c r="AC22" s="45"/>
    </row>
    <row r="23" spans="1:29" ht="13.8">
      <c r="A23" s="45" t="s">
        <v>55</v>
      </c>
      <c r="B23" s="45"/>
      <c r="C23" s="56">
        <v>45696</v>
      </c>
      <c r="D23" s="45"/>
      <c r="E23" s="45" t="s">
        <v>369</v>
      </c>
      <c r="F23" s="59"/>
      <c r="G23" s="4" t="s">
        <v>232</v>
      </c>
      <c r="H23" s="45"/>
      <c r="I23" s="4" t="s">
        <v>298</v>
      </c>
      <c r="J23" s="45"/>
      <c r="K23" s="45"/>
      <c r="L23" s="45" t="s">
        <v>302</v>
      </c>
      <c r="M23" s="45" t="s">
        <v>370</v>
      </c>
      <c r="N23" s="45" t="s">
        <v>321</v>
      </c>
      <c r="O23" s="57">
        <v>116000</v>
      </c>
      <c r="P23" s="62">
        <v>0</v>
      </c>
      <c r="Q23" s="57">
        <f>+Tableau222[[#This Row],[MONTANT HT]]*Tableau222[[#This Row],[TAUX TVA]]</f>
        <v>0</v>
      </c>
      <c r="R23" s="57">
        <f>+Tableau222[[#This Row],[MONTANT HT]]+Tableau222[[#This Row],[MONTANT TVA]]</f>
        <v>116000</v>
      </c>
      <c r="S23" s="57"/>
      <c r="T23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3" s="45"/>
      <c r="V23" s="57"/>
      <c r="W23" s="57">
        <f>+Tableau222[[#This Row],[MONTANT TTC]]-Tableau222[[#This Row],[MONTANT PAYÉ (FCFA)]]</f>
        <v>116000</v>
      </c>
      <c r="X23" s="45"/>
      <c r="Y23" s="45"/>
      <c r="Z23" s="45"/>
      <c r="AA23" s="45"/>
      <c r="AB23" s="45"/>
      <c r="AC23" s="45"/>
    </row>
    <row r="24" spans="1:29" ht="13.8">
      <c r="A24" s="45" t="s">
        <v>55</v>
      </c>
      <c r="B24" s="45"/>
      <c r="C24" s="56">
        <v>45696</v>
      </c>
      <c r="D24" s="45"/>
      <c r="E24" s="45" t="s">
        <v>371</v>
      </c>
      <c r="F24" s="59"/>
      <c r="G24" s="4" t="s">
        <v>232</v>
      </c>
      <c r="H24" s="45"/>
      <c r="I24" s="45" t="s">
        <v>372</v>
      </c>
      <c r="J24" s="45"/>
      <c r="K24" s="45"/>
      <c r="L24" s="45" t="s">
        <v>302</v>
      </c>
      <c r="M24" s="45" t="s">
        <v>373</v>
      </c>
      <c r="N24" s="45" t="s">
        <v>304</v>
      </c>
      <c r="O24" s="57">
        <v>199950</v>
      </c>
      <c r="P24" s="62">
        <v>0</v>
      </c>
      <c r="Q24" s="57">
        <f>+Tableau222[[#This Row],[MONTANT HT]]*Tableau222[[#This Row],[TAUX TVA]]</f>
        <v>0</v>
      </c>
      <c r="R24" s="57">
        <f>+Tableau222[[#This Row],[MONTANT HT]]+Tableau222[[#This Row],[MONTANT TVA]]</f>
        <v>199950</v>
      </c>
      <c r="S24" s="57"/>
      <c r="T24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4" s="45"/>
      <c r="V24" s="57"/>
      <c r="W24" s="57">
        <f>+Tableau222[[#This Row],[MONTANT TTC]]-Tableau222[[#This Row],[MONTANT PAYÉ (FCFA)]]</f>
        <v>199950</v>
      </c>
      <c r="X24" s="45"/>
      <c r="Y24" s="45"/>
      <c r="Z24" s="45"/>
      <c r="AA24" s="45"/>
      <c r="AB24" s="45"/>
      <c r="AC24" s="45"/>
    </row>
    <row r="25" spans="1:29" ht="13.8">
      <c r="A25" s="45" t="s">
        <v>55</v>
      </c>
      <c r="B25" s="45"/>
      <c r="C25" s="56">
        <v>45696</v>
      </c>
      <c r="D25" s="45"/>
      <c r="E25" s="45" t="s">
        <v>374</v>
      </c>
      <c r="F25" s="59"/>
      <c r="G25" s="4" t="s">
        <v>232</v>
      </c>
      <c r="H25" s="45"/>
      <c r="I25" s="45" t="s">
        <v>372</v>
      </c>
      <c r="J25" s="45"/>
      <c r="K25" s="45"/>
      <c r="L25" s="45" t="s">
        <v>302</v>
      </c>
      <c r="M25" s="45" t="s">
        <v>373</v>
      </c>
      <c r="N25" s="45" t="s">
        <v>321</v>
      </c>
      <c r="O25" s="57">
        <v>115875</v>
      </c>
      <c r="P25" s="62">
        <v>0</v>
      </c>
      <c r="Q25" s="57">
        <f>+Tableau222[[#This Row],[MONTANT HT]]*Tableau222[[#This Row],[TAUX TVA]]</f>
        <v>0</v>
      </c>
      <c r="R25" s="57">
        <f>+Tableau222[[#This Row],[MONTANT HT]]+Tableau222[[#This Row],[MONTANT TVA]]</f>
        <v>115875</v>
      </c>
      <c r="S25" s="57"/>
      <c r="T25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5" s="45"/>
      <c r="V25" s="57"/>
      <c r="W25" s="57">
        <f>+Tableau222[[#This Row],[MONTANT TTC]]-Tableau222[[#This Row],[MONTANT PAYÉ (FCFA)]]</f>
        <v>115875</v>
      </c>
      <c r="X25" s="45"/>
      <c r="Y25" s="45"/>
      <c r="Z25" s="45"/>
      <c r="AA25" s="45"/>
      <c r="AB25" s="45"/>
      <c r="AC25" s="45"/>
    </row>
    <row r="26" spans="1:29" ht="13.8">
      <c r="A26" s="45" t="s">
        <v>55</v>
      </c>
      <c r="B26" s="45"/>
      <c r="C26" s="56">
        <v>45696</v>
      </c>
      <c r="D26" s="45"/>
      <c r="E26" s="45" t="s">
        <v>379</v>
      </c>
      <c r="F26" s="59"/>
      <c r="G26" s="4" t="s">
        <v>232</v>
      </c>
      <c r="H26" s="45"/>
      <c r="I26" s="45" t="s">
        <v>380</v>
      </c>
      <c r="J26" s="45"/>
      <c r="K26" s="45"/>
      <c r="L26" s="45" t="s">
        <v>381</v>
      </c>
      <c r="M26" s="45" t="s">
        <v>382</v>
      </c>
      <c r="N26" s="45" t="s">
        <v>348</v>
      </c>
      <c r="O26" s="46">
        <v>45955</v>
      </c>
      <c r="P26" s="63">
        <v>0</v>
      </c>
      <c r="Q26" s="46">
        <f>+Tableau222[[#This Row],[MONTANT HT]]*Tableau222[[#This Row],[TAUX TVA]]</f>
        <v>0</v>
      </c>
      <c r="R26" s="46">
        <f>+Tableau222[[#This Row],[MONTANT HT]]+Tableau222[[#This Row],[MONTANT TVA]]</f>
        <v>45955</v>
      </c>
      <c r="S26" s="46"/>
      <c r="T2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6" s="45"/>
      <c r="V26" s="46"/>
      <c r="W26" s="46">
        <f>+Tableau222[[#This Row],[MONTANT TTC]]-Tableau222[[#This Row],[MONTANT PAYÉ (FCFA)]]</f>
        <v>45955</v>
      </c>
      <c r="X26" s="45"/>
      <c r="Y26" s="45"/>
      <c r="Z26" s="45"/>
      <c r="AA26" s="45"/>
      <c r="AB26" s="45"/>
      <c r="AC26" s="45"/>
    </row>
    <row r="27" spans="1:29" ht="13.8">
      <c r="A27" s="45" t="s">
        <v>55</v>
      </c>
      <c r="B27" s="45"/>
      <c r="C27" s="58">
        <v>45696</v>
      </c>
      <c r="D27" s="45"/>
      <c r="E27" s="45" t="s">
        <v>383</v>
      </c>
      <c r="F27" s="59"/>
      <c r="G27" s="4" t="s">
        <v>232</v>
      </c>
      <c r="H27" s="45"/>
      <c r="I27" s="45" t="s">
        <v>329</v>
      </c>
      <c r="J27" s="45"/>
      <c r="K27" s="45"/>
      <c r="L27" s="45" t="s">
        <v>394</v>
      </c>
      <c r="M27" s="45" t="s">
        <v>395</v>
      </c>
      <c r="N27" s="45" t="s">
        <v>55</v>
      </c>
      <c r="O27" s="57">
        <v>500000</v>
      </c>
      <c r="P27" s="62">
        <v>0</v>
      </c>
      <c r="Q27" s="57">
        <f>+Tableau222[[#This Row],[MONTANT HT]]*Tableau222[[#This Row],[TAUX TVA]]</f>
        <v>0</v>
      </c>
      <c r="R27" s="57">
        <f>+Tableau222[[#This Row],[MONTANT HT]]+Tableau222[[#This Row],[MONTANT TVA]]</f>
        <v>500000</v>
      </c>
      <c r="S27" s="57"/>
      <c r="T2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7" s="45"/>
      <c r="V27" s="57"/>
      <c r="W27" s="57">
        <f>+Tableau222[[#This Row],[MONTANT TTC]]-Tableau222[[#This Row],[MONTANT PAYÉ (FCFA)]]</f>
        <v>500000</v>
      </c>
      <c r="X27" s="45"/>
      <c r="Y27" s="45"/>
      <c r="Z27" s="45"/>
      <c r="AA27" s="45"/>
      <c r="AB27" s="45"/>
      <c r="AC27" s="45"/>
    </row>
    <row r="28" spans="1:29" ht="13.8">
      <c r="A28" s="45" t="s">
        <v>55</v>
      </c>
      <c r="B28" s="45"/>
      <c r="C28" s="58">
        <v>45696</v>
      </c>
      <c r="D28" s="45"/>
      <c r="E28" s="45" t="s">
        <v>384</v>
      </c>
      <c r="F28" s="59"/>
      <c r="G28" s="4" t="s">
        <v>232</v>
      </c>
      <c r="H28" s="45"/>
      <c r="I28" s="45" t="s">
        <v>389</v>
      </c>
      <c r="J28" s="45"/>
      <c r="K28" s="45"/>
      <c r="L28" s="45" t="s">
        <v>396</v>
      </c>
      <c r="M28" s="45" t="s">
        <v>397</v>
      </c>
      <c r="N28" s="45"/>
      <c r="O28" s="57">
        <v>295000</v>
      </c>
      <c r="P28" s="62">
        <v>0</v>
      </c>
      <c r="Q28" s="57">
        <f>+Tableau222[[#This Row],[MONTANT HT]]*Tableau222[[#This Row],[TAUX TVA]]</f>
        <v>0</v>
      </c>
      <c r="R28" s="57">
        <f>+Tableau222[[#This Row],[MONTANT HT]]+Tableau222[[#This Row],[MONTANT TVA]]</f>
        <v>295000</v>
      </c>
      <c r="S28" s="57"/>
      <c r="T28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45696</v>
      </c>
      <c r="U28" s="45"/>
      <c r="V28" s="57"/>
      <c r="W28" s="57">
        <f>+Tableau222[[#This Row],[MONTANT TTC]]-Tableau222[[#This Row],[MONTANT PAYÉ (FCFA)]]</f>
        <v>295000</v>
      </c>
      <c r="X28" s="45"/>
      <c r="Y28" s="45"/>
      <c r="Z28" s="45"/>
      <c r="AA28" s="45"/>
      <c r="AB28" s="45"/>
      <c r="AC28" s="45"/>
    </row>
    <row r="29" spans="1:29" ht="13.8">
      <c r="A29" s="45" t="s">
        <v>55</v>
      </c>
      <c r="B29" s="45"/>
      <c r="C29" s="58">
        <v>45698</v>
      </c>
      <c r="D29" s="45"/>
      <c r="E29" s="45" t="s">
        <v>385</v>
      </c>
      <c r="F29" s="59"/>
      <c r="G29" s="4" t="s">
        <v>232</v>
      </c>
      <c r="H29" s="45"/>
      <c r="I29" s="45" t="s">
        <v>372</v>
      </c>
      <c r="J29" s="45"/>
      <c r="K29" s="45"/>
      <c r="L29" s="45" t="s">
        <v>299</v>
      </c>
      <c r="M29" s="45" t="s">
        <v>398</v>
      </c>
      <c r="N29" s="45" t="s">
        <v>55</v>
      </c>
      <c r="O29" s="57">
        <v>180000</v>
      </c>
      <c r="P29" s="62">
        <v>0</v>
      </c>
      <c r="Q29" s="57">
        <f>+Tableau222[[#This Row],[MONTANT HT]]*Tableau222[[#This Row],[TAUX TVA]]</f>
        <v>0</v>
      </c>
      <c r="R29" s="57">
        <f>+Tableau222[[#This Row],[MONTANT HT]]+Tableau222[[#This Row],[MONTANT TVA]]</f>
        <v>180000</v>
      </c>
      <c r="S29" s="57"/>
      <c r="T29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29" s="45"/>
      <c r="V29" s="57"/>
      <c r="W29" s="57">
        <f>+Tableau222[[#This Row],[MONTANT TTC]]-Tableau222[[#This Row],[MONTANT PAYÉ (FCFA)]]</f>
        <v>180000</v>
      </c>
      <c r="X29" s="45"/>
      <c r="Y29" s="45"/>
      <c r="Z29" s="45"/>
      <c r="AA29" s="45"/>
      <c r="AB29" s="45"/>
      <c r="AC29" s="45"/>
    </row>
    <row r="30" spans="1:29" ht="13.8">
      <c r="A30" s="45" t="s">
        <v>55</v>
      </c>
      <c r="B30" s="45"/>
      <c r="C30" s="58">
        <v>45698</v>
      </c>
      <c r="D30" s="45"/>
      <c r="E30" s="45" t="s">
        <v>386</v>
      </c>
      <c r="F30" s="59"/>
      <c r="G30" s="4" t="s">
        <v>232</v>
      </c>
      <c r="H30" s="45"/>
      <c r="I30" s="45" t="s">
        <v>372</v>
      </c>
      <c r="J30" s="45"/>
      <c r="K30" s="45"/>
      <c r="L30" s="45" t="s">
        <v>302</v>
      </c>
      <c r="M30" s="45" t="s">
        <v>373</v>
      </c>
      <c r="N30" s="45" t="s">
        <v>55</v>
      </c>
      <c r="O30" s="57">
        <v>134250</v>
      </c>
      <c r="P30" s="62">
        <v>0</v>
      </c>
      <c r="Q30" s="57">
        <f>+Tableau222[[#This Row],[MONTANT HT]]*Tableau222[[#This Row],[TAUX TVA]]</f>
        <v>0</v>
      </c>
      <c r="R30" s="57">
        <f>+Tableau222[[#This Row],[MONTANT HT]]+Tableau222[[#This Row],[MONTANT TVA]]</f>
        <v>134250</v>
      </c>
      <c r="S30" s="57"/>
      <c r="T30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0" s="45"/>
      <c r="V30" s="57"/>
      <c r="W30" s="57">
        <f>+Tableau222[[#This Row],[MONTANT TTC]]-Tableau222[[#This Row],[MONTANT PAYÉ (FCFA)]]</f>
        <v>134250</v>
      </c>
      <c r="X30" s="45"/>
      <c r="Y30" s="45"/>
      <c r="Z30" s="45"/>
      <c r="AA30" s="45"/>
      <c r="AB30" s="45"/>
      <c r="AC30" s="45"/>
    </row>
    <row r="31" spans="1:29" ht="13.8">
      <c r="A31" s="45" t="s">
        <v>55</v>
      </c>
      <c r="B31" s="45"/>
      <c r="C31" s="58">
        <v>45698</v>
      </c>
      <c r="D31" s="45"/>
      <c r="E31" s="45" t="s">
        <v>387</v>
      </c>
      <c r="F31" s="59"/>
      <c r="G31" s="4" t="s">
        <v>232</v>
      </c>
      <c r="H31" s="45"/>
      <c r="I31" s="45" t="s">
        <v>372</v>
      </c>
      <c r="J31" s="45"/>
      <c r="K31" s="45"/>
      <c r="L31" s="45" t="s">
        <v>302</v>
      </c>
      <c r="M31" s="45" t="s">
        <v>399</v>
      </c>
      <c r="N31" s="45" t="s">
        <v>55</v>
      </c>
      <c r="O31" s="57">
        <v>300000</v>
      </c>
      <c r="P31" s="62">
        <v>0</v>
      </c>
      <c r="Q31" s="57">
        <f>+Tableau222[[#This Row],[MONTANT HT]]*Tableau222[[#This Row],[TAUX TVA]]</f>
        <v>0</v>
      </c>
      <c r="R31" s="57">
        <f>+Tableau222[[#This Row],[MONTANT HT]]+Tableau222[[#This Row],[MONTANT TVA]]</f>
        <v>300000</v>
      </c>
      <c r="S31" s="57"/>
      <c r="T31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1" s="45"/>
      <c r="V31" s="57"/>
      <c r="W31" s="57">
        <f>+Tableau222[[#This Row],[MONTANT TTC]]-Tableau222[[#This Row],[MONTANT PAYÉ (FCFA)]]</f>
        <v>300000</v>
      </c>
      <c r="X31" s="45"/>
      <c r="Y31" s="45"/>
      <c r="Z31" s="45"/>
      <c r="AA31" s="45"/>
      <c r="AB31" s="45"/>
      <c r="AC31" s="45"/>
    </row>
    <row r="32" spans="1:29" ht="13.8">
      <c r="A32" s="45" t="s">
        <v>55</v>
      </c>
      <c r="B32" s="45"/>
      <c r="C32" s="58">
        <v>45698</v>
      </c>
      <c r="D32" s="45"/>
      <c r="E32" s="45" t="s">
        <v>388</v>
      </c>
      <c r="F32" s="59"/>
      <c r="G32" s="4" t="s">
        <v>232</v>
      </c>
      <c r="H32" s="45"/>
      <c r="I32" s="45" t="s">
        <v>372</v>
      </c>
      <c r="J32" s="45"/>
      <c r="K32" s="45"/>
      <c r="L32" s="45" t="s">
        <v>302</v>
      </c>
      <c r="M32" s="45" t="s">
        <v>400</v>
      </c>
      <c r="N32" s="45" t="s">
        <v>55</v>
      </c>
      <c r="O32" s="57">
        <v>75000</v>
      </c>
      <c r="P32" s="62">
        <v>0</v>
      </c>
      <c r="Q32" s="57">
        <f>+Tableau222[[#This Row],[MONTANT HT]]*Tableau222[[#This Row],[TAUX TVA]]</f>
        <v>0</v>
      </c>
      <c r="R32" s="57">
        <f>+Tableau222[[#This Row],[MONTANT HT]]+Tableau222[[#This Row],[MONTANT TVA]]</f>
        <v>75000</v>
      </c>
      <c r="S32" s="57"/>
      <c r="T32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2" s="45"/>
      <c r="V32" s="57"/>
      <c r="W32" s="57">
        <f>+Tableau222[[#This Row],[MONTANT TTC]]-Tableau222[[#This Row],[MONTANT PAYÉ (FCFA)]]</f>
        <v>75000</v>
      </c>
      <c r="X32" s="45"/>
      <c r="Y32" s="45"/>
      <c r="Z32" s="45"/>
      <c r="AA32" s="45"/>
      <c r="AB32" s="45"/>
      <c r="AC32" s="45"/>
    </row>
    <row r="33" spans="1:29" ht="13.8">
      <c r="A33" s="45" t="s">
        <v>55</v>
      </c>
      <c r="B33" s="45"/>
      <c r="C33" s="58">
        <v>45698</v>
      </c>
      <c r="D33" s="45"/>
      <c r="E33" s="45" t="s">
        <v>411</v>
      </c>
      <c r="F33" s="59"/>
      <c r="G33" s="4" t="s">
        <v>232</v>
      </c>
      <c r="H33" s="45"/>
      <c r="I33" s="45" t="s">
        <v>390</v>
      </c>
      <c r="J33" s="45"/>
      <c r="K33" s="45"/>
      <c r="L33" s="45" t="s">
        <v>396</v>
      </c>
      <c r="M33" s="45" t="s">
        <v>422</v>
      </c>
      <c r="N33" s="45" t="s">
        <v>55</v>
      </c>
      <c r="O33" s="57">
        <v>250000</v>
      </c>
      <c r="P33" s="62">
        <v>0</v>
      </c>
      <c r="Q33" s="57">
        <f>+Tableau222[[#This Row],[MONTANT HT]]*Tableau222[[#This Row],[TAUX TVA]]</f>
        <v>0</v>
      </c>
      <c r="R33" s="57">
        <f>+Tableau222[[#This Row],[MONTANT HT]]+Tableau222[[#This Row],[MONTANT TVA]]</f>
        <v>250000</v>
      </c>
      <c r="S33" s="57"/>
      <c r="T33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3" s="45"/>
      <c r="V33" s="57"/>
      <c r="W33" s="57">
        <f>+Tableau222[[#This Row],[MONTANT TTC]]-Tableau222[[#This Row],[MONTANT PAYÉ (FCFA)]]</f>
        <v>250000</v>
      </c>
      <c r="X33" s="45"/>
      <c r="Y33" s="45"/>
      <c r="Z33" s="45"/>
      <c r="AA33" s="45"/>
      <c r="AB33" s="45"/>
      <c r="AC33" s="45"/>
    </row>
    <row r="34" spans="1:29" ht="13.8">
      <c r="A34" s="45" t="s">
        <v>55</v>
      </c>
      <c r="B34" s="45"/>
      <c r="C34" s="58">
        <v>45698</v>
      </c>
      <c r="D34" s="45"/>
      <c r="E34" s="45" t="s">
        <v>412</v>
      </c>
      <c r="F34" s="59"/>
      <c r="G34" s="4" t="s">
        <v>232</v>
      </c>
      <c r="H34" s="45"/>
      <c r="I34" s="45" t="s">
        <v>391</v>
      </c>
      <c r="J34" s="45"/>
      <c r="K34" s="45"/>
      <c r="L34" s="45" t="s">
        <v>302</v>
      </c>
      <c r="M34" s="45" t="s">
        <v>401</v>
      </c>
      <c r="N34" s="45" t="s">
        <v>55</v>
      </c>
      <c r="O34" s="57">
        <v>230000</v>
      </c>
      <c r="P34" s="62">
        <v>0</v>
      </c>
      <c r="Q34" s="57">
        <f>+Tableau222[[#This Row],[MONTANT HT]]*Tableau222[[#This Row],[TAUX TVA]]</f>
        <v>0</v>
      </c>
      <c r="R34" s="57">
        <f>+Tableau222[[#This Row],[MONTANT HT]]+Tableau222[[#This Row],[MONTANT TVA]]</f>
        <v>230000</v>
      </c>
      <c r="S34" s="57"/>
      <c r="T34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4" s="45"/>
      <c r="V34" s="57"/>
      <c r="W34" s="57">
        <f>+Tableau222[[#This Row],[MONTANT TTC]]-Tableau222[[#This Row],[MONTANT PAYÉ (FCFA)]]</f>
        <v>230000</v>
      </c>
      <c r="X34" s="45"/>
      <c r="Y34" s="45"/>
      <c r="Z34" s="45"/>
      <c r="AA34" s="45"/>
      <c r="AB34" s="45"/>
      <c r="AC34" s="45"/>
    </row>
    <row r="35" spans="1:29" ht="13.8">
      <c r="A35" s="45" t="s">
        <v>55</v>
      </c>
      <c r="B35" s="45"/>
      <c r="C35" s="58">
        <v>45698</v>
      </c>
      <c r="D35" s="45"/>
      <c r="E35" s="45" t="s">
        <v>413</v>
      </c>
      <c r="F35" s="59"/>
      <c r="G35" s="4" t="s">
        <v>232</v>
      </c>
      <c r="H35" s="45"/>
      <c r="I35" s="45" t="s">
        <v>405</v>
      </c>
      <c r="J35" s="45"/>
      <c r="K35" s="45"/>
      <c r="L35" s="45" t="s">
        <v>381</v>
      </c>
      <c r="M35" s="45" t="s">
        <v>402</v>
      </c>
      <c r="N35" s="45" t="s">
        <v>55</v>
      </c>
      <c r="O35" s="57">
        <v>100000</v>
      </c>
      <c r="P35" s="62">
        <v>0</v>
      </c>
      <c r="Q35" s="57">
        <f>+Tableau222[[#This Row],[MONTANT HT]]*Tableau222[[#This Row],[TAUX TVA]]</f>
        <v>0</v>
      </c>
      <c r="R35" s="57">
        <f>+Tableau222[[#This Row],[MONTANT HT]]+Tableau222[[#This Row],[MONTANT TVA]]</f>
        <v>100000</v>
      </c>
      <c r="S35" s="57"/>
      <c r="T35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5" s="45"/>
      <c r="V35" s="57"/>
      <c r="W35" s="57">
        <f>+Tableau222[[#This Row],[MONTANT TTC]]-Tableau222[[#This Row],[MONTANT PAYÉ (FCFA)]]</f>
        <v>100000</v>
      </c>
      <c r="X35" s="45"/>
      <c r="Y35" s="45"/>
      <c r="Z35" s="45"/>
      <c r="AA35" s="45"/>
      <c r="AB35" s="45"/>
      <c r="AC35" s="45"/>
    </row>
    <row r="36" spans="1:29" ht="13.8">
      <c r="A36" s="45" t="s">
        <v>50</v>
      </c>
      <c r="B36" s="45"/>
      <c r="C36" s="56">
        <v>45698</v>
      </c>
      <c r="D36" s="48">
        <v>45644</v>
      </c>
      <c r="E36" s="45" t="s">
        <v>414</v>
      </c>
      <c r="F36" s="10" t="s">
        <v>407</v>
      </c>
      <c r="G36" s="4" t="s">
        <v>233</v>
      </c>
      <c r="H36" s="4" t="s">
        <v>17</v>
      </c>
      <c r="I36" s="45" t="s">
        <v>329</v>
      </c>
      <c r="J36" s="45" t="s">
        <v>392</v>
      </c>
      <c r="K36" s="4" t="s">
        <v>408</v>
      </c>
      <c r="L36" s="4" t="s">
        <v>409</v>
      </c>
      <c r="M36" s="45" t="s">
        <v>403</v>
      </c>
      <c r="N36" s="45" t="s">
        <v>50</v>
      </c>
      <c r="O36" s="57">
        <v>322915</v>
      </c>
      <c r="P36" s="62">
        <v>0.18</v>
      </c>
      <c r="Q36" s="57">
        <f>+Tableau222[[#This Row],[MONTANT HT]]*Tableau222[[#This Row],[TAUX TVA]]</f>
        <v>58124.7</v>
      </c>
      <c r="R36" s="57">
        <f>+Tableau222[[#This Row],[MONTANT HT]]+Tableau222[[#This Row],[MONTANT TVA]]</f>
        <v>381039.7</v>
      </c>
      <c r="S36" s="57"/>
      <c r="T3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45644</v>
      </c>
      <c r="U36" s="45"/>
      <c r="V36" s="57"/>
      <c r="W36" s="57">
        <f>+Tableau222[[#This Row],[MONTANT TTC]]-Tableau222[[#This Row],[MONTANT PAYÉ (FCFA)]]</f>
        <v>381039.7</v>
      </c>
      <c r="X36" s="45"/>
      <c r="Y36" s="45"/>
      <c r="Z36" s="45"/>
      <c r="AA36" s="45"/>
      <c r="AB36" s="45"/>
      <c r="AC36" s="45"/>
    </row>
    <row r="37" spans="1:29" ht="13.8">
      <c r="A37" s="45" t="s">
        <v>50</v>
      </c>
      <c r="B37" s="45"/>
      <c r="C37" s="56">
        <v>45698</v>
      </c>
      <c r="D37" s="48">
        <v>45624</v>
      </c>
      <c r="E37" s="45" t="s">
        <v>415</v>
      </c>
      <c r="F37" s="10" t="s">
        <v>406</v>
      </c>
      <c r="G37" s="4" t="s">
        <v>233</v>
      </c>
      <c r="H37" s="4" t="s">
        <v>17</v>
      </c>
      <c r="I37" s="45" t="s">
        <v>329</v>
      </c>
      <c r="J37" s="45" t="s">
        <v>393</v>
      </c>
      <c r="K37" s="4" t="s">
        <v>408</v>
      </c>
      <c r="L37" s="4" t="s">
        <v>410</v>
      </c>
      <c r="M37" s="45" t="s">
        <v>404</v>
      </c>
      <c r="N37" s="45" t="s">
        <v>50</v>
      </c>
      <c r="O37" s="46">
        <v>17875</v>
      </c>
      <c r="P37" s="63">
        <v>0.18</v>
      </c>
      <c r="Q37" s="46">
        <f>+Tableau222[[#This Row],[MONTANT HT]]*Tableau222[[#This Row],[TAUX TVA]]</f>
        <v>3217.5</v>
      </c>
      <c r="R37" s="46">
        <f>+Tableau222[[#This Row],[MONTANT HT]]+Tableau222[[#This Row],[MONTANT TVA]]</f>
        <v>21092.5</v>
      </c>
      <c r="S37" s="46"/>
      <c r="T3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45624</v>
      </c>
      <c r="U37" s="45"/>
      <c r="V37" s="46"/>
      <c r="W37" s="46">
        <f>+Tableau222[[#This Row],[MONTANT TTC]]-Tableau222[[#This Row],[MONTANT PAYÉ (FCFA)]]</f>
        <v>21092.5</v>
      </c>
      <c r="X37" s="45"/>
      <c r="Y37" s="45"/>
      <c r="Z37" s="45"/>
      <c r="AA37" s="45"/>
      <c r="AB37" s="45"/>
      <c r="AC37" s="45"/>
    </row>
    <row r="38" spans="1:29" ht="13.8">
      <c r="A38" s="45" t="s">
        <v>55</v>
      </c>
      <c r="B38" s="45"/>
      <c r="C38" s="56">
        <v>45698</v>
      </c>
      <c r="D38" s="45"/>
      <c r="E38" s="45" t="s">
        <v>416</v>
      </c>
      <c r="F38" s="59"/>
      <c r="G38" s="45" t="s">
        <v>232</v>
      </c>
      <c r="H38" s="45" t="s">
        <v>17</v>
      </c>
      <c r="I38" s="45" t="s">
        <v>329</v>
      </c>
      <c r="J38" s="45"/>
      <c r="K38" s="45" t="s">
        <v>417</v>
      </c>
      <c r="L38" s="45" t="s">
        <v>316</v>
      </c>
      <c r="M38" s="45" t="s">
        <v>418</v>
      </c>
      <c r="N38" s="45" t="s">
        <v>50</v>
      </c>
      <c r="O38" s="57">
        <v>350000</v>
      </c>
      <c r="P38" s="62">
        <v>0</v>
      </c>
      <c r="Q38" s="57">
        <f>+Tableau222[[#This Row],[MONTANT HT]]*Tableau222[[#This Row],[TAUX TVA]]</f>
        <v>0</v>
      </c>
      <c r="R38" s="57">
        <f>+Tableau222[[#This Row],[MONTANT HT]]+Tableau222[[#This Row],[MONTANT TVA]]</f>
        <v>350000</v>
      </c>
      <c r="S38" s="57"/>
      <c r="T38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8" s="45"/>
      <c r="V38" s="57"/>
      <c r="W38" s="57">
        <f>+Tableau222[[#This Row],[MONTANT TTC]]-Tableau222[[#This Row],[MONTANT PAYÉ (FCFA)]]</f>
        <v>350000</v>
      </c>
      <c r="X38" s="45"/>
      <c r="Y38" s="45"/>
      <c r="Z38" s="45"/>
      <c r="AA38" s="45"/>
      <c r="AB38" s="45"/>
      <c r="AC38" s="45"/>
    </row>
    <row r="39" spans="1:29" ht="13.8">
      <c r="A39" s="45" t="s">
        <v>55</v>
      </c>
      <c r="B39" s="45"/>
      <c r="C39" s="56">
        <v>45698</v>
      </c>
      <c r="D39" s="45"/>
      <c r="E39" s="45" t="s">
        <v>419</v>
      </c>
      <c r="F39" s="59"/>
      <c r="G39" s="45" t="s">
        <v>232</v>
      </c>
      <c r="H39" s="45"/>
      <c r="I39" s="45" t="s">
        <v>298</v>
      </c>
      <c r="J39" s="45"/>
      <c r="K39" s="45"/>
      <c r="L39" s="45" t="s">
        <v>420</v>
      </c>
      <c r="M39" s="45" t="s">
        <v>421</v>
      </c>
      <c r="N39" s="45" t="s">
        <v>55</v>
      </c>
      <c r="O39" s="57">
        <v>82600</v>
      </c>
      <c r="P39" s="62">
        <v>0</v>
      </c>
      <c r="Q39" s="57">
        <f>+Tableau222[[#This Row],[MONTANT HT]]*Tableau222[[#This Row],[TAUX TVA]]</f>
        <v>0</v>
      </c>
      <c r="R39" s="57">
        <f>+Tableau222[[#This Row],[MONTANT HT]]+Tableau222[[#This Row],[MONTANT TVA]]</f>
        <v>82600</v>
      </c>
      <c r="S39" s="57"/>
      <c r="T39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45698</v>
      </c>
      <c r="U39" s="45"/>
      <c r="V39" s="57"/>
      <c r="W39" s="57">
        <f>+Tableau222[[#This Row],[MONTANT TTC]]-Tableau222[[#This Row],[MONTANT PAYÉ (FCFA)]]</f>
        <v>82600</v>
      </c>
      <c r="X39" s="45"/>
      <c r="Y39" s="45"/>
      <c r="Z39" s="45"/>
      <c r="AA39" s="45"/>
      <c r="AB39" s="45"/>
      <c r="AC39" s="45"/>
    </row>
    <row r="40" spans="1:29" ht="13.8">
      <c r="A40" s="45" t="s">
        <v>52</v>
      </c>
      <c r="B40" s="48">
        <v>45706</v>
      </c>
      <c r="C40" s="56">
        <v>45575</v>
      </c>
      <c r="D40" s="45"/>
      <c r="E40" s="45" t="s">
        <v>423</v>
      </c>
      <c r="F40" s="59"/>
      <c r="G40" s="45" t="s">
        <v>232</v>
      </c>
      <c r="H40" s="4" t="s">
        <v>92</v>
      </c>
      <c r="I40" s="45" t="s">
        <v>301</v>
      </c>
      <c r="J40" s="4" t="s">
        <v>576</v>
      </c>
      <c r="K40" s="45" t="s">
        <v>417</v>
      </c>
      <c r="L40" s="45" t="s">
        <v>381</v>
      </c>
      <c r="M40" s="45" t="s">
        <v>424</v>
      </c>
      <c r="N40" s="45" t="s">
        <v>425</v>
      </c>
      <c r="O40" s="57">
        <v>200000</v>
      </c>
      <c r="P40" s="62">
        <v>0</v>
      </c>
      <c r="Q40" s="57">
        <f>+Tableau222[[#This Row],[MONTANT HT]]*Tableau222[[#This Row],[TAUX TVA]]</f>
        <v>0</v>
      </c>
      <c r="R40" s="57">
        <f>+Tableau222[[#This Row],[MONTANT HT]]+Tableau222[[#This Row],[MONTANT TVA]]</f>
        <v>200000</v>
      </c>
      <c r="S40" s="57"/>
      <c r="T40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45575</v>
      </c>
      <c r="U40" s="45"/>
      <c r="V40" s="57"/>
      <c r="W40" s="57">
        <f>+Tableau222[[#This Row],[MONTANT TTC]]-Tableau222[[#This Row],[MONTANT PAYÉ (FCFA)]]</f>
        <v>200000</v>
      </c>
      <c r="X40" s="45"/>
      <c r="Y40" s="45"/>
      <c r="Z40" s="45"/>
      <c r="AA40" s="45"/>
      <c r="AB40" s="45"/>
      <c r="AC40" s="45"/>
    </row>
    <row r="41" spans="1:29" ht="13.8">
      <c r="A41" s="45" t="s">
        <v>55</v>
      </c>
      <c r="B41" s="45"/>
      <c r="C41" s="56">
        <v>45618</v>
      </c>
      <c r="D41" s="45"/>
      <c r="E41" s="45" t="s">
        <v>431</v>
      </c>
      <c r="F41" s="59"/>
      <c r="G41" s="45" t="s">
        <v>232</v>
      </c>
      <c r="H41" s="45"/>
      <c r="I41" s="45" t="s">
        <v>432</v>
      </c>
      <c r="J41" s="45"/>
      <c r="K41" s="45" t="s">
        <v>408</v>
      </c>
      <c r="L41" s="45" t="s">
        <v>381</v>
      </c>
      <c r="M41" s="45" t="s">
        <v>433</v>
      </c>
      <c r="N41" s="45" t="s">
        <v>304</v>
      </c>
      <c r="O41" s="57">
        <v>13180000</v>
      </c>
      <c r="P41" s="62">
        <v>0</v>
      </c>
      <c r="Q41" s="57">
        <f>+Tableau222[[#This Row],[MONTANT HT]]*Tableau222[[#This Row],[TAUX TVA]]</f>
        <v>0</v>
      </c>
      <c r="R41" s="57">
        <f>+Tableau222[[#This Row],[MONTANT HT]]+Tableau222[[#This Row],[MONTANT TVA]]</f>
        <v>13180000</v>
      </c>
      <c r="S41" s="57"/>
      <c r="T41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45618</v>
      </c>
      <c r="U41" s="45"/>
      <c r="V41" s="57"/>
      <c r="W41" s="57">
        <f>+Tableau222[[#This Row],[MONTANT TTC]]-Tableau222[[#This Row],[MONTANT PAYÉ (FCFA)]]</f>
        <v>13180000</v>
      </c>
      <c r="X41" s="45"/>
      <c r="Y41" s="45"/>
      <c r="Z41" s="45"/>
      <c r="AA41" s="45"/>
      <c r="AB41" s="45"/>
      <c r="AC41" s="45"/>
    </row>
    <row r="42" spans="1:29" ht="13.8">
      <c r="A42" s="45" t="s">
        <v>50</v>
      </c>
      <c r="B42" s="48">
        <v>45706</v>
      </c>
      <c r="C42" s="56"/>
      <c r="D42" s="48">
        <v>45061</v>
      </c>
      <c r="E42" s="45"/>
      <c r="F42" s="59" t="s">
        <v>434</v>
      </c>
      <c r="G42" s="45" t="s">
        <v>233</v>
      </c>
      <c r="H42" s="45" t="s">
        <v>17</v>
      </c>
      <c r="I42" s="45"/>
      <c r="J42" s="45" t="s">
        <v>436</v>
      </c>
      <c r="K42" s="45" t="s">
        <v>408</v>
      </c>
      <c r="L42" s="45" t="s">
        <v>381</v>
      </c>
      <c r="M42" s="45" t="s">
        <v>435</v>
      </c>
      <c r="N42" s="45" t="s">
        <v>50</v>
      </c>
      <c r="O42" s="57">
        <v>225000</v>
      </c>
      <c r="P42" s="62">
        <v>0</v>
      </c>
      <c r="Q42" s="57">
        <f>+Tableau222[[#This Row],[MONTANT HT]]*Tableau222[[#This Row],[TAUX TVA]]</f>
        <v>0</v>
      </c>
      <c r="R42" s="57">
        <f>+Tableau222[[#This Row],[MONTANT HT]]+Tableau222[[#This Row],[MONTANT TVA]]</f>
        <v>225000</v>
      </c>
      <c r="S42" s="57"/>
      <c r="T42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45061</v>
      </c>
      <c r="U42" s="45"/>
      <c r="V42" s="57">
        <v>225000</v>
      </c>
      <c r="W42" s="57">
        <f>+Tableau222[[#This Row],[MONTANT TTC]]-Tableau222[[#This Row],[MONTANT PAYÉ (FCFA)]]</f>
        <v>0</v>
      </c>
      <c r="X42" s="45"/>
      <c r="Y42" s="45"/>
      <c r="Z42" s="45"/>
      <c r="AA42" s="45"/>
      <c r="AB42" s="45"/>
      <c r="AC42" s="45"/>
    </row>
    <row r="43" spans="1:29" ht="13.8">
      <c r="A43" s="45" t="s">
        <v>50</v>
      </c>
      <c r="B43" s="48">
        <v>45706</v>
      </c>
      <c r="C43" s="56"/>
      <c r="D43" s="48">
        <v>45121</v>
      </c>
      <c r="E43" s="45"/>
      <c r="F43" s="59" t="s">
        <v>437</v>
      </c>
      <c r="G43" s="45" t="s">
        <v>233</v>
      </c>
      <c r="H43" s="45" t="s">
        <v>17</v>
      </c>
      <c r="I43" s="45"/>
      <c r="J43" s="45" t="s">
        <v>436</v>
      </c>
      <c r="K43" s="45" t="s">
        <v>408</v>
      </c>
      <c r="L43" s="45" t="s">
        <v>381</v>
      </c>
      <c r="M43" s="45" t="s">
        <v>435</v>
      </c>
      <c r="N43" s="45" t="s">
        <v>50</v>
      </c>
      <c r="O43" s="57">
        <v>500000</v>
      </c>
      <c r="P43" s="62">
        <v>0</v>
      </c>
      <c r="Q43" s="57">
        <f>+Tableau222[[#This Row],[MONTANT HT]]*Tableau222[[#This Row],[TAUX TVA]]</f>
        <v>0</v>
      </c>
      <c r="R43" s="57">
        <f>+Tableau222[[#This Row],[MONTANT HT]]+Tableau222[[#This Row],[MONTANT TVA]]</f>
        <v>500000</v>
      </c>
      <c r="S43" s="57"/>
      <c r="T43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45121</v>
      </c>
      <c r="U43" s="45"/>
      <c r="V43" s="57">
        <v>500000</v>
      </c>
      <c r="W43" s="57">
        <f>+Tableau222[[#This Row],[MONTANT TTC]]-Tableau222[[#This Row],[MONTANT PAYÉ (FCFA)]]</f>
        <v>0</v>
      </c>
      <c r="X43" s="45"/>
      <c r="Y43" s="45"/>
      <c r="Z43" s="45"/>
      <c r="AA43" s="45"/>
      <c r="AB43" s="45"/>
      <c r="AC43" s="45"/>
    </row>
    <row r="44" spans="1:29" ht="13.8">
      <c r="A44" s="45" t="s">
        <v>50</v>
      </c>
      <c r="B44" s="48">
        <v>45706</v>
      </c>
      <c r="C44" s="56"/>
      <c r="D44" s="48">
        <v>45121</v>
      </c>
      <c r="E44" s="45"/>
      <c r="F44" s="59" t="s">
        <v>438</v>
      </c>
      <c r="G44" s="45" t="s">
        <v>233</v>
      </c>
      <c r="H44" s="45" t="s">
        <v>17</v>
      </c>
      <c r="I44" s="45"/>
      <c r="J44" s="45" t="s">
        <v>436</v>
      </c>
      <c r="K44" s="45" t="s">
        <v>408</v>
      </c>
      <c r="L44" s="45" t="s">
        <v>381</v>
      </c>
      <c r="M44" s="45" t="s">
        <v>435</v>
      </c>
      <c r="N44" s="45" t="s">
        <v>50</v>
      </c>
      <c r="O44" s="57">
        <v>500000</v>
      </c>
      <c r="P44" s="62">
        <v>0</v>
      </c>
      <c r="Q44" s="57">
        <f>+Tableau222[[#This Row],[MONTANT HT]]*Tableau222[[#This Row],[TAUX TVA]]</f>
        <v>0</v>
      </c>
      <c r="R44" s="57">
        <f>+Tableau222[[#This Row],[MONTANT HT]]+Tableau222[[#This Row],[MONTANT TVA]]</f>
        <v>500000</v>
      </c>
      <c r="S44" s="57"/>
      <c r="T44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45121</v>
      </c>
      <c r="U44" s="45"/>
      <c r="V44" s="57">
        <v>500000</v>
      </c>
      <c r="W44" s="57">
        <f>+Tableau222[[#This Row],[MONTANT TTC]]-Tableau222[[#This Row],[MONTANT PAYÉ (FCFA)]]</f>
        <v>0</v>
      </c>
      <c r="X44" s="45"/>
      <c r="Y44" s="45"/>
      <c r="Z44" s="45"/>
      <c r="AA44" s="45"/>
      <c r="AB44" s="45"/>
      <c r="AC44" s="45"/>
    </row>
    <row r="45" spans="1:29" ht="13.8">
      <c r="A45" s="45" t="s">
        <v>50</v>
      </c>
      <c r="B45" s="48">
        <v>45706</v>
      </c>
      <c r="C45" s="56"/>
      <c r="D45" s="48">
        <v>45152</v>
      </c>
      <c r="E45" s="45"/>
      <c r="F45" s="59" t="s">
        <v>439</v>
      </c>
      <c r="G45" s="45" t="s">
        <v>233</v>
      </c>
      <c r="H45" s="45" t="s">
        <v>17</v>
      </c>
      <c r="I45" s="45"/>
      <c r="J45" s="45" t="s">
        <v>436</v>
      </c>
      <c r="K45" s="45" t="s">
        <v>408</v>
      </c>
      <c r="L45" s="45" t="s">
        <v>381</v>
      </c>
      <c r="M45" s="45" t="s">
        <v>444</v>
      </c>
      <c r="N45" s="45" t="s">
        <v>50</v>
      </c>
      <c r="O45" s="57">
        <v>600000</v>
      </c>
      <c r="P45" s="62">
        <v>0</v>
      </c>
      <c r="Q45" s="57">
        <f>+Tableau222[[#This Row],[MONTANT HT]]*Tableau222[[#This Row],[TAUX TVA]]</f>
        <v>0</v>
      </c>
      <c r="R45" s="57">
        <f>+Tableau222[[#This Row],[MONTANT HT]]+Tableau222[[#This Row],[MONTANT TVA]]</f>
        <v>600000</v>
      </c>
      <c r="S45" s="57"/>
      <c r="T45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45152</v>
      </c>
      <c r="U45" s="45"/>
      <c r="V45" s="57">
        <v>275000</v>
      </c>
      <c r="W45" s="57">
        <f>+Tableau222[[#This Row],[MONTANT TTC]]-Tableau222[[#This Row],[MONTANT PAYÉ (FCFA)]]</f>
        <v>325000</v>
      </c>
      <c r="X45" s="45"/>
      <c r="Y45" s="45"/>
      <c r="Z45" s="45"/>
      <c r="AA45" s="45"/>
      <c r="AB45" s="45"/>
      <c r="AC45" s="45"/>
    </row>
    <row r="46" spans="1:29" ht="13.8">
      <c r="A46" s="45" t="s">
        <v>50</v>
      </c>
      <c r="B46" s="48">
        <v>45706</v>
      </c>
      <c r="C46" s="56"/>
      <c r="D46" s="48">
        <v>45180</v>
      </c>
      <c r="E46" s="45"/>
      <c r="F46" s="59" t="s">
        <v>440</v>
      </c>
      <c r="G46" s="45" t="s">
        <v>233</v>
      </c>
      <c r="H46" s="45" t="s">
        <v>17</v>
      </c>
      <c r="I46" s="45"/>
      <c r="J46" s="45" t="s">
        <v>436</v>
      </c>
      <c r="K46" s="45" t="s">
        <v>408</v>
      </c>
      <c r="L46" s="45" t="s">
        <v>381</v>
      </c>
      <c r="M46" s="45" t="s">
        <v>445</v>
      </c>
      <c r="N46" s="45" t="s">
        <v>50</v>
      </c>
      <c r="O46" s="57">
        <v>500000</v>
      </c>
      <c r="P46" s="62">
        <v>0</v>
      </c>
      <c r="Q46" s="57">
        <f>+Tableau222[[#This Row],[MONTANT HT]]*Tableau222[[#This Row],[TAUX TVA]]</f>
        <v>0</v>
      </c>
      <c r="R46" s="57">
        <f>+Tableau222[[#This Row],[MONTANT HT]]+Tableau222[[#This Row],[MONTANT TVA]]</f>
        <v>500000</v>
      </c>
      <c r="S46" s="57"/>
      <c r="T4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45180</v>
      </c>
      <c r="U46" s="45"/>
      <c r="V46" s="57"/>
      <c r="W46" s="57">
        <f>+Tableau222[[#This Row],[MONTANT TTC]]-Tableau222[[#This Row],[MONTANT PAYÉ (FCFA)]]</f>
        <v>500000</v>
      </c>
      <c r="X46" s="45"/>
      <c r="Y46" s="45"/>
      <c r="Z46" s="45"/>
      <c r="AA46" s="45"/>
      <c r="AB46" s="45"/>
      <c r="AC46" s="45"/>
    </row>
    <row r="47" spans="1:29" ht="13.8">
      <c r="A47" s="45" t="s">
        <v>50</v>
      </c>
      <c r="B47" s="48">
        <v>45706</v>
      </c>
      <c r="C47" s="56"/>
      <c r="D47" s="48">
        <v>45210</v>
      </c>
      <c r="E47" s="45"/>
      <c r="F47" s="59" t="s">
        <v>441</v>
      </c>
      <c r="G47" s="45" t="s">
        <v>233</v>
      </c>
      <c r="H47" s="45" t="s">
        <v>17</v>
      </c>
      <c r="I47" s="45"/>
      <c r="J47" s="45" t="s">
        <v>436</v>
      </c>
      <c r="K47" s="45" t="s">
        <v>408</v>
      </c>
      <c r="L47" s="45" t="s">
        <v>381</v>
      </c>
      <c r="M47" s="45" t="s">
        <v>446</v>
      </c>
      <c r="N47" s="45" t="s">
        <v>50</v>
      </c>
      <c r="O47" s="57">
        <v>500000</v>
      </c>
      <c r="P47" s="62">
        <v>0</v>
      </c>
      <c r="Q47" s="57">
        <f>+Tableau222[[#This Row],[MONTANT HT]]*Tableau222[[#This Row],[TAUX TVA]]</f>
        <v>0</v>
      </c>
      <c r="R47" s="57">
        <f>+Tableau222[[#This Row],[MONTANT HT]]+Tableau222[[#This Row],[MONTANT TVA]]</f>
        <v>500000</v>
      </c>
      <c r="S47" s="57"/>
      <c r="T4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45210</v>
      </c>
      <c r="U47" s="45"/>
      <c r="V47" s="57"/>
      <c r="W47" s="57">
        <f>+Tableau222[[#This Row],[MONTANT TTC]]-Tableau222[[#This Row],[MONTANT PAYÉ (FCFA)]]</f>
        <v>500000</v>
      </c>
      <c r="X47" s="45"/>
      <c r="Y47" s="45"/>
      <c r="Z47" s="45"/>
      <c r="AA47" s="45"/>
      <c r="AB47" s="45"/>
      <c r="AC47" s="45"/>
    </row>
    <row r="48" spans="1:29" ht="13.8">
      <c r="A48" s="45" t="s">
        <v>50</v>
      </c>
      <c r="B48" s="48">
        <v>45706</v>
      </c>
      <c r="C48" s="56"/>
      <c r="D48" s="48">
        <v>45239</v>
      </c>
      <c r="E48" s="45"/>
      <c r="F48" s="59" t="s">
        <v>442</v>
      </c>
      <c r="G48" s="45" t="s">
        <v>233</v>
      </c>
      <c r="H48" s="45" t="s">
        <v>17</v>
      </c>
      <c r="I48" s="45"/>
      <c r="J48" s="45" t="s">
        <v>436</v>
      </c>
      <c r="K48" s="45" t="s">
        <v>408</v>
      </c>
      <c r="L48" s="45" t="s">
        <v>381</v>
      </c>
      <c r="M48" s="45" t="s">
        <v>447</v>
      </c>
      <c r="N48" s="45" t="s">
        <v>50</v>
      </c>
      <c r="O48" s="57">
        <v>500000</v>
      </c>
      <c r="P48" s="62">
        <v>0</v>
      </c>
      <c r="Q48" s="57">
        <f>+Tableau222[[#This Row],[MONTANT HT]]*Tableau222[[#This Row],[TAUX TVA]]</f>
        <v>0</v>
      </c>
      <c r="R48" s="57">
        <f>+Tableau222[[#This Row],[MONTANT HT]]+Tableau222[[#This Row],[MONTANT TVA]]</f>
        <v>500000</v>
      </c>
      <c r="S48" s="57"/>
      <c r="T48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45239</v>
      </c>
      <c r="U48" s="45"/>
      <c r="V48" s="57"/>
      <c r="W48" s="57">
        <f>+Tableau222[[#This Row],[MONTANT TTC]]-Tableau222[[#This Row],[MONTANT PAYÉ (FCFA)]]</f>
        <v>500000</v>
      </c>
      <c r="X48" s="45"/>
      <c r="Y48" s="45"/>
      <c r="Z48" s="45"/>
      <c r="AA48" s="45"/>
      <c r="AB48" s="45"/>
      <c r="AC48" s="45"/>
    </row>
    <row r="49" spans="1:29" ht="13.8">
      <c r="A49" s="45" t="s">
        <v>50</v>
      </c>
      <c r="B49" s="48">
        <v>45706</v>
      </c>
      <c r="C49" s="56"/>
      <c r="D49" s="48">
        <v>45239</v>
      </c>
      <c r="E49" s="45"/>
      <c r="F49" s="59" t="s">
        <v>443</v>
      </c>
      <c r="G49" s="45" t="s">
        <v>233</v>
      </c>
      <c r="H49" s="45" t="s">
        <v>17</v>
      </c>
      <c r="I49" s="45"/>
      <c r="J49" s="45" t="s">
        <v>436</v>
      </c>
      <c r="K49" s="45" t="s">
        <v>408</v>
      </c>
      <c r="L49" s="45" t="s">
        <v>381</v>
      </c>
      <c r="M49" s="45" t="s">
        <v>448</v>
      </c>
      <c r="N49" s="45" t="s">
        <v>50</v>
      </c>
      <c r="O49" s="57">
        <v>500000</v>
      </c>
      <c r="P49" s="62">
        <v>0</v>
      </c>
      <c r="Q49" s="57">
        <f>+Tableau222[[#This Row],[MONTANT HT]]*Tableau222[[#This Row],[TAUX TVA]]</f>
        <v>0</v>
      </c>
      <c r="R49" s="57">
        <f>+Tableau222[[#This Row],[MONTANT HT]]+Tableau222[[#This Row],[MONTANT TVA]]</f>
        <v>500000</v>
      </c>
      <c r="S49" s="57"/>
      <c r="T49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45239</v>
      </c>
      <c r="U49" s="45"/>
      <c r="V49" s="57"/>
      <c r="W49" s="57">
        <f>+Tableau222[[#This Row],[MONTANT TTC]]-Tableau222[[#This Row],[MONTANT PAYÉ (FCFA)]]</f>
        <v>500000</v>
      </c>
      <c r="X49" s="45"/>
      <c r="Y49" s="45"/>
      <c r="Z49" s="45"/>
      <c r="AA49" s="45"/>
      <c r="AB49" s="45"/>
      <c r="AC49" s="45"/>
    </row>
    <row r="50" spans="1:29" ht="13.8">
      <c r="A50" s="45" t="s">
        <v>50</v>
      </c>
      <c r="B50" s="48">
        <v>45706</v>
      </c>
      <c r="C50" s="56"/>
      <c r="D50" s="48">
        <v>45299</v>
      </c>
      <c r="E50" s="45"/>
      <c r="F50" s="59" t="s">
        <v>449</v>
      </c>
      <c r="G50" s="45" t="s">
        <v>233</v>
      </c>
      <c r="H50" s="45" t="s">
        <v>17</v>
      </c>
      <c r="I50" s="45"/>
      <c r="J50" s="45" t="s">
        <v>436</v>
      </c>
      <c r="K50" s="45" t="s">
        <v>408</v>
      </c>
      <c r="L50" s="45" t="s">
        <v>381</v>
      </c>
      <c r="M50" s="45" t="s">
        <v>450</v>
      </c>
      <c r="N50" s="45" t="s">
        <v>50</v>
      </c>
      <c r="O50" s="57">
        <v>500000</v>
      </c>
      <c r="P50" s="62">
        <v>0</v>
      </c>
      <c r="Q50" s="57">
        <f>+Tableau222[[#This Row],[MONTANT HT]]*Tableau222[[#This Row],[TAUX TVA]]</f>
        <v>0</v>
      </c>
      <c r="R50" s="57">
        <f>+Tableau222[[#This Row],[MONTANT HT]]+Tableau222[[#This Row],[MONTANT TVA]]</f>
        <v>500000</v>
      </c>
      <c r="S50" s="57"/>
      <c r="T50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45299</v>
      </c>
      <c r="U50" s="45"/>
      <c r="V50" s="57"/>
      <c r="W50" s="57">
        <f>+Tableau222[[#This Row],[MONTANT TTC]]-Tableau222[[#This Row],[MONTANT PAYÉ (FCFA)]]</f>
        <v>500000</v>
      </c>
      <c r="X50" s="45"/>
      <c r="Y50" s="45"/>
      <c r="Z50" s="45"/>
      <c r="AA50" s="45"/>
      <c r="AB50" s="45"/>
      <c r="AC50" s="45"/>
    </row>
    <row r="51" spans="1:29" ht="13.8">
      <c r="A51" s="45" t="s">
        <v>50</v>
      </c>
      <c r="B51" s="48">
        <v>45706</v>
      </c>
      <c r="C51" s="56"/>
      <c r="D51" s="48">
        <v>45319</v>
      </c>
      <c r="E51" s="45"/>
      <c r="F51" s="59" t="s">
        <v>451</v>
      </c>
      <c r="G51" s="45" t="s">
        <v>233</v>
      </c>
      <c r="H51" s="45" t="s">
        <v>17</v>
      </c>
      <c r="I51" s="45"/>
      <c r="J51" s="45" t="s">
        <v>436</v>
      </c>
      <c r="K51" s="45" t="s">
        <v>408</v>
      </c>
      <c r="L51" s="45" t="s">
        <v>381</v>
      </c>
      <c r="M51" s="45" t="s">
        <v>452</v>
      </c>
      <c r="N51" s="45" t="s">
        <v>50</v>
      </c>
      <c r="O51" s="57">
        <v>100000</v>
      </c>
      <c r="P51" s="62">
        <v>0</v>
      </c>
      <c r="Q51" s="57">
        <f>+Tableau222[[#This Row],[MONTANT HT]]*Tableau222[[#This Row],[TAUX TVA]]</f>
        <v>0</v>
      </c>
      <c r="R51" s="57">
        <f>+Tableau222[[#This Row],[MONTANT HT]]+Tableau222[[#This Row],[MONTANT TVA]]</f>
        <v>100000</v>
      </c>
      <c r="S51" s="57"/>
      <c r="T51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45319</v>
      </c>
      <c r="U51" s="45"/>
      <c r="V51" s="57">
        <v>100000</v>
      </c>
      <c r="W51" s="57">
        <f>+Tableau222[[#This Row],[MONTANT TTC]]-Tableau222[[#This Row],[MONTANT PAYÉ (FCFA)]]</f>
        <v>0</v>
      </c>
      <c r="X51" s="45"/>
      <c r="Y51" s="45"/>
      <c r="Z51" s="45"/>
      <c r="AA51" s="45"/>
      <c r="AB51" s="45"/>
      <c r="AC51" s="45"/>
    </row>
    <row r="52" spans="1:29" ht="13.8">
      <c r="A52" s="67" t="s">
        <v>52</v>
      </c>
      <c r="B52" s="71">
        <v>45706</v>
      </c>
      <c r="C52" s="72">
        <v>45568</v>
      </c>
      <c r="D52" s="67"/>
      <c r="E52" s="67" t="s">
        <v>580</v>
      </c>
      <c r="F52" s="69"/>
      <c r="G52" s="67" t="s">
        <v>233</v>
      </c>
      <c r="H52" s="67" t="s">
        <v>92</v>
      </c>
      <c r="I52" s="67" t="s">
        <v>56</v>
      </c>
      <c r="J52" s="67" t="s">
        <v>581</v>
      </c>
      <c r="K52" s="67"/>
      <c r="L52" s="67" t="s">
        <v>302</v>
      </c>
      <c r="M52" s="67" t="s">
        <v>582</v>
      </c>
      <c r="N52" s="67" t="s">
        <v>348</v>
      </c>
      <c r="O52" s="73">
        <v>15150</v>
      </c>
      <c r="P52" s="75">
        <v>0</v>
      </c>
      <c r="Q52" s="73">
        <f>+Tableau222[[#This Row],[MONTANT HT]]*Tableau222[[#This Row],[TAUX TVA]]</f>
        <v>0</v>
      </c>
      <c r="R52" s="73">
        <f>+Tableau222[[#This Row],[MONTANT HT]]+Tableau222[[#This Row],[MONTANT TVA]]</f>
        <v>15150</v>
      </c>
      <c r="S52" s="73"/>
      <c r="T52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45568</v>
      </c>
      <c r="U52" s="67"/>
      <c r="V52" s="73"/>
      <c r="W52" s="73">
        <f>+Tableau222[[#This Row],[MONTANT TTC]]-Tableau222[[#This Row],[MONTANT PAYÉ (FCFA)]]</f>
        <v>15150</v>
      </c>
      <c r="X52" s="67"/>
      <c r="Y52" s="67"/>
      <c r="Z52" s="67"/>
      <c r="AA52" s="67"/>
      <c r="AB52" s="67"/>
      <c r="AC52" s="67"/>
    </row>
    <row r="53" spans="1:29" ht="13.8">
      <c r="A53" s="67" t="s">
        <v>52</v>
      </c>
      <c r="B53" s="71">
        <v>45706</v>
      </c>
      <c r="C53" s="72">
        <v>45569</v>
      </c>
      <c r="D53" s="67"/>
      <c r="E53" s="67"/>
      <c r="F53" s="69"/>
      <c r="G53" s="67" t="s">
        <v>233</v>
      </c>
      <c r="H53" s="67" t="s">
        <v>585</v>
      </c>
      <c r="I53" s="67" t="s">
        <v>56</v>
      </c>
      <c r="J53" s="67" t="s">
        <v>586</v>
      </c>
      <c r="K53" s="67" t="s">
        <v>417</v>
      </c>
      <c r="L53" s="67" t="s">
        <v>302</v>
      </c>
      <c r="M53" s="67" t="s">
        <v>587</v>
      </c>
      <c r="N53" s="67" t="s">
        <v>588</v>
      </c>
      <c r="O53" s="73">
        <v>18000</v>
      </c>
      <c r="P53" s="75">
        <v>0</v>
      </c>
      <c r="Q53" s="73">
        <f>+Tableau222[[#This Row],[MONTANT HT]]*Tableau222[[#This Row],[TAUX TVA]]</f>
        <v>0</v>
      </c>
      <c r="R53" s="73">
        <f>+Tableau222[[#This Row],[MONTANT HT]]+Tableau222[[#This Row],[MONTANT TVA]]</f>
        <v>18000</v>
      </c>
      <c r="S53" s="73"/>
      <c r="T53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45569</v>
      </c>
      <c r="U53" s="67"/>
      <c r="V53" s="73"/>
      <c r="W53" s="73">
        <f>+Tableau222[[#This Row],[MONTANT TTC]]-Tableau222[[#This Row],[MONTANT PAYÉ (FCFA)]]</f>
        <v>18000</v>
      </c>
      <c r="X53" s="67"/>
      <c r="Y53" s="67"/>
      <c r="Z53" s="67"/>
      <c r="AA53" s="67"/>
      <c r="AB53" s="67"/>
      <c r="AC53" s="67"/>
    </row>
    <row r="54" spans="1:29" ht="13.8">
      <c r="A54" s="67" t="s">
        <v>52</v>
      </c>
      <c r="B54" s="71">
        <v>45706</v>
      </c>
      <c r="C54" s="72">
        <v>45624</v>
      </c>
      <c r="D54" s="67"/>
      <c r="E54" s="67"/>
      <c r="F54" s="69"/>
      <c r="G54" s="67" t="s">
        <v>233</v>
      </c>
      <c r="H54" s="67" t="s">
        <v>17</v>
      </c>
      <c r="I54" s="67" t="s">
        <v>380</v>
      </c>
      <c r="J54" s="67"/>
      <c r="K54" s="67"/>
      <c r="L54" s="67" t="s">
        <v>381</v>
      </c>
      <c r="M54" s="67" t="s">
        <v>589</v>
      </c>
      <c r="N54" s="67" t="s">
        <v>460</v>
      </c>
      <c r="O54" s="73">
        <v>117665</v>
      </c>
      <c r="P54" s="75">
        <v>0</v>
      </c>
      <c r="Q54" s="73">
        <f>+Tableau222[[#This Row],[MONTANT HT]]*Tableau222[[#This Row],[TAUX TVA]]</f>
        <v>0</v>
      </c>
      <c r="R54" s="73">
        <f>+Tableau222[[#This Row],[MONTANT HT]]+Tableau222[[#This Row],[MONTANT TVA]]</f>
        <v>117665</v>
      </c>
      <c r="S54" s="73"/>
      <c r="T54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45624</v>
      </c>
      <c r="U54" s="67"/>
      <c r="V54" s="73">
        <f>36360+20000</f>
        <v>56360</v>
      </c>
      <c r="W54" s="73">
        <f>+Tableau222[[#This Row],[MONTANT TTC]]-Tableau222[[#This Row],[MONTANT PAYÉ (FCFA)]]</f>
        <v>61305</v>
      </c>
      <c r="X54" s="67"/>
      <c r="Y54" s="67"/>
      <c r="Z54" s="67"/>
      <c r="AA54" s="67"/>
      <c r="AB54" s="67"/>
      <c r="AC54" s="67"/>
    </row>
    <row r="55" spans="1:29" ht="13.8">
      <c r="A55" s="67" t="s">
        <v>52</v>
      </c>
      <c r="B55" s="71">
        <v>45706</v>
      </c>
      <c r="C55" s="68">
        <v>45573</v>
      </c>
      <c r="D55" s="67"/>
      <c r="E55" s="67"/>
      <c r="F55" s="69"/>
      <c r="G55" s="67" t="s">
        <v>233</v>
      </c>
      <c r="H55" s="67" t="s">
        <v>585</v>
      </c>
      <c r="I55" s="67" t="s">
        <v>56</v>
      </c>
      <c r="J55" s="67" t="s">
        <v>586</v>
      </c>
      <c r="K55" s="67" t="s">
        <v>417</v>
      </c>
      <c r="L55" s="67" t="s">
        <v>302</v>
      </c>
      <c r="M55" s="67" t="s">
        <v>590</v>
      </c>
      <c r="N55" s="67" t="s">
        <v>588</v>
      </c>
      <c r="O55" s="70">
        <v>15000</v>
      </c>
      <c r="P55" s="75">
        <v>0</v>
      </c>
      <c r="Q55" s="70">
        <f>+Tableau222[[#This Row],[MONTANT HT]]*Tableau222[[#This Row],[TAUX TVA]]</f>
        <v>0</v>
      </c>
      <c r="R55" s="70">
        <f>+Tableau222[[#This Row],[MONTANT HT]]+Tableau222[[#This Row],[MONTANT TVA]]</f>
        <v>15000</v>
      </c>
      <c r="S55" s="70"/>
      <c r="T55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45573</v>
      </c>
      <c r="U55" s="67"/>
      <c r="V55" s="70"/>
      <c r="W55" s="70">
        <f>+Tableau222[[#This Row],[MONTANT TTC]]-Tableau222[[#This Row],[MONTANT PAYÉ (FCFA)]]</f>
        <v>15000</v>
      </c>
      <c r="X55" s="67"/>
      <c r="Y55" s="67"/>
      <c r="Z55" s="67"/>
      <c r="AA55" s="67"/>
      <c r="AB55" s="67"/>
      <c r="AC55" s="67"/>
    </row>
    <row r="56" spans="1:29" ht="13.8">
      <c r="A56" s="45" t="s">
        <v>52</v>
      </c>
      <c r="B56" s="48">
        <v>45706</v>
      </c>
      <c r="C56" s="56">
        <v>45575</v>
      </c>
      <c r="D56" s="45"/>
      <c r="E56" s="4" t="s">
        <v>453</v>
      </c>
      <c r="F56" s="59"/>
      <c r="G56" s="4" t="s">
        <v>232</v>
      </c>
      <c r="H56" s="4" t="s">
        <v>92</v>
      </c>
      <c r="I56" s="4" t="s">
        <v>56</v>
      </c>
      <c r="J56" s="45"/>
      <c r="L56" s="45" t="s">
        <v>381</v>
      </c>
      <c r="M56" s="4" t="s">
        <v>454</v>
      </c>
      <c r="N56" s="4" t="s">
        <v>455</v>
      </c>
      <c r="O56" s="57">
        <v>22500</v>
      </c>
      <c r="P56" s="62">
        <v>0</v>
      </c>
      <c r="Q56" s="57">
        <f>+Tableau222[[#This Row],[MONTANT HT]]*Tableau222[[#This Row],[TAUX TVA]]</f>
        <v>0</v>
      </c>
      <c r="R56" s="57">
        <f>+Tableau222[[#This Row],[MONTANT HT]]+Tableau222[[#This Row],[MONTANT TVA]]</f>
        <v>22500</v>
      </c>
      <c r="S56" s="57"/>
      <c r="T56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45575</v>
      </c>
      <c r="U56" s="45"/>
      <c r="V56" s="57"/>
      <c r="W56" s="57">
        <f>+Tableau222[[#This Row],[MONTANT TTC]]-Tableau222[[#This Row],[MONTANT PAYÉ (FCFA)]]</f>
        <v>22500</v>
      </c>
      <c r="X56" s="45"/>
      <c r="Y56" s="45"/>
      <c r="Z56" s="45"/>
      <c r="AA56" s="45"/>
      <c r="AB56" s="45"/>
      <c r="AC56" s="45"/>
    </row>
    <row r="57" spans="1:29" ht="13.8">
      <c r="A57" s="45" t="s">
        <v>52</v>
      </c>
      <c r="B57" s="48">
        <v>45706</v>
      </c>
      <c r="C57" s="56">
        <v>45586</v>
      </c>
      <c r="D57" s="45"/>
      <c r="E57" s="4" t="s">
        <v>457</v>
      </c>
      <c r="F57" s="59"/>
      <c r="G57" s="4" t="s">
        <v>232</v>
      </c>
      <c r="H57" s="4" t="s">
        <v>92</v>
      </c>
      <c r="I57" s="4" t="s">
        <v>56</v>
      </c>
      <c r="J57" s="4" t="s">
        <v>575</v>
      </c>
      <c r="L57" s="45" t="s">
        <v>381</v>
      </c>
      <c r="M57" s="4" t="s">
        <v>456</v>
      </c>
      <c r="N57" s="4" t="s">
        <v>455</v>
      </c>
      <c r="O57" s="57">
        <v>15000</v>
      </c>
      <c r="P57" s="62">
        <v>0</v>
      </c>
      <c r="Q57" s="57">
        <f>+Tableau222[[#This Row],[MONTANT HT]]*Tableau222[[#This Row],[TAUX TVA]]</f>
        <v>0</v>
      </c>
      <c r="R57" s="57">
        <f>+Tableau222[[#This Row],[MONTANT HT]]+Tableau222[[#This Row],[MONTANT TVA]]</f>
        <v>15000</v>
      </c>
      <c r="S57" s="57"/>
      <c r="T57" s="4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45586</v>
      </c>
      <c r="U57" s="45"/>
      <c r="V57" s="65">
        <v>7000</v>
      </c>
      <c r="W57" s="57">
        <f>+Tableau222[[#This Row],[MONTANT TTC]]-Tableau222[[#This Row],[MONTANT PAYÉ (FCFA)]]</f>
        <v>8000</v>
      </c>
      <c r="X57" s="45"/>
      <c r="Y57" s="45"/>
      <c r="Z57" s="45"/>
      <c r="AA57" s="45"/>
      <c r="AB57" s="45"/>
      <c r="AC57" s="45"/>
    </row>
    <row r="58" spans="1:29" ht="13.8">
      <c r="A58" s="45" t="s">
        <v>52</v>
      </c>
      <c r="B58" s="45"/>
      <c r="C58" s="56">
        <v>45586</v>
      </c>
      <c r="E58" s="4" t="s">
        <v>458</v>
      </c>
      <c r="F58" s="10"/>
      <c r="G58" s="4" t="s">
        <v>232</v>
      </c>
      <c r="I58" s="4" t="s">
        <v>427</v>
      </c>
      <c r="L58" s="45" t="s">
        <v>381</v>
      </c>
      <c r="M58" s="4" t="s">
        <v>459</v>
      </c>
      <c r="N58" s="4" t="s">
        <v>460</v>
      </c>
      <c r="O58" s="53">
        <v>128000</v>
      </c>
      <c r="P58" s="62">
        <v>0</v>
      </c>
      <c r="Q58" s="53">
        <f>+Tableau222[[#This Row],[MONTANT HT]]*Tableau222[[#This Row],[TAUX TVA]]</f>
        <v>0</v>
      </c>
      <c r="R58" s="53">
        <f>+Tableau222[[#This Row],[MONTANT HT]]+Tableau222[[#This Row],[MONTANT TVA]]</f>
        <v>128000</v>
      </c>
      <c r="S58" s="53"/>
      <c r="T5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45586</v>
      </c>
      <c r="V58" s="53"/>
      <c r="W58" s="53">
        <f>+Tableau222[[#This Row],[MONTANT TTC]]-Tableau222[[#This Row],[MONTANT PAYÉ (FCFA)]]</f>
        <v>128000</v>
      </c>
    </row>
    <row r="59" spans="1:29" ht="13.8">
      <c r="A59" s="45" t="s">
        <v>52</v>
      </c>
      <c r="B59" s="45"/>
      <c r="C59" s="64">
        <v>45596</v>
      </c>
      <c r="E59" s="4" t="s">
        <v>461</v>
      </c>
      <c r="F59" s="10"/>
      <c r="G59" s="4" t="s">
        <v>232</v>
      </c>
      <c r="I59" s="4" t="s">
        <v>380</v>
      </c>
      <c r="L59" s="45" t="s">
        <v>381</v>
      </c>
      <c r="M59" s="4" t="s">
        <v>462</v>
      </c>
      <c r="N59" s="4" t="s">
        <v>460</v>
      </c>
      <c r="O59" s="53">
        <v>115000</v>
      </c>
      <c r="P59" s="62">
        <v>0</v>
      </c>
      <c r="Q59" s="53">
        <f>+Tableau222[[#This Row],[MONTANT HT]]*Tableau222[[#This Row],[TAUX TVA]]</f>
        <v>0</v>
      </c>
      <c r="R59" s="53">
        <f>+Tableau222[[#This Row],[MONTANT HT]]+Tableau222[[#This Row],[MONTANT TVA]]</f>
        <v>115000</v>
      </c>
      <c r="S59" s="53"/>
      <c r="T59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45596</v>
      </c>
      <c r="V59" s="53"/>
      <c r="W59" s="53">
        <f>+Tableau222[[#This Row],[MONTANT TTC]]-Tableau222[[#This Row],[MONTANT PAYÉ (FCFA)]]</f>
        <v>115000</v>
      </c>
    </row>
    <row r="60" spans="1:29" ht="13.8">
      <c r="A60" s="45" t="s">
        <v>52</v>
      </c>
      <c r="B60" s="45"/>
      <c r="C60" s="64">
        <v>45617</v>
      </c>
      <c r="E60" s="4" t="s">
        <v>463</v>
      </c>
      <c r="F60" s="10"/>
      <c r="G60" s="4" t="s">
        <v>232</v>
      </c>
      <c r="I60" s="4" t="s">
        <v>380</v>
      </c>
      <c r="L60" s="45" t="s">
        <v>381</v>
      </c>
      <c r="M60" s="4" t="s">
        <v>464</v>
      </c>
      <c r="N60" s="4" t="s">
        <v>460</v>
      </c>
      <c r="O60" s="53">
        <v>36000</v>
      </c>
      <c r="P60" s="62">
        <v>0</v>
      </c>
      <c r="Q60" s="53">
        <f>+Tableau222[[#This Row],[MONTANT HT]]*Tableau222[[#This Row],[TAUX TVA]]</f>
        <v>0</v>
      </c>
      <c r="R60" s="53">
        <f>+Tableau222[[#This Row],[MONTANT HT]]+Tableau222[[#This Row],[MONTANT TVA]]</f>
        <v>36000</v>
      </c>
      <c r="S60" s="53"/>
      <c r="T6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45617</v>
      </c>
      <c r="V60" s="53"/>
      <c r="W60" s="53">
        <f>+Tableau222[[#This Row],[MONTANT TTC]]-Tableau222[[#This Row],[MONTANT PAYÉ (FCFA)]]</f>
        <v>36000</v>
      </c>
    </row>
    <row r="61" spans="1:29" ht="13.8">
      <c r="A61" s="4" t="s">
        <v>54</v>
      </c>
      <c r="C61" s="64">
        <v>45609</v>
      </c>
      <c r="E61" s="4" t="s">
        <v>465</v>
      </c>
      <c r="F61" s="10"/>
      <c r="G61" s="4" t="s">
        <v>232</v>
      </c>
      <c r="I61" s="4" t="s">
        <v>329</v>
      </c>
      <c r="L61" s="4" t="s">
        <v>420</v>
      </c>
      <c r="M61" s="4" t="s">
        <v>466</v>
      </c>
      <c r="N61" s="4" t="s">
        <v>54</v>
      </c>
      <c r="O61" s="53">
        <v>218300</v>
      </c>
      <c r="P61" s="62">
        <v>0</v>
      </c>
      <c r="Q61" s="53">
        <f>+Tableau222[[#This Row],[MONTANT HT]]*Tableau222[[#This Row],[TAUX TVA]]</f>
        <v>0</v>
      </c>
      <c r="R61" s="53">
        <f>+Tableau222[[#This Row],[MONTANT HT]]+Tableau222[[#This Row],[MONTANT TVA]]</f>
        <v>218300</v>
      </c>
      <c r="S61" s="53"/>
      <c r="T61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45609</v>
      </c>
      <c r="V61" s="53"/>
      <c r="W61" s="53">
        <f>+Tableau222[[#This Row],[MONTANT TTC]]-Tableau222[[#This Row],[MONTANT PAYÉ (FCFA)]]</f>
        <v>218300</v>
      </c>
    </row>
    <row r="62" spans="1:29" ht="13.8">
      <c r="A62" s="4" t="s">
        <v>52</v>
      </c>
      <c r="C62" s="64">
        <v>45573</v>
      </c>
      <c r="E62" s="4" t="s">
        <v>468</v>
      </c>
      <c r="F62" s="10"/>
      <c r="G62" s="4" t="s">
        <v>232</v>
      </c>
      <c r="I62" s="4" t="s">
        <v>329</v>
      </c>
      <c r="L62" s="4" t="s">
        <v>299</v>
      </c>
      <c r="M62" s="4" t="s">
        <v>467</v>
      </c>
      <c r="N62" s="4" t="s">
        <v>348</v>
      </c>
      <c r="O62" s="53">
        <v>3500</v>
      </c>
      <c r="P62" s="62">
        <v>0</v>
      </c>
      <c r="Q62" s="53">
        <f>+Tableau222[[#This Row],[MONTANT HT]]*Tableau222[[#This Row],[TAUX TVA]]</f>
        <v>0</v>
      </c>
      <c r="R62" s="53">
        <f>+Tableau222[[#This Row],[MONTANT HT]]+Tableau222[[#This Row],[MONTANT TVA]]</f>
        <v>3500</v>
      </c>
      <c r="S62" s="53"/>
      <c r="T6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45573</v>
      </c>
      <c r="V62" s="53"/>
      <c r="W62" s="53">
        <f>+Tableau222[[#This Row],[MONTANT TTC]]-Tableau222[[#This Row],[MONTANT PAYÉ (FCFA)]]</f>
        <v>3500</v>
      </c>
    </row>
    <row r="63" spans="1:29" ht="13.8">
      <c r="A63" s="4" t="s">
        <v>52</v>
      </c>
      <c r="B63" s="43">
        <v>45706</v>
      </c>
      <c r="C63" s="64">
        <v>45595</v>
      </c>
      <c r="E63" s="4" t="s">
        <v>469</v>
      </c>
      <c r="F63" s="10"/>
      <c r="G63" s="4" t="s">
        <v>232</v>
      </c>
      <c r="H63" s="4" t="s">
        <v>92</v>
      </c>
      <c r="I63" s="4" t="s">
        <v>376</v>
      </c>
      <c r="J63" s="4" t="s">
        <v>577</v>
      </c>
      <c r="L63" s="4" t="s">
        <v>299</v>
      </c>
      <c r="M63" s="4" t="s">
        <v>470</v>
      </c>
      <c r="N63" s="4" t="s">
        <v>348</v>
      </c>
      <c r="O63" s="53">
        <v>8000</v>
      </c>
      <c r="P63" s="62">
        <v>0</v>
      </c>
      <c r="Q63" s="53">
        <f>+Tableau222[[#This Row],[MONTANT HT]]*Tableau222[[#This Row],[TAUX TVA]]</f>
        <v>0</v>
      </c>
      <c r="R63" s="53">
        <f>+Tableau222[[#This Row],[MONTANT HT]]+Tableau222[[#This Row],[MONTANT TVA]]</f>
        <v>8000</v>
      </c>
      <c r="S63" s="53"/>
      <c r="T63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45595</v>
      </c>
      <c r="V63" s="53"/>
      <c r="W63" s="53">
        <f>+Tableau222[[#This Row],[MONTANT TTC]]-Tableau222[[#This Row],[MONTANT PAYÉ (FCFA)]]</f>
        <v>8000</v>
      </c>
    </row>
    <row r="64" spans="1:29" ht="13.8">
      <c r="A64" s="4" t="s">
        <v>52</v>
      </c>
      <c r="B64" s="43">
        <v>45706</v>
      </c>
      <c r="C64" s="64">
        <v>45595</v>
      </c>
      <c r="D64" s="64">
        <v>45596</v>
      </c>
      <c r="E64" s="4" t="s">
        <v>471</v>
      </c>
      <c r="F64" s="10" t="s">
        <v>472</v>
      </c>
      <c r="G64" s="4" t="s">
        <v>233</v>
      </c>
      <c r="H64" s="4" t="s">
        <v>92</v>
      </c>
      <c r="I64" s="4" t="s">
        <v>376</v>
      </c>
      <c r="J64" s="4" t="s">
        <v>473</v>
      </c>
      <c r="L64" s="4" t="s">
        <v>474</v>
      </c>
      <c r="M64" s="4" t="s">
        <v>475</v>
      </c>
      <c r="N64" s="4" t="s">
        <v>50</v>
      </c>
      <c r="O64" s="44">
        <v>30000</v>
      </c>
      <c r="P64" s="62">
        <v>0</v>
      </c>
      <c r="Q64" s="44">
        <f>+Tableau222[[#This Row],[MONTANT HT]]*Tableau222[[#This Row],[TAUX TVA]]</f>
        <v>0</v>
      </c>
      <c r="R64" s="44">
        <f>+Tableau222[[#This Row],[MONTANT HT]]+Tableau222[[#This Row],[MONTANT TVA]]</f>
        <v>30000</v>
      </c>
      <c r="S64" s="44"/>
      <c r="T6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45596</v>
      </c>
      <c r="V64" s="44"/>
      <c r="W64" s="44">
        <f>+Tableau222[[#This Row],[MONTANT TTC]]-Tableau222[[#This Row],[MONTANT PAYÉ (FCFA)]]</f>
        <v>30000</v>
      </c>
    </row>
    <row r="65" spans="1:23" ht="13.8">
      <c r="A65" s="4" t="s">
        <v>52</v>
      </c>
      <c r="C65" s="47">
        <v>45600</v>
      </c>
      <c r="E65" s="4" t="s">
        <v>476</v>
      </c>
      <c r="F65" s="10"/>
      <c r="G65" s="4" t="s">
        <v>232</v>
      </c>
      <c r="I65" s="4" t="s">
        <v>380</v>
      </c>
      <c r="L65" s="4" t="s">
        <v>381</v>
      </c>
      <c r="M65" s="4" t="s">
        <v>477</v>
      </c>
      <c r="N65" s="4" t="s">
        <v>460</v>
      </c>
      <c r="O65" s="44">
        <v>127000</v>
      </c>
      <c r="P65" s="62">
        <v>0</v>
      </c>
      <c r="Q65" s="44">
        <f>+Tableau222[[#This Row],[MONTANT HT]]*Tableau222[[#This Row],[TAUX TVA]]</f>
        <v>0</v>
      </c>
      <c r="R65" s="44">
        <f>+Tableau222[[#This Row],[MONTANT HT]]+Tableau222[[#This Row],[MONTANT TVA]]</f>
        <v>127000</v>
      </c>
      <c r="S65" s="44"/>
      <c r="T65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45600</v>
      </c>
      <c r="V65" s="44"/>
      <c r="W65" s="44">
        <f>+Tableau222[[#This Row],[MONTANT TTC]]-Tableau222[[#This Row],[MONTANT PAYÉ (FCFA)]]</f>
        <v>127000</v>
      </c>
    </row>
    <row r="66" spans="1:23" ht="13.8">
      <c r="A66" s="4" t="s">
        <v>478</v>
      </c>
      <c r="C66" s="64">
        <v>45609</v>
      </c>
      <c r="E66" s="4" t="s">
        <v>465</v>
      </c>
      <c r="F66" s="10"/>
      <c r="G66" s="4" t="s">
        <v>232</v>
      </c>
      <c r="I66" s="4" t="s">
        <v>329</v>
      </c>
      <c r="L66" s="4" t="s">
        <v>420</v>
      </c>
      <c r="M66" s="4" t="s">
        <v>466</v>
      </c>
      <c r="N66" s="4" t="s">
        <v>478</v>
      </c>
      <c r="O66" s="53">
        <v>218300</v>
      </c>
      <c r="P66" s="62">
        <v>0</v>
      </c>
      <c r="Q66" s="53">
        <f>+Tableau222[[#This Row],[MONTANT HT]]*Tableau222[[#This Row],[TAUX TVA]]</f>
        <v>0</v>
      </c>
      <c r="R66" s="53">
        <f>+Tableau222[[#This Row],[MONTANT HT]]+Tableau222[[#This Row],[MONTANT TVA]]</f>
        <v>218300</v>
      </c>
      <c r="S66" s="53"/>
      <c r="T66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45609</v>
      </c>
      <c r="V66" s="53"/>
      <c r="W66" s="53">
        <f>+Tableau222[[#This Row],[MONTANT TTC]]-Tableau222[[#This Row],[MONTANT PAYÉ (FCFA)]]</f>
        <v>218300</v>
      </c>
    </row>
    <row r="67" spans="1:23" ht="13.8">
      <c r="A67" s="4" t="s">
        <v>52</v>
      </c>
      <c r="B67" s="43">
        <v>45706</v>
      </c>
      <c r="C67" s="64">
        <v>45580</v>
      </c>
      <c r="E67" s="4" t="s">
        <v>479</v>
      </c>
      <c r="F67" s="10" t="s">
        <v>584</v>
      </c>
      <c r="G67" s="4" t="s">
        <v>232</v>
      </c>
      <c r="H67" s="4" t="s">
        <v>225</v>
      </c>
      <c r="I67" s="4" t="s">
        <v>427</v>
      </c>
      <c r="J67" s="4" t="s">
        <v>583</v>
      </c>
      <c r="L67" s="4" t="s">
        <v>480</v>
      </c>
      <c r="M67" s="4" t="s">
        <v>481</v>
      </c>
      <c r="N67" s="4" t="s">
        <v>348</v>
      </c>
      <c r="O67" s="53">
        <v>458927</v>
      </c>
      <c r="P67" s="62">
        <v>0</v>
      </c>
      <c r="Q67" s="53">
        <f>+Tableau222[[#This Row],[MONTANT HT]]*Tableau222[[#This Row],[TAUX TVA]]</f>
        <v>0</v>
      </c>
      <c r="R67" s="53">
        <f>+Tableau222[[#This Row],[MONTANT HT]]+Tableau222[[#This Row],[MONTANT TVA]]</f>
        <v>458927</v>
      </c>
      <c r="S67" s="53"/>
      <c r="T67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45580</v>
      </c>
      <c r="V67" s="53"/>
      <c r="W67" s="53">
        <f>+Tableau222[[#This Row],[MONTANT TTC]]-Tableau222[[#This Row],[MONTANT PAYÉ (FCFA)]]</f>
        <v>458927</v>
      </c>
    </row>
    <row r="68" spans="1:23" ht="13.8">
      <c r="A68" s="4" t="s">
        <v>52</v>
      </c>
      <c r="C68" s="64">
        <v>45598</v>
      </c>
      <c r="E68" s="4" t="s">
        <v>482</v>
      </c>
      <c r="F68" s="10"/>
      <c r="G68" s="4" t="s">
        <v>232</v>
      </c>
      <c r="I68" s="4" t="s">
        <v>380</v>
      </c>
      <c r="L68" s="4" t="s">
        <v>381</v>
      </c>
      <c r="M68" s="4" t="s">
        <v>483</v>
      </c>
      <c r="N68" s="4" t="s">
        <v>460</v>
      </c>
      <c r="O68" s="53">
        <v>93500</v>
      </c>
      <c r="P68" s="62">
        <v>0</v>
      </c>
      <c r="Q68" s="53">
        <f>+Tableau222[[#This Row],[MONTANT HT]]*Tableau222[[#This Row],[TAUX TVA]]</f>
        <v>0</v>
      </c>
      <c r="R68" s="53">
        <f>+Tableau222[[#This Row],[MONTANT HT]]+Tableau222[[#This Row],[MONTANT TVA]]</f>
        <v>93500</v>
      </c>
      <c r="S68" s="53"/>
      <c r="T6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45598</v>
      </c>
      <c r="V68" s="65">
        <v>41000</v>
      </c>
      <c r="W68" s="53">
        <f>+Tableau222[[#This Row],[MONTANT TTC]]-Tableau222[[#This Row],[MONTANT PAYÉ (FCFA)]]</f>
        <v>52500</v>
      </c>
    </row>
    <row r="69" spans="1:23" ht="13.8">
      <c r="A69" s="4" t="s">
        <v>52</v>
      </c>
      <c r="C69" s="47">
        <v>45601</v>
      </c>
      <c r="E69" s="4" t="s">
        <v>484</v>
      </c>
      <c r="F69" s="10"/>
      <c r="G69" s="4" t="s">
        <v>232</v>
      </c>
      <c r="I69" s="4" t="s">
        <v>380</v>
      </c>
      <c r="L69" s="4" t="s">
        <v>381</v>
      </c>
      <c r="M69" s="4" t="s">
        <v>485</v>
      </c>
      <c r="N69" s="4" t="s">
        <v>460</v>
      </c>
      <c r="O69" s="44">
        <v>242000</v>
      </c>
      <c r="P69" s="62">
        <v>0</v>
      </c>
      <c r="Q69" s="44">
        <f>+Tableau222[[#This Row],[MONTANT HT]]*Tableau222[[#This Row],[TAUX TVA]]</f>
        <v>0</v>
      </c>
      <c r="R69" s="44">
        <f>+Tableau222[[#This Row],[MONTANT HT]]+Tableau222[[#This Row],[MONTANT TVA]]</f>
        <v>242000</v>
      </c>
      <c r="S69" s="44"/>
      <c r="T69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45601</v>
      </c>
      <c r="V69" s="44"/>
      <c r="W69" s="44">
        <f>+Tableau222[[#This Row],[MONTANT TTC]]-Tableau222[[#This Row],[MONTANT PAYÉ (FCFA)]]</f>
        <v>242000</v>
      </c>
    </row>
    <row r="70" spans="1:23" ht="13.8">
      <c r="A70" s="4" t="s">
        <v>52</v>
      </c>
      <c r="B70" s="43">
        <v>45706</v>
      </c>
      <c r="C70" s="47">
        <v>45601</v>
      </c>
      <c r="E70" s="4" t="s">
        <v>486</v>
      </c>
      <c r="F70" s="10"/>
      <c r="G70" s="4" t="s">
        <v>232</v>
      </c>
      <c r="I70" s="4" t="s">
        <v>56</v>
      </c>
      <c r="L70" s="4" t="s">
        <v>381</v>
      </c>
      <c r="M70" s="4" t="s">
        <v>487</v>
      </c>
      <c r="N70" s="4" t="s">
        <v>460</v>
      </c>
      <c r="O70" s="44">
        <v>16500</v>
      </c>
      <c r="P70" s="62">
        <v>0</v>
      </c>
      <c r="Q70" s="44">
        <f>+Tableau222[[#This Row],[MONTANT HT]]*Tableau222[[#This Row],[TAUX TVA]]</f>
        <v>0</v>
      </c>
      <c r="R70" s="44">
        <f>+Tableau222[[#This Row],[MONTANT HT]]+Tableau222[[#This Row],[MONTANT TVA]]</f>
        <v>16500</v>
      </c>
      <c r="S70" s="44"/>
      <c r="T7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45601</v>
      </c>
      <c r="V70" s="44"/>
      <c r="W70" s="44">
        <f>+Tableau222[[#This Row],[MONTANT TTC]]-Tableau222[[#This Row],[MONTANT PAYÉ (FCFA)]]</f>
        <v>16500</v>
      </c>
    </row>
    <row r="71" spans="1:23" ht="13.8">
      <c r="A71" s="4" t="s">
        <v>52</v>
      </c>
      <c r="B71" s="43">
        <v>45706</v>
      </c>
      <c r="C71" s="47">
        <v>45581</v>
      </c>
      <c r="E71" s="4" t="s">
        <v>488</v>
      </c>
      <c r="F71" s="10"/>
      <c r="G71" s="4" t="s">
        <v>232</v>
      </c>
      <c r="H71" s="4" t="s">
        <v>92</v>
      </c>
      <c r="I71" s="4" t="s">
        <v>56</v>
      </c>
      <c r="J71" s="4" t="s">
        <v>575</v>
      </c>
      <c r="L71" s="4" t="s">
        <v>381</v>
      </c>
      <c r="M71" s="4" t="s">
        <v>574</v>
      </c>
      <c r="N71" s="4" t="s">
        <v>455</v>
      </c>
      <c r="O71" s="44">
        <v>40000</v>
      </c>
      <c r="P71" s="62">
        <v>0</v>
      </c>
      <c r="Q71" s="44">
        <f>+Tableau222[[#This Row],[MONTANT HT]]*Tableau222[[#This Row],[TAUX TVA]]</f>
        <v>0</v>
      </c>
      <c r="R71" s="44">
        <f>+Tableau222[[#This Row],[MONTANT HT]]+Tableau222[[#This Row],[MONTANT TVA]]</f>
        <v>40000</v>
      </c>
      <c r="S71" s="44"/>
      <c r="T71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45581</v>
      </c>
      <c r="V71" s="66">
        <v>40000</v>
      </c>
      <c r="W71" s="44">
        <f>+Tableau222[[#This Row],[MONTANT TTC]]-Tableau222[[#This Row],[MONTANT PAYÉ (FCFA)]]</f>
        <v>0</v>
      </c>
    </row>
    <row r="72" spans="1:23" ht="13.8">
      <c r="A72" s="4" t="s">
        <v>55</v>
      </c>
      <c r="C72" s="64">
        <v>45647</v>
      </c>
      <c r="E72" s="4" t="s">
        <v>490</v>
      </c>
      <c r="F72" s="10"/>
      <c r="G72" s="4" t="s">
        <v>232</v>
      </c>
      <c r="I72" s="4" t="s">
        <v>293</v>
      </c>
      <c r="L72" s="4" t="s">
        <v>491</v>
      </c>
      <c r="M72" s="4" t="s">
        <v>492</v>
      </c>
      <c r="N72" s="4" t="s">
        <v>55</v>
      </c>
      <c r="O72" s="53">
        <v>28500</v>
      </c>
      <c r="P72" s="62">
        <v>0</v>
      </c>
      <c r="Q72" s="53">
        <f>+Tableau222[[#This Row],[MONTANT HT]]*Tableau222[[#This Row],[TAUX TVA]]</f>
        <v>0</v>
      </c>
      <c r="R72" s="53">
        <f>+Tableau222[[#This Row],[MONTANT HT]]+Tableau222[[#This Row],[MONTANT TVA]]</f>
        <v>28500</v>
      </c>
      <c r="S72" s="53"/>
      <c r="T7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45647</v>
      </c>
      <c r="V72" s="53"/>
      <c r="W72" s="53">
        <f>+Tableau222[[#This Row],[MONTANT TTC]]-Tableau222[[#This Row],[MONTANT PAYÉ (FCFA)]]</f>
        <v>28500</v>
      </c>
    </row>
    <row r="73" spans="1:23" ht="13.8">
      <c r="A73" s="4" t="s">
        <v>52</v>
      </c>
      <c r="B73" s="43">
        <v>45706</v>
      </c>
      <c r="C73" s="64">
        <v>45487</v>
      </c>
      <c r="E73" s="4" t="s">
        <v>493</v>
      </c>
      <c r="F73" s="10"/>
      <c r="G73" s="4" t="s">
        <v>232</v>
      </c>
      <c r="H73" s="4" t="s">
        <v>92</v>
      </c>
      <c r="I73" s="4" t="s">
        <v>56</v>
      </c>
      <c r="L73" s="4" t="s">
        <v>381</v>
      </c>
      <c r="M73" s="4" t="s">
        <v>494</v>
      </c>
      <c r="N73" s="4" t="s">
        <v>460</v>
      </c>
      <c r="O73" s="53">
        <v>8080</v>
      </c>
      <c r="P73" s="62">
        <v>0</v>
      </c>
      <c r="Q73" s="53">
        <f>+Tableau222[[#This Row],[MONTANT HT]]*Tableau222[[#This Row],[TAUX TVA]]</f>
        <v>0</v>
      </c>
      <c r="R73" s="53">
        <f>+Tableau222[[#This Row],[MONTANT HT]]+Tableau222[[#This Row],[MONTANT TVA]]</f>
        <v>8080</v>
      </c>
      <c r="S73" s="53"/>
      <c r="T73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45487</v>
      </c>
      <c r="V73" s="65">
        <v>8080</v>
      </c>
      <c r="W73" s="53">
        <f>+Tableau222[[#This Row],[MONTANT TTC]]-Tableau222[[#This Row],[MONTANT PAYÉ (FCFA)]]</f>
        <v>0</v>
      </c>
    </row>
    <row r="74" spans="1:23" ht="13.8">
      <c r="A74" s="4" t="s">
        <v>52</v>
      </c>
      <c r="B74" s="43">
        <v>45706</v>
      </c>
      <c r="C74" s="47">
        <v>45610</v>
      </c>
      <c r="E74" s="4" t="s">
        <v>496</v>
      </c>
      <c r="F74" s="10"/>
      <c r="G74" s="4" t="s">
        <v>232</v>
      </c>
      <c r="H74" s="4" t="s">
        <v>92</v>
      </c>
      <c r="I74" s="4" t="s">
        <v>56</v>
      </c>
      <c r="L74" s="4" t="s">
        <v>299</v>
      </c>
      <c r="M74" s="4" t="s">
        <v>495</v>
      </c>
      <c r="N74" s="4" t="s">
        <v>455</v>
      </c>
      <c r="O74" s="44">
        <v>7850</v>
      </c>
      <c r="P74" s="62">
        <v>0</v>
      </c>
      <c r="Q74" s="44">
        <f>+Tableau222[[#This Row],[MONTANT HT]]*Tableau222[[#This Row],[TAUX TVA]]</f>
        <v>0</v>
      </c>
      <c r="R74" s="44">
        <f>+Tableau222[[#This Row],[MONTANT HT]]+Tableau222[[#This Row],[MONTANT TVA]]</f>
        <v>7850</v>
      </c>
      <c r="S74" s="44"/>
      <c r="T7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45610</v>
      </c>
      <c r="V74" s="66">
        <v>7850</v>
      </c>
      <c r="W74" s="44">
        <f>+Tableau222[[#This Row],[MONTANT TTC]]-Tableau222[[#This Row],[MONTANT PAYÉ (FCFA)]]</f>
        <v>0</v>
      </c>
    </row>
    <row r="75" spans="1:23" ht="13.8">
      <c r="A75" s="4" t="s">
        <v>52</v>
      </c>
      <c r="C75" s="47">
        <v>45647</v>
      </c>
      <c r="E75" s="4" t="s">
        <v>490</v>
      </c>
      <c r="F75" s="10"/>
      <c r="G75" s="4" t="s">
        <v>232</v>
      </c>
      <c r="I75" s="4" t="s">
        <v>56</v>
      </c>
      <c r="L75" s="4" t="s">
        <v>497</v>
      </c>
      <c r="M75" s="4" t="s">
        <v>498</v>
      </c>
      <c r="N75" s="4" t="s">
        <v>430</v>
      </c>
      <c r="O75" s="44">
        <v>3256450</v>
      </c>
      <c r="P75" s="62">
        <v>0</v>
      </c>
      <c r="Q75" s="44">
        <f>+Tableau222[[#This Row],[MONTANT HT]]*Tableau222[[#This Row],[TAUX TVA]]</f>
        <v>0</v>
      </c>
      <c r="R75" s="44">
        <f>+Tableau222[[#This Row],[MONTANT HT]]+Tableau222[[#This Row],[MONTANT TVA]]</f>
        <v>3256450</v>
      </c>
      <c r="S75" s="44"/>
      <c r="T75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45647</v>
      </c>
      <c r="V75" s="66">
        <f>1000000+100000</f>
        <v>1100000</v>
      </c>
      <c r="W75" s="44">
        <f>+Tableau222[[#This Row],[MONTANT TTC]]-Tableau222[[#This Row],[MONTANT PAYÉ (FCFA)]]</f>
        <v>2156450</v>
      </c>
    </row>
    <row r="76" spans="1:23" ht="13.8">
      <c r="A76" s="4" t="s">
        <v>52</v>
      </c>
      <c r="C76" s="47">
        <v>45604</v>
      </c>
      <c r="E76" s="4" t="s">
        <v>499</v>
      </c>
      <c r="F76" s="10"/>
      <c r="G76" s="4" t="s">
        <v>232</v>
      </c>
      <c r="H76" s="4" t="s">
        <v>92</v>
      </c>
      <c r="I76" s="4" t="s">
        <v>56</v>
      </c>
      <c r="L76" s="4" t="s">
        <v>381</v>
      </c>
      <c r="M76" s="4" t="s">
        <v>500</v>
      </c>
      <c r="N76" s="4" t="s">
        <v>430</v>
      </c>
      <c r="O76" s="44">
        <v>3900</v>
      </c>
      <c r="P76" s="62">
        <v>0</v>
      </c>
      <c r="Q76" s="44">
        <f>+Tableau222[[#This Row],[MONTANT HT]]*Tableau222[[#This Row],[TAUX TVA]]</f>
        <v>0</v>
      </c>
      <c r="R76" s="44">
        <f>+Tableau222[[#This Row],[MONTANT HT]]+Tableau222[[#This Row],[MONTANT TVA]]</f>
        <v>3900</v>
      </c>
      <c r="S76" s="44"/>
      <c r="T76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45604</v>
      </c>
      <c r="V76" s="44"/>
      <c r="W76" s="44">
        <f>+Tableau222[[#This Row],[MONTANT TTC]]-Tableau222[[#This Row],[MONTANT PAYÉ (FCFA)]]</f>
        <v>3900</v>
      </c>
    </row>
    <row r="77" spans="1:23" ht="13.8">
      <c r="A77" s="4" t="s">
        <v>52</v>
      </c>
      <c r="B77" s="43">
        <v>45706</v>
      </c>
      <c r="C77" s="47">
        <v>45586</v>
      </c>
      <c r="E77" s="4" t="s">
        <v>457</v>
      </c>
      <c r="F77" s="10"/>
      <c r="G77" s="4" t="s">
        <v>232</v>
      </c>
      <c r="I77" s="4" t="s">
        <v>301</v>
      </c>
      <c r="L77" s="4" t="s">
        <v>299</v>
      </c>
      <c r="M77" s="4" t="s">
        <v>501</v>
      </c>
      <c r="N77" s="4" t="s">
        <v>502</v>
      </c>
      <c r="O77" s="44">
        <v>5000</v>
      </c>
      <c r="P77" s="62">
        <v>0</v>
      </c>
      <c r="Q77" s="44">
        <f>+Tableau222[[#This Row],[MONTANT HT]]*Tableau222[[#This Row],[TAUX TVA]]</f>
        <v>0</v>
      </c>
      <c r="R77" s="44">
        <f>+Tableau222[[#This Row],[MONTANT HT]]+Tableau222[[#This Row],[MONTANT TVA]]</f>
        <v>5000</v>
      </c>
      <c r="S77" s="44"/>
      <c r="T77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45586</v>
      </c>
      <c r="V77" s="44"/>
      <c r="W77" s="44">
        <f>+Tableau222[[#This Row],[MONTANT TTC]]-Tableau222[[#This Row],[MONTANT PAYÉ (FCFA)]]</f>
        <v>5000</v>
      </c>
    </row>
    <row r="78" spans="1:23" ht="13.8">
      <c r="A78" s="4" t="s">
        <v>52</v>
      </c>
      <c r="B78" s="43">
        <v>45706</v>
      </c>
      <c r="C78" s="64">
        <v>45482</v>
      </c>
      <c r="E78" s="4" t="s">
        <v>504</v>
      </c>
      <c r="F78" s="10"/>
      <c r="G78" s="4" t="s">
        <v>232</v>
      </c>
      <c r="H78" s="4" t="s">
        <v>92</v>
      </c>
      <c r="I78" s="4" t="s">
        <v>56</v>
      </c>
      <c r="L78" s="4" t="s">
        <v>381</v>
      </c>
      <c r="M78" s="4" t="s">
        <v>503</v>
      </c>
      <c r="N78" s="4" t="s">
        <v>460</v>
      </c>
      <c r="O78" s="53">
        <v>16500</v>
      </c>
      <c r="P78" s="62">
        <v>0</v>
      </c>
      <c r="Q78" s="53">
        <f>+Tableau222[[#This Row],[MONTANT HT]]*Tableau222[[#This Row],[TAUX TVA]]</f>
        <v>0</v>
      </c>
      <c r="R78" s="53">
        <f>+Tableau222[[#This Row],[MONTANT HT]]+Tableau222[[#This Row],[MONTANT TVA]]</f>
        <v>16500</v>
      </c>
      <c r="S78" s="53"/>
      <c r="T7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45482</v>
      </c>
      <c r="V78" s="53"/>
      <c r="W78" s="53">
        <f>+Tableau222[[#This Row],[MONTANT TTC]]-Tableau222[[#This Row],[MONTANT PAYÉ (FCFA)]]</f>
        <v>16500</v>
      </c>
    </row>
    <row r="79" spans="1:23" ht="13.8">
      <c r="A79" s="4" t="s">
        <v>52</v>
      </c>
      <c r="B79" s="43">
        <v>45706</v>
      </c>
      <c r="C79" s="47">
        <v>45488</v>
      </c>
      <c r="E79" s="4" t="s">
        <v>505</v>
      </c>
      <c r="F79" s="10"/>
      <c r="G79" s="4" t="s">
        <v>232</v>
      </c>
      <c r="I79" s="4" t="s">
        <v>56</v>
      </c>
      <c r="L79" s="4" t="s">
        <v>381</v>
      </c>
      <c r="M79" s="4" t="s">
        <v>503</v>
      </c>
      <c r="N79" s="4" t="s">
        <v>460</v>
      </c>
      <c r="O79" s="44">
        <v>93500</v>
      </c>
      <c r="P79" s="62">
        <v>0</v>
      </c>
      <c r="Q79" s="44">
        <f>+Tableau222[[#This Row],[MONTANT HT]]*Tableau222[[#This Row],[TAUX TVA]]</f>
        <v>0</v>
      </c>
      <c r="R79" s="44">
        <f>+Tableau222[[#This Row],[MONTANT HT]]+Tableau222[[#This Row],[MONTANT TVA]]</f>
        <v>93500</v>
      </c>
      <c r="S79" s="44"/>
      <c r="T79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45488</v>
      </c>
      <c r="V79" s="44"/>
      <c r="W79" s="44">
        <f>+Tableau222[[#This Row],[MONTANT TTC]]-Tableau222[[#This Row],[MONTANT PAYÉ (FCFA)]]</f>
        <v>93500</v>
      </c>
    </row>
    <row r="80" spans="1:23" ht="13.8">
      <c r="A80" s="4" t="s">
        <v>52</v>
      </c>
      <c r="B80" s="43">
        <v>45706</v>
      </c>
      <c r="C80" s="47">
        <v>45466</v>
      </c>
      <c r="E80" s="4" t="s">
        <v>506</v>
      </c>
      <c r="F80" s="10"/>
      <c r="G80" s="4" t="s">
        <v>232</v>
      </c>
      <c r="I80" s="4" t="s">
        <v>56</v>
      </c>
      <c r="L80" s="4" t="s">
        <v>381</v>
      </c>
      <c r="M80" s="4" t="s">
        <v>507</v>
      </c>
      <c r="N80" s="4" t="s">
        <v>430</v>
      </c>
      <c r="O80" s="44">
        <v>43935</v>
      </c>
      <c r="P80" s="62">
        <v>0</v>
      </c>
      <c r="Q80" s="44">
        <f>+Tableau222[[#This Row],[MONTANT HT]]*Tableau222[[#This Row],[TAUX TVA]]</f>
        <v>0</v>
      </c>
      <c r="R80" s="44">
        <f>+Tableau222[[#This Row],[MONTANT HT]]+Tableau222[[#This Row],[MONTANT TVA]]</f>
        <v>43935</v>
      </c>
      <c r="S80" s="44"/>
      <c r="T8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45466</v>
      </c>
      <c r="V80" s="44"/>
      <c r="W80" s="44">
        <f>+Tableau222[[#This Row],[MONTANT TTC]]-Tableau222[[#This Row],[MONTANT PAYÉ (FCFA)]]</f>
        <v>43935</v>
      </c>
    </row>
    <row r="81" spans="1:29" ht="13.8">
      <c r="A81" s="67" t="s">
        <v>50</v>
      </c>
      <c r="B81" s="71">
        <v>45723</v>
      </c>
      <c r="C81" s="72">
        <v>45699</v>
      </c>
      <c r="D81" s="67"/>
      <c r="E81" s="67" t="s">
        <v>508</v>
      </c>
      <c r="F81" s="69"/>
      <c r="G81" s="4" t="s">
        <v>232</v>
      </c>
      <c r="H81" s="67"/>
      <c r="I81" s="67" t="s">
        <v>509</v>
      </c>
      <c r="J81" s="67"/>
      <c r="K81" s="67"/>
      <c r="L81" s="4" t="s">
        <v>381</v>
      </c>
      <c r="M81" s="67" t="s">
        <v>510</v>
      </c>
      <c r="N81" s="67" t="s">
        <v>50</v>
      </c>
      <c r="O81" s="73">
        <v>225000</v>
      </c>
      <c r="P81" s="62">
        <v>0</v>
      </c>
      <c r="Q81" s="73">
        <f>+Tableau222[[#This Row],[MONTANT HT]]*Tableau222[[#This Row],[TAUX TVA]]</f>
        <v>0</v>
      </c>
      <c r="R81" s="73">
        <f>+Tableau222[[#This Row],[MONTANT HT]]+Tableau222[[#This Row],[MONTANT TVA]]</f>
        <v>225000</v>
      </c>
      <c r="S81" s="73"/>
      <c r="T81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45699</v>
      </c>
      <c r="U81" s="67"/>
      <c r="V81" s="73"/>
      <c r="W81" s="73">
        <f>+Tableau222[[#This Row],[MONTANT TTC]]-Tableau222[[#This Row],[MONTANT PAYÉ (FCFA)]]</f>
        <v>225000</v>
      </c>
      <c r="X81" s="67"/>
      <c r="Y81" s="67"/>
      <c r="Z81" s="67"/>
      <c r="AA81" s="67"/>
      <c r="AB81" s="67"/>
      <c r="AC81" s="67"/>
    </row>
    <row r="82" spans="1:29" ht="13.8">
      <c r="A82" s="67" t="s">
        <v>55</v>
      </c>
      <c r="B82" s="71">
        <v>45723</v>
      </c>
      <c r="C82" s="68">
        <v>45721</v>
      </c>
      <c r="D82" s="67"/>
      <c r="E82" s="67" t="s">
        <v>511</v>
      </c>
      <c r="F82" s="69"/>
      <c r="G82" s="4" t="s">
        <v>232</v>
      </c>
      <c r="H82" s="67"/>
      <c r="I82" s="67" t="s">
        <v>512</v>
      </c>
      <c r="J82" s="67"/>
      <c r="K82" s="67"/>
      <c r="L82" s="4" t="s">
        <v>381</v>
      </c>
      <c r="M82" s="67" t="s">
        <v>513</v>
      </c>
      <c r="N82" s="67" t="s">
        <v>307</v>
      </c>
      <c r="O82" s="70">
        <v>300000</v>
      </c>
      <c r="P82" s="62">
        <v>0</v>
      </c>
      <c r="Q82" s="70">
        <f>+Tableau222[[#This Row],[MONTANT HT]]*Tableau222[[#This Row],[TAUX TVA]]</f>
        <v>0</v>
      </c>
      <c r="R82" s="70">
        <f>+Tableau222[[#This Row],[MONTANT HT]]+Tableau222[[#This Row],[MONTANT TVA]]</f>
        <v>300000</v>
      </c>
      <c r="S82" s="70"/>
      <c r="T82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45721</v>
      </c>
      <c r="U82" s="67"/>
      <c r="V82" s="70"/>
      <c r="W82" s="70">
        <f>+Tableau222[[#This Row],[MONTANT TTC]]-Tableau222[[#This Row],[MONTANT PAYÉ (FCFA)]]</f>
        <v>300000</v>
      </c>
      <c r="X82" s="67"/>
      <c r="Y82" s="67"/>
      <c r="Z82" s="67"/>
      <c r="AA82" s="67"/>
      <c r="AB82" s="67"/>
      <c r="AC82" s="67"/>
    </row>
    <row r="83" spans="1:29" ht="13.8">
      <c r="A83" s="67" t="s">
        <v>50</v>
      </c>
      <c r="B83" s="71">
        <v>45723</v>
      </c>
      <c r="C83" s="68">
        <v>45721</v>
      </c>
      <c r="D83" s="67"/>
      <c r="E83" s="67" t="s">
        <v>511</v>
      </c>
      <c r="F83" s="69"/>
      <c r="G83" s="4" t="s">
        <v>232</v>
      </c>
      <c r="H83" s="67"/>
      <c r="I83" s="67" t="s">
        <v>512</v>
      </c>
      <c r="J83" s="67"/>
      <c r="K83" s="67"/>
      <c r="L83" s="4" t="s">
        <v>381</v>
      </c>
      <c r="M83" s="67" t="s">
        <v>513</v>
      </c>
      <c r="N83" s="67" t="s">
        <v>50</v>
      </c>
      <c r="O83" s="70">
        <v>300000</v>
      </c>
      <c r="P83" s="62">
        <v>0</v>
      </c>
      <c r="Q83" s="73">
        <f>+Tableau222[[#This Row],[MONTANT HT]]*Tableau222[[#This Row],[TAUX TVA]]</f>
        <v>0</v>
      </c>
      <c r="R83" s="73">
        <f>+Tableau222[[#This Row],[MONTANT HT]]+Tableau222[[#This Row],[MONTANT TVA]]</f>
        <v>300000</v>
      </c>
      <c r="S83" s="73"/>
      <c r="T83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45721</v>
      </c>
      <c r="U83" s="67"/>
      <c r="V83" s="73"/>
      <c r="W83" s="73">
        <f>+Tableau222[[#This Row],[MONTANT TTC]]-Tableau222[[#This Row],[MONTANT PAYÉ (FCFA)]]</f>
        <v>300000</v>
      </c>
      <c r="X83" s="67"/>
      <c r="Y83" s="67"/>
      <c r="Z83" s="67"/>
      <c r="AA83" s="67"/>
      <c r="AB83" s="67"/>
      <c r="AC83" s="67"/>
    </row>
    <row r="84" spans="1:29" ht="13.8">
      <c r="A84" s="67" t="s">
        <v>50</v>
      </c>
      <c r="B84" s="71">
        <v>45723</v>
      </c>
      <c r="C84" s="72">
        <v>45723</v>
      </c>
      <c r="D84" s="67"/>
      <c r="E84" s="67" t="s">
        <v>514</v>
      </c>
      <c r="F84" s="69"/>
      <c r="G84" s="4" t="s">
        <v>232</v>
      </c>
      <c r="H84" s="67"/>
      <c r="I84" s="67" t="s">
        <v>376</v>
      </c>
      <c r="J84" s="67"/>
      <c r="K84" s="67"/>
      <c r="L84" s="67" t="s">
        <v>302</v>
      </c>
      <c r="M84" s="67" t="s">
        <v>515</v>
      </c>
      <c r="N84" s="67" t="s">
        <v>50</v>
      </c>
      <c r="O84" s="73">
        <v>45000</v>
      </c>
      <c r="P84" s="62">
        <v>0</v>
      </c>
      <c r="Q84" s="73">
        <f>+Tableau222[[#This Row],[MONTANT HT]]*Tableau222[[#This Row],[TAUX TVA]]</f>
        <v>0</v>
      </c>
      <c r="R84" s="73">
        <f>+Tableau222[[#This Row],[MONTANT HT]]+Tableau222[[#This Row],[MONTANT TVA]]</f>
        <v>45000</v>
      </c>
      <c r="S84" s="73"/>
      <c r="T84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84" s="67"/>
      <c r="V84" s="73"/>
      <c r="W84" s="73">
        <f>+Tableau222[[#This Row],[MONTANT TTC]]-Tableau222[[#This Row],[MONTANT PAYÉ (FCFA)]]</f>
        <v>45000</v>
      </c>
      <c r="X84" s="67"/>
      <c r="Y84" s="67"/>
      <c r="Z84" s="67"/>
      <c r="AA84" s="67"/>
      <c r="AB84" s="67"/>
      <c r="AC84" s="67"/>
    </row>
    <row r="85" spans="1:29" ht="13.8">
      <c r="A85" s="67" t="s">
        <v>50</v>
      </c>
      <c r="B85" s="71">
        <v>45723</v>
      </c>
      <c r="C85" s="68">
        <v>45721</v>
      </c>
      <c r="D85" s="67"/>
      <c r="E85" s="67" t="s">
        <v>511</v>
      </c>
      <c r="F85" s="69"/>
      <c r="G85" s="4" t="s">
        <v>232</v>
      </c>
      <c r="H85" s="67"/>
      <c r="I85" s="67" t="s">
        <v>516</v>
      </c>
      <c r="J85" s="67"/>
      <c r="K85" s="67"/>
      <c r="L85" s="4" t="s">
        <v>381</v>
      </c>
      <c r="M85" s="67" t="s">
        <v>517</v>
      </c>
      <c r="N85" s="67" t="s">
        <v>50</v>
      </c>
      <c r="O85" s="70">
        <v>700000</v>
      </c>
      <c r="P85" s="62">
        <v>0</v>
      </c>
      <c r="Q85" s="70">
        <f>+Tableau222[[#This Row],[MONTANT HT]]*Tableau222[[#This Row],[TAUX TVA]]</f>
        <v>0</v>
      </c>
      <c r="R85" s="70">
        <f>+Tableau222[[#This Row],[MONTANT HT]]+Tableau222[[#This Row],[MONTANT TVA]]</f>
        <v>700000</v>
      </c>
      <c r="S85" s="70"/>
      <c r="T85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45721</v>
      </c>
      <c r="U85" s="67"/>
      <c r="V85" s="70"/>
      <c r="W85" s="70">
        <f>+Tableau222[[#This Row],[MONTANT TTC]]-Tableau222[[#This Row],[MONTANT PAYÉ (FCFA)]]</f>
        <v>700000</v>
      </c>
      <c r="X85" s="67"/>
      <c r="Y85" s="67"/>
      <c r="Z85" s="67"/>
      <c r="AA85" s="67"/>
      <c r="AB85" s="67"/>
      <c r="AC85" s="67"/>
    </row>
    <row r="86" spans="1:29" ht="13.8">
      <c r="A86" s="67" t="s">
        <v>50</v>
      </c>
      <c r="B86" s="71">
        <v>45723</v>
      </c>
      <c r="C86" s="72">
        <v>45715</v>
      </c>
      <c r="D86" s="67"/>
      <c r="E86" s="67" t="s">
        <v>518</v>
      </c>
      <c r="F86" s="69"/>
      <c r="G86" s="4" t="s">
        <v>232</v>
      </c>
      <c r="H86" s="67"/>
      <c r="I86" s="67" t="s">
        <v>298</v>
      </c>
      <c r="J86" s="67"/>
      <c r="K86" s="67"/>
      <c r="L86" s="67" t="s">
        <v>302</v>
      </c>
      <c r="M86" s="67" t="s">
        <v>519</v>
      </c>
      <c r="N86" s="67" t="s">
        <v>50</v>
      </c>
      <c r="O86" s="73">
        <v>208506</v>
      </c>
      <c r="P86" s="62">
        <v>0</v>
      </c>
      <c r="Q86" s="73">
        <f>+Tableau222[[#This Row],[MONTANT HT]]*Tableau222[[#This Row],[TAUX TVA]]</f>
        <v>0</v>
      </c>
      <c r="R86" s="73">
        <f>+Tableau222[[#This Row],[MONTANT HT]]+Tableau222[[#This Row],[MONTANT TVA]]</f>
        <v>208506</v>
      </c>
      <c r="S86" s="73"/>
      <c r="T86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45715</v>
      </c>
      <c r="U86" s="67"/>
      <c r="V86" s="73"/>
      <c r="W86" s="73">
        <f>+Tableau222[[#This Row],[MONTANT TTC]]-Tableau222[[#This Row],[MONTANT PAYÉ (FCFA)]]</f>
        <v>208506</v>
      </c>
      <c r="X86" s="67"/>
      <c r="Y86" s="67"/>
      <c r="Z86" s="67"/>
      <c r="AA86" s="67"/>
      <c r="AB86" s="67"/>
      <c r="AC86" s="67"/>
    </row>
    <row r="87" spans="1:29" ht="13.8">
      <c r="A87" s="67" t="s">
        <v>55</v>
      </c>
      <c r="B87" s="71">
        <v>45723</v>
      </c>
      <c r="C87" s="72">
        <v>45702</v>
      </c>
      <c r="D87" s="67"/>
      <c r="E87" s="67" t="s">
        <v>520</v>
      </c>
      <c r="F87" s="69"/>
      <c r="G87" s="4" t="s">
        <v>232</v>
      </c>
      <c r="H87" s="67"/>
      <c r="I87" s="67" t="s">
        <v>372</v>
      </c>
      <c r="J87" s="67"/>
      <c r="K87" s="67"/>
      <c r="L87" s="67" t="s">
        <v>497</v>
      </c>
      <c r="M87" s="67" t="s">
        <v>521</v>
      </c>
      <c r="N87" s="67" t="s">
        <v>307</v>
      </c>
      <c r="O87" s="73">
        <v>92070</v>
      </c>
      <c r="P87" s="62">
        <v>0</v>
      </c>
      <c r="Q87" s="73">
        <f>+Tableau222[[#This Row],[MONTANT HT]]*Tableau222[[#This Row],[TAUX TVA]]</f>
        <v>0</v>
      </c>
      <c r="R87" s="73">
        <f>+Tableau222[[#This Row],[MONTANT HT]]+Tableau222[[#This Row],[MONTANT TVA]]</f>
        <v>92070</v>
      </c>
      <c r="S87" s="73"/>
      <c r="T87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45702</v>
      </c>
      <c r="U87" s="67"/>
      <c r="V87" s="73"/>
      <c r="W87" s="73">
        <f>+Tableau222[[#This Row],[MONTANT TTC]]-Tableau222[[#This Row],[MONTANT PAYÉ (FCFA)]]</f>
        <v>92070</v>
      </c>
      <c r="X87" s="67"/>
      <c r="Y87" s="67"/>
      <c r="Z87" s="67"/>
      <c r="AA87" s="67"/>
      <c r="AB87" s="67"/>
      <c r="AC87" s="67"/>
    </row>
    <row r="88" spans="1:29" ht="13.8">
      <c r="A88" s="67" t="s">
        <v>55</v>
      </c>
      <c r="B88" s="71">
        <v>45723</v>
      </c>
      <c r="C88" s="68">
        <v>45722</v>
      </c>
      <c r="D88" s="67"/>
      <c r="E88" s="67" t="s">
        <v>522</v>
      </c>
      <c r="F88" s="69"/>
      <c r="G88" s="4" t="s">
        <v>232</v>
      </c>
      <c r="H88" s="67"/>
      <c r="I88" s="67" t="s">
        <v>376</v>
      </c>
      <c r="J88" s="67"/>
      <c r="K88" s="67"/>
      <c r="L88" s="67" t="s">
        <v>381</v>
      </c>
      <c r="M88" s="67" t="s">
        <v>523</v>
      </c>
      <c r="N88" s="67" t="s">
        <v>321</v>
      </c>
      <c r="O88" s="70">
        <v>168500</v>
      </c>
      <c r="P88" s="62">
        <v>0</v>
      </c>
      <c r="Q88" s="70">
        <f>+Tableau222[[#This Row],[MONTANT HT]]*Tableau222[[#This Row],[TAUX TVA]]</f>
        <v>0</v>
      </c>
      <c r="R88" s="70">
        <f>+Tableau222[[#This Row],[MONTANT HT]]+Tableau222[[#This Row],[MONTANT TVA]]</f>
        <v>168500</v>
      </c>
      <c r="S88" s="70"/>
      <c r="T88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45722</v>
      </c>
      <c r="U88" s="67"/>
      <c r="V88" s="70"/>
      <c r="W88" s="70">
        <f>+Tableau222[[#This Row],[MONTANT TTC]]-Tableau222[[#This Row],[MONTANT PAYÉ (FCFA)]]</f>
        <v>168500</v>
      </c>
      <c r="X88" s="67"/>
      <c r="Y88" s="67"/>
      <c r="Z88" s="67"/>
      <c r="AA88" s="67"/>
      <c r="AB88" s="67"/>
      <c r="AC88" s="67"/>
    </row>
    <row r="89" spans="1:29" ht="13.8">
      <c r="A89" s="67" t="s">
        <v>55</v>
      </c>
      <c r="B89" s="71">
        <v>45723</v>
      </c>
      <c r="C89" s="68">
        <v>45722</v>
      </c>
      <c r="D89" s="67"/>
      <c r="E89" s="67" t="s">
        <v>522</v>
      </c>
      <c r="F89" s="69"/>
      <c r="G89" s="4" t="s">
        <v>232</v>
      </c>
      <c r="H89" s="67"/>
      <c r="I89" s="67" t="s">
        <v>376</v>
      </c>
      <c r="J89" s="67"/>
      <c r="K89" s="67"/>
      <c r="L89" s="67" t="s">
        <v>381</v>
      </c>
      <c r="M89" s="67" t="s">
        <v>524</v>
      </c>
      <c r="N89" s="67" t="s">
        <v>321</v>
      </c>
      <c r="O89" s="73">
        <v>24500</v>
      </c>
      <c r="P89" s="62">
        <v>0</v>
      </c>
      <c r="Q89" s="73">
        <f>+Tableau222[[#This Row],[MONTANT HT]]*Tableau222[[#This Row],[TAUX TVA]]</f>
        <v>0</v>
      </c>
      <c r="R89" s="73">
        <f>+Tableau222[[#This Row],[MONTANT HT]]+Tableau222[[#This Row],[MONTANT TVA]]</f>
        <v>24500</v>
      </c>
      <c r="S89" s="73"/>
      <c r="T89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45722</v>
      </c>
      <c r="U89" s="67"/>
      <c r="V89" s="73"/>
      <c r="W89" s="73">
        <f>+Tableau222[[#This Row],[MONTANT TTC]]-Tableau222[[#This Row],[MONTANT PAYÉ (FCFA)]]</f>
        <v>24500</v>
      </c>
      <c r="X89" s="67"/>
      <c r="Y89" s="67"/>
      <c r="Z89" s="67"/>
      <c r="AA89" s="67"/>
      <c r="AB89" s="67"/>
      <c r="AC89" s="67"/>
    </row>
    <row r="90" spans="1:29" ht="13.8">
      <c r="A90" s="67" t="s">
        <v>55</v>
      </c>
      <c r="B90" s="71">
        <v>45723</v>
      </c>
      <c r="C90" s="68">
        <v>45722</v>
      </c>
      <c r="D90" s="67"/>
      <c r="E90" s="67" t="s">
        <v>522</v>
      </c>
      <c r="F90" s="69"/>
      <c r="G90" s="4" t="s">
        <v>232</v>
      </c>
      <c r="H90" s="67"/>
      <c r="I90" s="67" t="s">
        <v>376</v>
      </c>
      <c r="J90" s="67"/>
      <c r="K90" s="67"/>
      <c r="L90" s="67" t="s">
        <v>381</v>
      </c>
      <c r="M90" s="67" t="s">
        <v>523</v>
      </c>
      <c r="N90" s="67" t="s">
        <v>304</v>
      </c>
      <c r="O90" s="73">
        <v>178000</v>
      </c>
      <c r="P90" s="62">
        <v>0</v>
      </c>
      <c r="Q90" s="73">
        <f>+Tableau222[[#This Row],[MONTANT HT]]*Tableau222[[#This Row],[TAUX TVA]]</f>
        <v>0</v>
      </c>
      <c r="R90" s="73">
        <f>+Tableau222[[#This Row],[MONTANT HT]]+Tableau222[[#This Row],[MONTANT TVA]]</f>
        <v>178000</v>
      </c>
      <c r="S90" s="73"/>
      <c r="T90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45722</v>
      </c>
      <c r="U90" s="67"/>
      <c r="V90" s="73"/>
      <c r="W90" s="73">
        <f>+Tableau222[[#This Row],[MONTANT TTC]]-Tableau222[[#This Row],[MONTANT PAYÉ (FCFA)]]</f>
        <v>178000</v>
      </c>
      <c r="X90" s="67"/>
      <c r="Y90" s="67"/>
      <c r="Z90" s="67"/>
      <c r="AA90" s="67"/>
      <c r="AB90" s="67"/>
      <c r="AC90" s="67"/>
    </row>
    <row r="91" spans="1:29" ht="13.8">
      <c r="A91" s="67" t="s">
        <v>55</v>
      </c>
      <c r="B91" s="71">
        <v>45723</v>
      </c>
      <c r="C91" s="72">
        <v>45714</v>
      </c>
      <c r="D91" s="67"/>
      <c r="E91" s="67" t="s">
        <v>526</v>
      </c>
      <c r="F91" s="69"/>
      <c r="G91" s="4" t="s">
        <v>232</v>
      </c>
      <c r="H91" s="67"/>
      <c r="I91" s="67" t="s">
        <v>376</v>
      </c>
      <c r="J91" s="67"/>
      <c r="K91" s="67"/>
      <c r="L91" s="67" t="s">
        <v>381</v>
      </c>
      <c r="M91" s="67" t="s">
        <v>524</v>
      </c>
      <c r="N91" s="67" t="s">
        <v>304</v>
      </c>
      <c r="O91" s="73">
        <v>94500</v>
      </c>
      <c r="P91" s="62">
        <v>0</v>
      </c>
      <c r="Q91" s="73">
        <f>+Tableau222[[#This Row],[MONTANT HT]]*Tableau222[[#This Row],[TAUX TVA]]</f>
        <v>0</v>
      </c>
      <c r="R91" s="73">
        <f>+Tableau222[[#This Row],[MONTANT HT]]+Tableau222[[#This Row],[MONTANT TVA]]</f>
        <v>94500</v>
      </c>
      <c r="S91" s="73"/>
      <c r="T91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45714</v>
      </c>
      <c r="U91" s="67"/>
      <c r="V91" s="73"/>
      <c r="W91" s="73">
        <f>+Tableau222[[#This Row],[MONTANT TTC]]-Tableau222[[#This Row],[MONTANT PAYÉ (FCFA)]]</f>
        <v>94500</v>
      </c>
      <c r="X91" s="67"/>
      <c r="Y91" s="67"/>
      <c r="Z91" s="67"/>
      <c r="AA91" s="67"/>
      <c r="AB91" s="67"/>
      <c r="AC91" s="67"/>
    </row>
    <row r="92" spans="1:29" ht="13.8">
      <c r="A92" s="67" t="s">
        <v>55</v>
      </c>
      <c r="B92" s="71">
        <v>45723</v>
      </c>
      <c r="C92" s="72">
        <v>45710</v>
      </c>
      <c r="D92" s="67"/>
      <c r="E92" s="67" t="s">
        <v>527</v>
      </c>
      <c r="F92" s="69"/>
      <c r="G92" s="4" t="s">
        <v>232</v>
      </c>
      <c r="H92" s="67"/>
      <c r="I92" s="67" t="s">
        <v>376</v>
      </c>
      <c r="J92" s="67"/>
      <c r="K92" s="67"/>
      <c r="L92" s="67" t="s">
        <v>381</v>
      </c>
      <c r="M92" s="67" t="s">
        <v>528</v>
      </c>
      <c r="N92" s="67" t="s">
        <v>304</v>
      </c>
      <c r="O92" s="73">
        <v>150000</v>
      </c>
      <c r="P92" s="62">
        <v>0</v>
      </c>
      <c r="Q92" s="73">
        <f>+Tableau222[[#This Row],[MONTANT HT]]*Tableau222[[#This Row],[TAUX TVA]]</f>
        <v>0</v>
      </c>
      <c r="R92" s="73">
        <f>+Tableau222[[#This Row],[MONTANT HT]]+Tableau222[[#This Row],[MONTANT TVA]]</f>
        <v>150000</v>
      </c>
      <c r="S92" s="73"/>
      <c r="T92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45710</v>
      </c>
      <c r="U92" s="67"/>
      <c r="V92" s="73"/>
      <c r="W92" s="73">
        <f>+Tableau222[[#This Row],[MONTANT TTC]]-Tableau222[[#This Row],[MONTANT PAYÉ (FCFA)]]</f>
        <v>150000</v>
      </c>
      <c r="X92" s="67"/>
      <c r="Y92" s="67"/>
      <c r="Z92" s="67"/>
      <c r="AA92" s="67"/>
      <c r="AB92" s="67"/>
      <c r="AC92" s="67"/>
    </row>
    <row r="93" spans="1:29" ht="13.8">
      <c r="A93" s="67" t="s">
        <v>55</v>
      </c>
      <c r="B93" s="71">
        <v>45723</v>
      </c>
      <c r="C93" s="68">
        <v>45709</v>
      </c>
      <c r="D93" s="67"/>
      <c r="E93" s="67" t="s">
        <v>529</v>
      </c>
      <c r="F93" s="69"/>
      <c r="G93" s="4" t="s">
        <v>232</v>
      </c>
      <c r="H93" s="67"/>
      <c r="I93" s="67" t="s">
        <v>298</v>
      </c>
      <c r="J93" s="67"/>
      <c r="K93" s="67"/>
      <c r="L93" s="67" t="s">
        <v>302</v>
      </c>
      <c r="M93" s="67" t="s">
        <v>530</v>
      </c>
      <c r="N93" s="67" t="s">
        <v>307</v>
      </c>
      <c r="O93" s="70">
        <v>4119995</v>
      </c>
      <c r="P93" s="62">
        <v>0</v>
      </c>
      <c r="Q93" s="70">
        <f>+Tableau222[[#This Row],[MONTANT HT]]*Tableau222[[#This Row],[TAUX TVA]]</f>
        <v>0</v>
      </c>
      <c r="R93" s="70">
        <f>+Tableau222[[#This Row],[MONTANT HT]]+Tableau222[[#This Row],[MONTANT TVA]]</f>
        <v>4119995</v>
      </c>
      <c r="S93" s="70"/>
      <c r="T93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45709</v>
      </c>
      <c r="U93" s="67"/>
      <c r="V93" s="70">
        <f>3680000+40400+1000</f>
        <v>3721400</v>
      </c>
      <c r="W93" s="70">
        <f>+Tableau222[[#This Row],[MONTANT TTC]]-Tableau222[[#This Row],[MONTANT PAYÉ (FCFA)]]</f>
        <v>398595</v>
      </c>
      <c r="X93" s="67"/>
      <c r="Y93" s="67"/>
      <c r="Z93" s="67"/>
      <c r="AA93" s="67"/>
      <c r="AB93" s="67"/>
      <c r="AC93" s="67"/>
    </row>
    <row r="94" spans="1:29" ht="13.8">
      <c r="A94" s="67" t="s">
        <v>55</v>
      </c>
      <c r="B94" s="71">
        <v>45723</v>
      </c>
      <c r="C94" s="68">
        <v>45709</v>
      </c>
      <c r="D94" s="67"/>
      <c r="E94" s="67" t="s">
        <v>529</v>
      </c>
      <c r="F94" s="69"/>
      <c r="G94" s="4" t="s">
        <v>232</v>
      </c>
      <c r="H94" s="67"/>
      <c r="I94" s="67" t="s">
        <v>298</v>
      </c>
      <c r="J94" s="67"/>
      <c r="K94" s="67"/>
      <c r="L94" s="67" t="s">
        <v>302</v>
      </c>
      <c r="M94" s="67" t="s">
        <v>531</v>
      </c>
      <c r="N94" s="67" t="s">
        <v>307</v>
      </c>
      <c r="O94" s="73">
        <v>1210000</v>
      </c>
      <c r="P94" s="62">
        <v>0</v>
      </c>
      <c r="Q94" s="73">
        <f>+Tableau222[[#This Row],[MONTANT HT]]*Tableau222[[#This Row],[TAUX TVA]]</f>
        <v>0</v>
      </c>
      <c r="R94" s="73">
        <f>+Tableau222[[#This Row],[MONTANT HT]]+Tableau222[[#This Row],[MONTANT TVA]]</f>
        <v>1210000</v>
      </c>
      <c r="S94" s="73"/>
      <c r="T94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45709</v>
      </c>
      <c r="U94" s="67"/>
      <c r="V94" s="73"/>
      <c r="W94" s="73">
        <f>+Tableau222[[#This Row],[MONTANT TTC]]-Tableau222[[#This Row],[MONTANT PAYÉ (FCFA)]]</f>
        <v>1210000</v>
      </c>
      <c r="X94" s="67"/>
      <c r="Y94" s="67"/>
      <c r="Z94" s="67"/>
      <c r="AA94" s="67"/>
      <c r="AB94" s="67"/>
      <c r="AC94" s="67"/>
    </row>
    <row r="95" spans="1:29" ht="13.8">
      <c r="A95" s="67" t="s">
        <v>55</v>
      </c>
      <c r="B95" s="71">
        <v>45723</v>
      </c>
      <c r="C95" s="68">
        <v>45709</v>
      </c>
      <c r="D95" s="67"/>
      <c r="E95" s="67" t="s">
        <v>529</v>
      </c>
      <c r="F95" s="69"/>
      <c r="G95" s="4" t="s">
        <v>232</v>
      </c>
      <c r="H95" s="67"/>
      <c r="I95" s="67" t="s">
        <v>298</v>
      </c>
      <c r="J95" s="67"/>
      <c r="K95" s="67"/>
      <c r="L95" s="67" t="s">
        <v>302</v>
      </c>
      <c r="M95" s="67" t="s">
        <v>530</v>
      </c>
      <c r="N95" s="67" t="s">
        <v>321</v>
      </c>
      <c r="O95" s="70">
        <v>4119995</v>
      </c>
      <c r="P95" s="62">
        <v>0</v>
      </c>
      <c r="Q95" s="73">
        <f>+Tableau222[[#This Row],[MONTANT HT]]*Tableau222[[#This Row],[TAUX TVA]]</f>
        <v>0</v>
      </c>
      <c r="R95" s="73">
        <f>+Tableau222[[#This Row],[MONTANT HT]]+Tableau222[[#This Row],[MONTANT TVA]]</f>
        <v>4119995</v>
      </c>
      <c r="S95" s="73"/>
      <c r="T95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45709</v>
      </c>
      <c r="U95" s="67"/>
      <c r="V95" s="73"/>
      <c r="W95" s="73">
        <f>+Tableau222[[#This Row],[MONTANT TTC]]-Tableau222[[#This Row],[MONTANT PAYÉ (FCFA)]]</f>
        <v>4119995</v>
      </c>
      <c r="X95" s="67"/>
      <c r="Y95" s="67"/>
      <c r="Z95" s="67"/>
      <c r="AA95" s="67"/>
      <c r="AB95" s="67"/>
      <c r="AC95" s="67"/>
    </row>
    <row r="96" spans="1:29" ht="13.8">
      <c r="A96" s="67" t="s">
        <v>55</v>
      </c>
      <c r="B96" s="71">
        <v>45723</v>
      </c>
      <c r="C96" s="68">
        <v>45709</v>
      </c>
      <c r="D96" s="67"/>
      <c r="E96" s="67" t="s">
        <v>529</v>
      </c>
      <c r="F96" s="69"/>
      <c r="G96" s="4" t="s">
        <v>232</v>
      </c>
      <c r="H96" s="67"/>
      <c r="I96" s="67" t="s">
        <v>298</v>
      </c>
      <c r="J96" s="67"/>
      <c r="K96" s="67"/>
      <c r="L96" s="67" t="s">
        <v>302</v>
      </c>
      <c r="M96" s="67" t="s">
        <v>531</v>
      </c>
      <c r="N96" s="67" t="s">
        <v>321</v>
      </c>
      <c r="O96" s="73">
        <v>1750000</v>
      </c>
      <c r="P96" s="62">
        <v>0</v>
      </c>
      <c r="Q96" s="73">
        <f>+Tableau222[[#This Row],[MONTANT HT]]*Tableau222[[#This Row],[TAUX TVA]]</f>
        <v>0</v>
      </c>
      <c r="R96" s="73">
        <f>+Tableau222[[#This Row],[MONTANT HT]]+Tableau222[[#This Row],[MONTANT TVA]]</f>
        <v>1750000</v>
      </c>
      <c r="S96" s="73"/>
      <c r="T96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45709</v>
      </c>
      <c r="U96" s="67"/>
      <c r="V96" s="73"/>
      <c r="W96" s="73">
        <f>+Tableau222[[#This Row],[MONTANT TTC]]-Tableau222[[#This Row],[MONTANT PAYÉ (FCFA)]]</f>
        <v>1750000</v>
      </c>
      <c r="X96" s="67"/>
      <c r="Y96" s="67"/>
      <c r="Z96" s="67"/>
      <c r="AA96" s="67"/>
      <c r="AB96" s="67"/>
      <c r="AC96" s="67"/>
    </row>
    <row r="97" spans="1:29" ht="13.8">
      <c r="A97" s="67" t="s">
        <v>52</v>
      </c>
      <c r="B97" s="71">
        <v>45723</v>
      </c>
      <c r="C97" s="72">
        <v>45701</v>
      </c>
      <c r="D97" s="67"/>
      <c r="E97" s="67" t="s">
        <v>532</v>
      </c>
      <c r="F97" s="69"/>
      <c r="G97" s="4" t="s">
        <v>232</v>
      </c>
      <c r="H97" s="67"/>
      <c r="I97" s="67" t="s">
        <v>372</v>
      </c>
      <c r="J97" s="67"/>
      <c r="K97" s="67"/>
      <c r="L97" s="67" t="s">
        <v>319</v>
      </c>
      <c r="M97" s="67" t="s">
        <v>533</v>
      </c>
      <c r="N97" s="67" t="s">
        <v>534</v>
      </c>
      <c r="O97" s="73">
        <v>186000</v>
      </c>
      <c r="P97" s="62">
        <v>0</v>
      </c>
      <c r="Q97" s="73">
        <f>+Tableau222[[#This Row],[MONTANT HT]]*Tableau222[[#This Row],[TAUX TVA]]</f>
        <v>0</v>
      </c>
      <c r="R97" s="73">
        <f>+Tableau222[[#This Row],[MONTANT HT]]+Tableau222[[#This Row],[MONTANT TVA]]</f>
        <v>186000</v>
      </c>
      <c r="S97" s="73"/>
      <c r="T97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45701</v>
      </c>
      <c r="U97" s="67"/>
      <c r="V97" s="73">
        <v>90000</v>
      </c>
      <c r="W97" s="73">
        <f>+Tableau222[[#This Row],[MONTANT TTC]]-Tableau222[[#This Row],[MONTANT PAYÉ (FCFA)]]</f>
        <v>96000</v>
      </c>
      <c r="X97" s="67"/>
      <c r="Y97" s="67"/>
      <c r="Z97" s="67"/>
      <c r="AA97" s="67"/>
      <c r="AB97" s="67"/>
      <c r="AC97" s="67"/>
    </row>
    <row r="98" spans="1:29" ht="13.8">
      <c r="A98" s="67" t="s">
        <v>52</v>
      </c>
      <c r="B98" s="71">
        <v>45723</v>
      </c>
      <c r="C98" s="68">
        <v>45722</v>
      </c>
      <c r="D98" s="67"/>
      <c r="E98" s="67" t="s">
        <v>522</v>
      </c>
      <c r="F98" s="69"/>
      <c r="G98" s="4" t="s">
        <v>232</v>
      </c>
      <c r="H98" s="67"/>
      <c r="I98" s="67" t="s">
        <v>372</v>
      </c>
      <c r="J98" s="67"/>
      <c r="K98" s="67"/>
      <c r="L98" s="67" t="s">
        <v>319</v>
      </c>
      <c r="M98" s="67" t="s">
        <v>535</v>
      </c>
      <c r="N98" s="67" t="s">
        <v>534</v>
      </c>
      <c r="O98" s="70">
        <v>70000</v>
      </c>
      <c r="P98" s="62">
        <v>0</v>
      </c>
      <c r="Q98" s="70">
        <f>+Tableau222[[#This Row],[MONTANT HT]]*Tableau222[[#This Row],[TAUX TVA]]</f>
        <v>0</v>
      </c>
      <c r="R98" s="70">
        <f>+Tableau222[[#This Row],[MONTANT HT]]+Tableau222[[#This Row],[MONTANT TVA]]</f>
        <v>70000</v>
      </c>
      <c r="S98" s="70"/>
      <c r="T98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45722</v>
      </c>
      <c r="U98" s="67"/>
      <c r="V98" s="70"/>
      <c r="W98" s="70">
        <f>+Tableau222[[#This Row],[MONTANT TTC]]-Tableau222[[#This Row],[MONTANT PAYÉ (FCFA)]]</f>
        <v>70000</v>
      </c>
      <c r="X98" s="67"/>
      <c r="Y98" s="67"/>
      <c r="Z98" s="67"/>
      <c r="AA98" s="67"/>
      <c r="AB98" s="67"/>
      <c r="AC98" s="67"/>
    </row>
    <row r="99" spans="1:29" ht="13.8">
      <c r="A99" s="67" t="s">
        <v>52</v>
      </c>
      <c r="B99" s="71">
        <v>45723</v>
      </c>
      <c r="C99" s="68">
        <v>45721</v>
      </c>
      <c r="D99" s="67"/>
      <c r="E99" s="67" t="s">
        <v>511</v>
      </c>
      <c r="F99" s="69"/>
      <c r="G99" s="4" t="s">
        <v>232</v>
      </c>
      <c r="H99" s="67"/>
      <c r="I99" s="67" t="s">
        <v>301</v>
      </c>
      <c r="J99" s="67"/>
      <c r="K99" s="67"/>
      <c r="L99" s="67" t="s">
        <v>294</v>
      </c>
      <c r="M99" s="67" t="s">
        <v>536</v>
      </c>
      <c r="N99" s="67" t="s">
        <v>537</v>
      </c>
      <c r="O99" s="70">
        <v>181800</v>
      </c>
      <c r="P99" s="62">
        <v>0</v>
      </c>
      <c r="Q99" s="70">
        <f>+Tableau222[[#This Row],[MONTANT HT]]*Tableau222[[#This Row],[TAUX TVA]]</f>
        <v>0</v>
      </c>
      <c r="R99" s="70">
        <f>+Tableau222[[#This Row],[MONTANT HT]]+Tableau222[[#This Row],[MONTANT TVA]]</f>
        <v>181800</v>
      </c>
      <c r="S99" s="70"/>
      <c r="T99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45721</v>
      </c>
      <c r="U99" s="67"/>
      <c r="V99" s="70"/>
      <c r="W99" s="70">
        <f>+Tableau222[[#This Row],[MONTANT TTC]]-Tableau222[[#This Row],[MONTANT PAYÉ (FCFA)]]</f>
        <v>181800</v>
      </c>
      <c r="X99" s="67"/>
      <c r="Y99" s="67"/>
      <c r="Z99" s="67"/>
      <c r="AA99" s="67"/>
      <c r="AB99" s="67"/>
      <c r="AC99" s="67"/>
    </row>
    <row r="100" spans="1:29" ht="13.8">
      <c r="A100" s="67" t="s">
        <v>52</v>
      </c>
      <c r="B100" s="71">
        <v>45723</v>
      </c>
      <c r="C100" s="68">
        <v>45722</v>
      </c>
      <c r="D100" s="67"/>
      <c r="E100" s="67" t="s">
        <v>522</v>
      </c>
      <c r="F100" s="69"/>
      <c r="G100" s="4" t="s">
        <v>232</v>
      </c>
      <c r="H100" s="67"/>
      <c r="I100" s="67" t="s">
        <v>380</v>
      </c>
      <c r="J100" s="67"/>
      <c r="K100" s="67"/>
      <c r="L100" s="67" t="s">
        <v>381</v>
      </c>
      <c r="M100" s="67" t="s">
        <v>538</v>
      </c>
      <c r="N100" s="67" t="s">
        <v>460</v>
      </c>
      <c r="O100" s="73">
        <v>165000</v>
      </c>
      <c r="P100" s="62">
        <v>0</v>
      </c>
      <c r="Q100" s="73">
        <f>+Tableau222[[#This Row],[MONTANT HT]]*Tableau222[[#This Row],[TAUX TVA]]</f>
        <v>0</v>
      </c>
      <c r="R100" s="73">
        <f>+Tableau222[[#This Row],[MONTANT HT]]+Tableau222[[#This Row],[MONTANT TVA]]</f>
        <v>165000</v>
      </c>
      <c r="S100" s="73"/>
      <c r="T100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45722</v>
      </c>
      <c r="U100" s="67"/>
      <c r="V100" s="73">
        <v>100000</v>
      </c>
      <c r="W100" s="73">
        <f>+Tableau222[[#This Row],[MONTANT TTC]]-Tableau222[[#This Row],[MONTANT PAYÉ (FCFA)]]</f>
        <v>65000</v>
      </c>
      <c r="X100" s="67"/>
      <c r="Y100" s="67"/>
      <c r="Z100" s="67"/>
      <c r="AA100" s="67"/>
      <c r="AB100" s="67"/>
      <c r="AC100" s="67"/>
    </row>
    <row r="101" spans="1:29" ht="13.8">
      <c r="A101" s="67" t="s">
        <v>52</v>
      </c>
      <c r="B101" s="71">
        <v>45723</v>
      </c>
      <c r="C101" s="71">
        <v>45723</v>
      </c>
      <c r="D101" s="67"/>
      <c r="E101" s="67" t="s">
        <v>514</v>
      </c>
      <c r="F101" s="69"/>
      <c r="G101" s="4" t="s">
        <v>232</v>
      </c>
      <c r="H101" s="67"/>
      <c r="I101" s="67" t="s">
        <v>380</v>
      </c>
      <c r="J101" s="67"/>
      <c r="K101" s="67"/>
      <c r="L101" s="67" t="s">
        <v>381</v>
      </c>
      <c r="M101" s="67" t="s">
        <v>539</v>
      </c>
      <c r="N101" s="67" t="s">
        <v>460</v>
      </c>
      <c r="O101" s="73">
        <v>164603</v>
      </c>
      <c r="P101" s="62">
        <v>0</v>
      </c>
      <c r="Q101" s="73">
        <f>+Tableau222[[#This Row],[MONTANT HT]]*Tableau222[[#This Row],[TAUX TVA]]</f>
        <v>0</v>
      </c>
      <c r="R101" s="73">
        <f>+Tableau222[[#This Row],[MONTANT HT]]+Tableau222[[#This Row],[MONTANT TVA]]</f>
        <v>164603</v>
      </c>
      <c r="S101" s="73"/>
      <c r="T101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101" s="67"/>
      <c r="V101" s="73"/>
      <c r="W101" s="73">
        <f>+Tableau222[[#This Row],[MONTANT TTC]]-Tableau222[[#This Row],[MONTANT PAYÉ (FCFA)]]</f>
        <v>164603</v>
      </c>
      <c r="X101" s="67"/>
      <c r="Y101" s="67"/>
      <c r="Z101" s="67"/>
      <c r="AA101" s="67"/>
      <c r="AB101" s="67"/>
      <c r="AC101" s="67"/>
    </row>
    <row r="102" spans="1:29" ht="13.8">
      <c r="A102" s="67" t="s">
        <v>52</v>
      </c>
      <c r="B102" s="71">
        <v>45723</v>
      </c>
      <c r="C102" s="71">
        <v>45723</v>
      </c>
      <c r="D102" s="67"/>
      <c r="E102" s="67" t="s">
        <v>514</v>
      </c>
      <c r="F102" s="69"/>
      <c r="G102" s="4" t="s">
        <v>232</v>
      </c>
      <c r="H102" s="67"/>
      <c r="I102" s="67" t="s">
        <v>301</v>
      </c>
      <c r="J102" s="67"/>
      <c r="K102" s="67"/>
      <c r="L102" s="67" t="s">
        <v>381</v>
      </c>
      <c r="M102" s="67" t="s">
        <v>540</v>
      </c>
      <c r="N102" s="67" t="s">
        <v>541</v>
      </c>
      <c r="O102" s="70">
        <v>79790</v>
      </c>
      <c r="P102" s="62">
        <v>0</v>
      </c>
      <c r="Q102" s="70">
        <f>+Tableau222[[#This Row],[MONTANT HT]]*Tableau222[[#This Row],[TAUX TVA]]</f>
        <v>0</v>
      </c>
      <c r="R102" s="70">
        <f>+Tableau222[[#This Row],[MONTANT HT]]+Tableau222[[#This Row],[MONTANT TVA]]</f>
        <v>79790</v>
      </c>
      <c r="S102" s="70"/>
      <c r="T102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102" s="67"/>
      <c r="V102" s="70"/>
      <c r="W102" s="70">
        <f>+Tableau222[[#This Row],[MONTANT TTC]]-Tableau222[[#This Row],[MONTANT PAYÉ (FCFA)]]</f>
        <v>79790</v>
      </c>
      <c r="X102" s="67"/>
      <c r="Y102" s="67"/>
      <c r="Z102" s="67"/>
      <c r="AA102" s="67"/>
      <c r="AB102" s="67"/>
      <c r="AC102" s="67"/>
    </row>
    <row r="103" spans="1:29" ht="13.8">
      <c r="A103" s="67" t="s">
        <v>52</v>
      </c>
      <c r="B103" s="71">
        <v>45723</v>
      </c>
      <c r="C103" s="71">
        <v>45723</v>
      </c>
      <c r="D103" s="67"/>
      <c r="E103" s="67" t="s">
        <v>514</v>
      </c>
      <c r="F103" s="69"/>
      <c r="G103" s="4" t="s">
        <v>232</v>
      </c>
      <c r="H103" s="67"/>
      <c r="I103" s="67" t="s">
        <v>301</v>
      </c>
      <c r="J103" s="67"/>
      <c r="K103" s="67"/>
      <c r="L103" s="67" t="s">
        <v>381</v>
      </c>
      <c r="M103" s="67" t="s">
        <v>542</v>
      </c>
      <c r="N103" s="67" t="s">
        <v>543</v>
      </c>
      <c r="O103" s="73">
        <v>10000</v>
      </c>
      <c r="P103" s="62">
        <v>0</v>
      </c>
      <c r="Q103" s="73">
        <f>+Tableau222[[#This Row],[MONTANT HT]]*Tableau222[[#This Row],[TAUX TVA]]</f>
        <v>0</v>
      </c>
      <c r="R103" s="73">
        <f>+Tableau222[[#This Row],[MONTANT HT]]+Tableau222[[#This Row],[MONTANT TVA]]</f>
        <v>10000</v>
      </c>
      <c r="S103" s="73"/>
      <c r="T103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103" s="67"/>
      <c r="V103" s="73"/>
      <c r="W103" s="73">
        <f>+Tableau222[[#This Row],[MONTANT TTC]]-Tableau222[[#This Row],[MONTANT PAYÉ (FCFA)]]</f>
        <v>10000</v>
      </c>
      <c r="X103" s="67"/>
      <c r="Y103" s="67"/>
      <c r="Z103" s="67"/>
      <c r="AA103" s="67"/>
      <c r="AB103" s="67"/>
      <c r="AC103" s="67"/>
    </row>
    <row r="104" spans="1:29" ht="13.8">
      <c r="A104" s="67" t="s">
        <v>52</v>
      </c>
      <c r="B104" s="71">
        <v>45723</v>
      </c>
      <c r="C104" s="71">
        <v>45723</v>
      </c>
      <c r="D104" s="67"/>
      <c r="E104" s="67" t="s">
        <v>514</v>
      </c>
      <c r="F104" s="69"/>
      <c r="G104" s="4" t="s">
        <v>232</v>
      </c>
      <c r="H104" s="67"/>
      <c r="I104" s="67" t="s">
        <v>301</v>
      </c>
      <c r="J104" s="67"/>
      <c r="K104" s="67"/>
      <c r="L104" s="67" t="s">
        <v>381</v>
      </c>
      <c r="M104" s="67" t="s">
        <v>544</v>
      </c>
      <c r="N104" s="67" t="s">
        <v>545</v>
      </c>
      <c r="O104" s="70">
        <v>199475</v>
      </c>
      <c r="P104" s="62">
        <v>0</v>
      </c>
      <c r="Q104" s="70">
        <f>+Tableau222[[#This Row],[MONTANT HT]]*Tableau222[[#This Row],[TAUX TVA]]</f>
        <v>0</v>
      </c>
      <c r="R104" s="70">
        <f>+Tableau222[[#This Row],[MONTANT HT]]+Tableau222[[#This Row],[MONTANT TVA]]</f>
        <v>199475</v>
      </c>
      <c r="S104" s="70"/>
      <c r="T104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104" s="67"/>
      <c r="V104" s="70"/>
      <c r="W104" s="70">
        <f>+Tableau222[[#This Row],[MONTANT TTC]]-Tableau222[[#This Row],[MONTANT PAYÉ (FCFA)]]</f>
        <v>199475</v>
      </c>
      <c r="X104" s="67"/>
      <c r="Y104" s="67"/>
      <c r="Z104" s="67"/>
      <c r="AA104" s="67"/>
      <c r="AB104" s="67"/>
      <c r="AC104" s="67"/>
    </row>
    <row r="105" spans="1:29" ht="13.8">
      <c r="A105" s="67" t="s">
        <v>55</v>
      </c>
      <c r="B105" s="71">
        <v>45723</v>
      </c>
      <c r="C105" s="71">
        <v>45723</v>
      </c>
      <c r="D105" s="67"/>
      <c r="E105" s="67" t="s">
        <v>514</v>
      </c>
      <c r="F105" s="69"/>
      <c r="G105" s="4" t="s">
        <v>232</v>
      </c>
      <c r="H105" s="67"/>
      <c r="I105" s="67" t="s">
        <v>376</v>
      </c>
      <c r="J105" s="67"/>
      <c r="K105" s="67"/>
      <c r="L105" s="67" t="s">
        <v>381</v>
      </c>
      <c r="M105" s="67" t="s">
        <v>546</v>
      </c>
      <c r="N105" s="67" t="s">
        <v>547</v>
      </c>
      <c r="O105" s="70">
        <v>25000</v>
      </c>
      <c r="P105" s="62">
        <v>0</v>
      </c>
      <c r="Q105" s="70">
        <f>+Tableau222[[#This Row],[MONTANT HT]]*Tableau222[[#This Row],[TAUX TVA]]</f>
        <v>0</v>
      </c>
      <c r="R105" s="70">
        <f>+Tableau222[[#This Row],[MONTANT HT]]+Tableau222[[#This Row],[MONTANT TVA]]</f>
        <v>25000</v>
      </c>
      <c r="S105" s="70"/>
      <c r="T105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45723</v>
      </c>
      <c r="U105" s="67"/>
      <c r="V105" s="70"/>
      <c r="W105" s="70">
        <f>+Tableau222[[#This Row],[MONTANT TTC]]-Tableau222[[#This Row],[MONTANT PAYÉ (FCFA)]]</f>
        <v>25000</v>
      </c>
      <c r="X105" s="67"/>
      <c r="Y105" s="67"/>
      <c r="Z105" s="67"/>
      <c r="AA105" s="67"/>
      <c r="AB105" s="67"/>
      <c r="AC105" s="67"/>
    </row>
    <row r="106" spans="1:29" ht="13.8">
      <c r="A106" s="67" t="s">
        <v>50</v>
      </c>
      <c r="B106" s="71">
        <v>45829</v>
      </c>
      <c r="C106" s="71"/>
      <c r="D106" s="71">
        <v>45788</v>
      </c>
      <c r="E106" s="67"/>
      <c r="F106" s="69" t="s">
        <v>548</v>
      </c>
      <c r="G106" s="67" t="s">
        <v>233</v>
      </c>
      <c r="H106" s="67" t="s">
        <v>17</v>
      </c>
      <c r="I106" s="67"/>
      <c r="J106" s="67" t="s">
        <v>549</v>
      </c>
      <c r="K106" s="67" t="s">
        <v>408</v>
      </c>
      <c r="L106" s="67" t="s">
        <v>381</v>
      </c>
      <c r="M106" s="67" t="s">
        <v>550</v>
      </c>
      <c r="N106" s="67" t="s">
        <v>551</v>
      </c>
      <c r="O106" s="73">
        <v>350000</v>
      </c>
      <c r="P106" s="75">
        <v>0.18</v>
      </c>
      <c r="Q106" s="73">
        <f>+Tableau222[[#This Row],[MONTANT HT]]*Tableau222[[#This Row],[TAUX TVA]]</f>
        <v>63000</v>
      </c>
      <c r="R106" s="73">
        <f>+Tableau222[[#This Row],[MONTANT HT]]+Tableau222[[#This Row],[MONTANT TVA]]</f>
        <v>413000</v>
      </c>
      <c r="S106" s="73">
        <v>0</v>
      </c>
      <c r="T106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45788</v>
      </c>
      <c r="U106" s="67"/>
      <c r="V106" s="73"/>
      <c r="W106" s="73">
        <f>+Tableau222[[#This Row],[MONTANT TTC]]-Tableau222[[#This Row],[MONTANT PAYÉ (FCFA)]]</f>
        <v>413000</v>
      </c>
      <c r="X106" s="67"/>
      <c r="Y106" s="67"/>
      <c r="Z106" s="67"/>
      <c r="AA106" s="67"/>
      <c r="AB106" s="67"/>
      <c r="AC106" s="67" t="s">
        <v>552</v>
      </c>
    </row>
    <row r="107" spans="1:29" ht="13.8">
      <c r="A107" s="67" t="s">
        <v>55</v>
      </c>
      <c r="B107" s="71">
        <v>45829</v>
      </c>
      <c r="C107" s="72"/>
      <c r="D107" s="71">
        <v>45754</v>
      </c>
      <c r="E107" s="67"/>
      <c r="F107" s="69" t="s">
        <v>553</v>
      </c>
      <c r="G107" s="67" t="s">
        <v>233</v>
      </c>
      <c r="H107" s="67" t="s">
        <v>17</v>
      </c>
      <c r="I107" s="67"/>
      <c r="J107" s="67" t="s">
        <v>165</v>
      </c>
      <c r="K107" s="67" t="s">
        <v>417</v>
      </c>
      <c r="L107" s="67" t="s">
        <v>381</v>
      </c>
      <c r="M107" s="67" t="s">
        <v>554</v>
      </c>
      <c r="N107" s="67" t="s">
        <v>55</v>
      </c>
      <c r="O107" s="73">
        <f>4533000+3138000</f>
        <v>7671000</v>
      </c>
      <c r="P107" s="75">
        <v>0</v>
      </c>
      <c r="Q107" s="73">
        <f>+Tableau222[[#This Row],[MONTANT HT]]*Tableau222[[#This Row],[TAUX TVA]]</f>
        <v>0</v>
      </c>
      <c r="R107" s="73">
        <f>+Tableau222[[#This Row],[MONTANT HT]]+Tableau222[[#This Row],[MONTANT TVA]]</f>
        <v>7671000</v>
      </c>
      <c r="S107" s="73">
        <v>30</v>
      </c>
      <c r="T107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45784</v>
      </c>
      <c r="U107" s="67"/>
      <c r="V107" s="73">
        <v>4656000</v>
      </c>
      <c r="W107" s="73">
        <f>+Tableau222[[#This Row],[MONTANT TTC]]-Tableau222[[#This Row],[MONTANT PAYÉ (FCFA)]]</f>
        <v>3015000</v>
      </c>
      <c r="X107" s="67"/>
      <c r="Y107" s="67"/>
      <c r="Z107" s="67"/>
      <c r="AA107" s="67"/>
      <c r="AB107" s="67"/>
      <c r="AC107" s="67" t="s">
        <v>556</v>
      </c>
    </row>
    <row r="108" spans="1:29" ht="13.8">
      <c r="A108" s="67" t="s">
        <v>55</v>
      </c>
      <c r="B108" s="71">
        <v>45829</v>
      </c>
      <c r="C108" s="72"/>
      <c r="D108" s="71">
        <v>45754</v>
      </c>
      <c r="E108" s="67"/>
      <c r="F108" s="69" t="s">
        <v>557</v>
      </c>
      <c r="G108" s="67" t="s">
        <v>233</v>
      </c>
      <c r="H108" s="67" t="s">
        <v>17</v>
      </c>
      <c r="I108" s="67"/>
      <c r="J108" s="67" t="s">
        <v>165</v>
      </c>
      <c r="K108" s="67" t="s">
        <v>417</v>
      </c>
      <c r="L108" s="67" t="s">
        <v>381</v>
      </c>
      <c r="M108" s="67" t="s">
        <v>555</v>
      </c>
      <c r="N108" s="67" t="s">
        <v>55</v>
      </c>
      <c r="O108" s="73">
        <f>3752000+258000</f>
        <v>4010000</v>
      </c>
      <c r="P108" s="75">
        <v>0</v>
      </c>
      <c r="Q108" s="73">
        <f>+Tableau222[[#This Row],[MONTANT HT]]*Tableau222[[#This Row],[TAUX TVA]]</f>
        <v>0</v>
      </c>
      <c r="R108" s="73">
        <f>+Tableau222[[#This Row],[MONTANT HT]]+Tableau222[[#This Row],[MONTANT TVA]]</f>
        <v>4010000</v>
      </c>
      <c r="S108" s="73">
        <v>30</v>
      </c>
      <c r="T108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45784</v>
      </c>
      <c r="U108" s="67"/>
      <c r="V108" s="73">
        <v>2351237</v>
      </c>
      <c r="W108" s="73">
        <f>+Tableau222[[#This Row],[MONTANT TTC]]-Tableau222[[#This Row],[MONTANT PAYÉ (FCFA)]]</f>
        <v>1658763</v>
      </c>
      <c r="X108" s="67"/>
      <c r="Y108" s="67"/>
      <c r="Z108" s="67"/>
      <c r="AA108" s="67"/>
      <c r="AB108" s="67"/>
      <c r="AC108" s="67" t="s">
        <v>556</v>
      </c>
    </row>
    <row r="109" spans="1:29" ht="13.8">
      <c r="A109" s="67" t="s">
        <v>55</v>
      </c>
      <c r="B109" s="71">
        <v>45829</v>
      </c>
      <c r="C109" s="72"/>
      <c r="D109" s="71">
        <v>45754</v>
      </c>
      <c r="E109" s="67"/>
      <c r="F109" s="69" t="s">
        <v>558</v>
      </c>
      <c r="G109" s="67" t="s">
        <v>233</v>
      </c>
      <c r="H109" s="67" t="s">
        <v>17</v>
      </c>
      <c r="I109" s="67"/>
      <c r="J109" s="67" t="s">
        <v>165</v>
      </c>
      <c r="K109" s="67" t="s">
        <v>417</v>
      </c>
      <c r="L109" s="67" t="s">
        <v>381</v>
      </c>
      <c r="M109" s="67" t="s">
        <v>559</v>
      </c>
      <c r="N109" s="67" t="s">
        <v>55</v>
      </c>
      <c r="O109" s="73">
        <v>3060000</v>
      </c>
      <c r="P109" s="75">
        <v>0</v>
      </c>
      <c r="Q109" s="73">
        <f>+Tableau222[[#This Row],[MONTANT HT]]*Tableau222[[#This Row],[TAUX TVA]]</f>
        <v>0</v>
      </c>
      <c r="R109" s="73">
        <f>+Tableau222[[#This Row],[MONTANT HT]]+Tableau222[[#This Row],[MONTANT TVA]]</f>
        <v>3060000</v>
      </c>
      <c r="S109" s="73">
        <v>30</v>
      </c>
      <c r="T109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45784</v>
      </c>
      <c r="U109" s="67"/>
      <c r="V109" s="73">
        <v>550000</v>
      </c>
      <c r="W109" s="73">
        <f>+Tableau222[[#This Row],[MONTANT TTC]]-Tableau222[[#This Row],[MONTANT PAYÉ (FCFA)]]</f>
        <v>2510000</v>
      </c>
      <c r="X109" s="67"/>
      <c r="Y109" s="67"/>
      <c r="Z109" s="67"/>
      <c r="AA109" s="67"/>
      <c r="AB109" s="67"/>
      <c r="AC109" s="67" t="s">
        <v>556</v>
      </c>
    </row>
    <row r="110" spans="1:29" ht="13.8">
      <c r="A110" s="67" t="s">
        <v>50</v>
      </c>
      <c r="B110" s="71">
        <v>45829</v>
      </c>
      <c r="C110" s="72">
        <v>45763</v>
      </c>
      <c r="D110" s="67"/>
      <c r="E110" s="67" t="s">
        <v>560</v>
      </c>
      <c r="F110" s="69"/>
      <c r="G110" s="67" t="s">
        <v>233</v>
      </c>
      <c r="H110" s="67" t="s">
        <v>92</v>
      </c>
      <c r="I110" s="67"/>
      <c r="J110" s="67" t="s">
        <v>571</v>
      </c>
      <c r="K110" s="67" t="s">
        <v>417</v>
      </c>
      <c r="L110" s="67" t="s">
        <v>381</v>
      </c>
      <c r="M110" s="67" t="s">
        <v>572</v>
      </c>
      <c r="N110" s="67" t="s">
        <v>573</v>
      </c>
      <c r="O110" s="73">
        <v>463500</v>
      </c>
      <c r="P110" s="75">
        <v>0</v>
      </c>
      <c r="Q110" s="73">
        <f>+Tableau222[[#This Row],[MONTANT HT]]*Tableau222[[#This Row],[TAUX TVA]]</f>
        <v>0</v>
      </c>
      <c r="R110" s="73">
        <f>+Tableau222[[#This Row],[MONTANT HT]]+Tableau222[[#This Row],[MONTANT TVA]]</f>
        <v>463500</v>
      </c>
      <c r="S110" s="73">
        <v>0</v>
      </c>
      <c r="T110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45763</v>
      </c>
      <c r="U110" s="67"/>
      <c r="V110" s="73"/>
      <c r="W110" s="73">
        <f>+Tableau222[[#This Row],[MONTANT TTC]]-Tableau222[[#This Row],[MONTANT PAYÉ (FCFA)]]</f>
        <v>463500</v>
      </c>
      <c r="X110" s="67"/>
      <c r="Y110" s="67"/>
      <c r="Z110" s="67"/>
      <c r="AA110" s="67"/>
      <c r="AB110" s="67"/>
      <c r="AC110" s="67"/>
    </row>
    <row r="111" spans="1:29" ht="13.8">
      <c r="A111" s="67" t="s">
        <v>55</v>
      </c>
      <c r="B111" s="71">
        <v>45833</v>
      </c>
      <c r="C111" s="72">
        <v>45738</v>
      </c>
      <c r="D111" s="71">
        <v>45737</v>
      </c>
      <c r="E111" s="67">
        <v>954</v>
      </c>
      <c r="F111" s="69"/>
      <c r="G111" s="67" t="s">
        <v>233</v>
      </c>
      <c r="H111" s="67" t="s">
        <v>17</v>
      </c>
      <c r="I111" s="67" t="s">
        <v>329</v>
      </c>
      <c r="J111" s="67" t="s">
        <v>591</v>
      </c>
      <c r="K111" s="67" t="s">
        <v>408</v>
      </c>
      <c r="L111" s="67" t="s">
        <v>497</v>
      </c>
      <c r="M111" s="67" t="s">
        <v>592</v>
      </c>
      <c r="N111" s="67" t="s">
        <v>593</v>
      </c>
      <c r="O111" s="73">
        <v>13700000</v>
      </c>
      <c r="P111" s="75">
        <v>0</v>
      </c>
      <c r="Q111" s="73">
        <f>+Tableau222[[#This Row],[MONTANT HT]]*Tableau222[[#This Row],[TAUX TVA]]</f>
        <v>0</v>
      </c>
      <c r="R111" s="73">
        <f>+Tableau222[[#This Row],[MONTANT HT]]+Tableau222[[#This Row],[MONTANT TVA]]</f>
        <v>13700000</v>
      </c>
      <c r="S111" s="73"/>
      <c r="T111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45737</v>
      </c>
      <c r="U111" s="67"/>
      <c r="V111" s="73">
        <f>2000000+4000000+1000000</f>
        <v>7000000</v>
      </c>
      <c r="W111" s="73">
        <f>+Tableau222[[#This Row],[MONTANT TTC]]-Tableau222[[#This Row],[MONTANT PAYÉ (FCFA)]]</f>
        <v>6700000</v>
      </c>
      <c r="X111" s="67"/>
      <c r="Y111" s="67"/>
      <c r="Z111" s="67"/>
      <c r="AA111" s="67"/>
      <c r="AB111" s="67"/>
      <c r="AC111" s="67"/>
    </row>
    <row r="112" spans="1:29" ht="13.8">
      <c r="A112" s="67" t="s">
        <v>55</v>
      </c>
      <c r="B112" s="71">
        <v>45833</v>
      </c>
      <c r="C112" s="72">
        <v>45738</v>
      </c>
      <c r="D112" s="71">
        <v>45737</v>
      </c>
      <c r="E112" s="67">
        <v>954</v>
      </c>
      <c r="F112" s="69"/>
      <c r="G112" s="67" t="s">
        <v>233</v>
      </c>
      <c r="H112" s="67" t="s">
        <v>17</v>
      </c>
      <c r="I112" s="67" t="s">
        <v>329</v>
      </c>
      <c r="J112" s="67" t="s">
        <v>591</v>
      </c>
      <c r="K112" s="67" t="s">
        <v>408</v>
      </c>
      <c r="L112" s="67" t="s">
        <v>381</v>
      </c>
      <c r="M112" s="67" t="s">
        <v>606</v>
      </c>
      <c r="N112" s="67" t="s">
        <v>607</v>
      </c>
      <c r="O112" s="73">
        <v>5452000</v>
      </c>
      <c r="P112" s="75">
        <v>0</v>
      </c>
      <c r="Q112" s="73">
        <f>+Tableau222[[#This Row],[MONTANT HT]]*Tableau222[[#This Row],[TAUX TVA]]</f>
        <v>0</v>
      </c>
      <c r="R112" s="73">
        <f>+Tableau222[[#This Row],[MONTANT HT]]+Tableau222[[#This Row],[MONTANT TVA]]</f>
        <v>5452000</v>
      </c>
      <c r="S112" s="73"/>
      <c r="T112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45737</v>
      </c>
      <c r="U112" s="67"/>
      <c r="V112" s="73">
        <f>2000000+300000</f>
        <v>2300000</v>
      </c>
      <c r="W112" s="73">
        <f>+Tableau222[[#This Row],[MONTANT TTC]]-Tableau222[[#This Row],[MONTANT PAYÉ (FCFA)]]</f>
        <v>3152000</v>
      </c>
      <c r="X112" s="67"/>
      <c r="Y112" s="67"/>
      <c r="Z112" s="67"/>
      <c r="AA112" s="67"/>
      <c r="AB112" s="67"/>
      <c r="AC112" s="67"/>
    </row>
    <row r="113" spans="1:29" ht="13.8">
      <c r="A113" s="67" t="s">
        <v>50</v>
      </c>
      <c r="B113" s="71">
        <v>45833</v>
      </c>
      <c r="C113" s="71">
        <v>45729</v>
      </c>
      <c r="D113" s="67"/>
      <c r="E113" s="67"/>
      <c r="F113" s="69"/>
      <c r="G113" s="67" t="s">
        <v>233</v>
      </c>
      <c r="H113" s="67" t="s">
        <v>17</v>
      </c>
      <c r="I113" s="67" t="s">
        <v>594</v>
      </c>
      <c r="J113" s="67" t="s">
        <v>594</v>
      </c>
      <c r="K113" s="67" t="s">
        <v>408</v>
      </c>
      <c r="L113" s="67" t="s">
        <v>381</v>
      </c>
      <c r="M113" s="67" t="s">
        <v>595</v>
      </c>
      <c r="N113" s="67" t="s">
        <v>596</v>
      </c>
      <c r="O113" s="73">
        <v>1293000</v>
      </c>
      <c r="P113" s="75">
        <v>0</v>
      </c>
      <c r="Q113" s="73">
        <f>+Tableau222[[#This Row],[MONTANT HT]]*Tableau222[[#This Row],[TAUX TVA]]</f>
        <v>0</v>
      </c>
      <c r="R113" s="73">
        <f>+Tableau222[[#This Row],[MONTANT HT]]+Tableau222[[#This Row],[MONTANT TVA]]</f>
        <v>1293000</v>
      </c>
      <c r="S113" s="73"/>
      <c r="T113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45729</v>
      </c>
      <c r="U113" s="67"/>
      <c r="V113" s="73">
        <v>500000</v>
      </c>
      <c r="W113" s="73">
        <f>+Tableau222[[#This Row],[MONTANT TTC]]-Tableau222[[#This Row],[MONTANT PAYÉ (FCFA)]]</f>
        <v>793000</v>
      </c>
      <c r="X113" s="67"/>
      <c r="Y113" s="67"/>
      <c r="Z113" s="67"/>
      <c r="AA113" s="67"/>
      <c r="AB113" s="67"/>
      <c r="AC113" s="67"/>
    </row>
    <row r="114" spans="1:29" ht="13.8">
      <c r="A114" s="88" t="s">
        <v>55</v>
      </c>
      <c r="B114" s="89">
        <v>45833</v>
      </c>
      <c r="C114" s="90">
        <v>45797</v>
      </c>
      <c r="D114" s="88"/>
      <c r="E114" s="88"/>
      <c r="F114" s="91"/>
      <c r="G114" s="88" t="s">
        <v>233</v>
      </c>
      <c r="H114" s="88" t="s">
        <v>17</v>
      </c>
      <c r="I114" s="88" t="s">
        <v>597</v>
      </c>
      <c r="J114" s="88" t="s">
        <v>598</v>
      </c>
      <c r="K114" s="88" t="s">
        <v>408</v>
      </c>
      <c r="L114" s="88" t="s">
        <v>381</v>
      </c>
      <c r="M114" s="88" t="s">
        <v>599</v>
      </c>
      <c r="N114" s="88" t="s">
        <v>600</v>
      </c>
      <c r="O114" s="92">
        <v>1500000</v>
      </c>
      <c r="P114" s="93">
        <v>0</v>
      </c>
      <c r="Q114" s="92">
        <f>+Tableau222[[#This Row],[MONTANT HT]]*Tableau222[[#This Row],[TAUX TVA]]</f>
        <v>0</v>
      </c>
      <c r="R114" s="92">
        <f>+Tableau222[[#This Row],[MONTANT HT]]+Tableau222[[#This Row],[MONTANT TVA]]</f>
        <v>1500000</v>
      </c>
      <c r="S114" s="92"/>
      <c r="T114" s="89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45797</v>
      </c>
      <c r="U114" s="88"/>
      <c r="V114" s="92">
        <f>505000+404000</f>
        <v>909000</v>
      </c>
      <c r="W114" s="92">
        <f>+Tableau222[[#This Row],[MONTANT TTC]]-Tableau222[[#This Row],[MONTANT PAYÉ (FCFA)]]</f>
        <v>591000</v>
      </c>
      <c r="X114" s="88"/>
      <c r="Y114" s="88"/>
      <c r="Z114" s="88"/>
      <c r="AA114" s="88"/>
      <c r="AB114" s="88"/>
      <c r="AC114" s="88"/>
    </row>
    <row r="115" spans="1:29" ht="13.8">
      <c r="A115" s="67" t="s">
        <v>52</v>
      </c>
      <c r="B115" s="71">
        <v>45833</v>
      </c>
      <c r="C115" s="71">
        <v>45800</v>
      </c>
      <c r="D115" s="67"/>
      <c r="E115" s="67"/>
      <c r="F115" s="69"/>
      <c r="G115" s="67" t="s">
        <v>233</v>
      </c>
      <c r="H115" s="67" t="s">
        <v>17</v>
      </c>
      <c r="I115" s="67" t="s">
        <v>427</v>
      </c>
      <c r="J115" s="67" t="s">
        <v>601</v>
      </c>
      <c r="K115" s="67" t="s">
        <v>408</v>
      </c>
      <c r="L115" s="67" t="s">
        <v>381</v>
      </c>
      <c r="M115" s="67" t="s">
        <v>602</v>
      </c>
      <c r="N115" s="67" t="s">
        <v>603</v>
      </c>
      <c r="O115" s="73">
        <v>484000</v>
      </c>
      <c r="P115" s="75">
        <v>0</v>
      </c>
      <c r="Q115" s="73">
        <f>+Tableau222[[#This Row],[MONTANT HT]]*Tableau222[[#This Row],[TAUX TVA]]</f>
        <v>0</v>
      </c>
      <c r="R115" s="73">
        <f>+Tableau222[[#This Row],[MONTANT HT]]+Tableau222[[#This Row],[MONTANT TVA]]</f>
        <v>484000</v>
      </c>
      <c r="S115" s="73"/>
      <c r="T115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45800</v>
      </c>
      <c r="U115" s="67"/>
      <c r="V115" s="73">
        <v>315000</v>
      </c>
      <c r="W115" s="73">
        <f>+Tableau222[[#This Row],[MONTANT TTC]]-Tableau222[[#This Row],[MONTANT PAYÉ (FCFA)]]</f>
        <v>169000</v>
      </c>
      <c r="X115" s="67"/>
      <c r="Y115" s="67"/>
      <c r="Z115" s="67"/>
      <c r="AA115" s="67"/>
      <c r="AB115" s="67"/>
      <c r="AC115" s="67"/>
    </row>
    <row r="116" spans="1:29" ht="13.8">
      <c r="A116" s="67" t="s">
        <v>52</v>
      </c>
      <c r="B116" s="71">
        <v>45833</v>
      </c>
      <c r="C116" s="72">
        <v>45782</v>
      </c>
      <c r="D116" s="67"/>
      <c r="E116" s="67"/>
      <c r="F116" s="69"/>
      <c r="G116" s="67" t="s">
        <v>233</v>
      </c>
      <c r="H116" s="67" t="s">
        <v>17</v>
      </c>
      <c r="I116" s="67" t="s">
        <v>380</v>
      </c>
      <c r="J116" s="67" t="s">
        <v>604</v>
      </c>
      <c r="K116" s="67" t="s">
        <v>408</v>
      </c>
      <c r="L116" s="67" t="s">
        <v>302</v>
      </c>
      <c r="M116" s="67" t="s">
        <v>605</v>
      </c>
      <c r="N116" s="67" t="s">
        <v>603</v>
      </c>
      <c r="O116" s="73">
        <v>160480</v>
      </c>
      <c r="P116" s="75">
        <v>0</v>
      </c>
      <c r="Q116" s="73">
        <f>+Tableau222[[#This Row],[MONTANT HT]]*Tableau222[[#This Row],[TAUX TVA]]</f>
        <v>0</v>
      </c>
      <c r="R116" s="73">
        <f>+Tableau222[[#This Row],[MONTANT HT]]+Tableau222[[#This Row],[MONTANT TVA]]</f>
        <v>160480</v>
      </c>
      <c r="S116" s="73"/>
      <c r="T116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45782</v>
      </c>
      <c r="U116" s="67"/>
      <c r="V116" s="73">
        <f>50000+50000</f>
        <v>100000</v>
      </c>
      <c r="W116" s="73">
        <f>+Tableau222[[#This Row],[MONTANT TTC]]-Tableau222[[#This Row],[MONTANT PAYÉ (FCFA)]]</f>
        <v>60480</v>
      </c>
      <c r="X116" s="67"/>
      <c r="Y116" s="67"/>
      <c r="Z116" s="67"/>
      <c r="AA116" s="67"/>
      <c r="AB116" s="67"/>
      <c r="AC116" s="67"/>
    </row>
    <row r="117" spans="1:29" ht="13.8">
      <c r="A117" s="67" t="s">
        <v>52</v>
      </c>
      <c r="B117" s="71">
        <v>45833</v>
      </c>
      <c r="C117" s="68">
        <v>45771</v>
      </c>
      <c r="D117" s="67"/>
      <c r="E117" s="67"/>
      <c r="F117" s="69"/>
      <c r="G117" s="67" t="s">
        <v>233</v>
      </c>
      <c r="H117" s="67" t="s">
        <v>17</v>
      </c>
      <c r="I117" s="67" t="s">
        <v>376</v>
      </c>
      <c r="J117" s="67" t="s">
        <v>608</v>
      </c>
      <c r="K117" s="67" t="s">
        <v>417</v>
      </c>
      <c r="L117" s="67" t="s">
        <v>377</v>
      </c>
      <c r="M117" s="67" t="s">
        <v>609</v>
      </c>
      <c r="N117" s="67" t="s">
        <v>52</v>
      </c>
      <c r="O117" s="70">
        <v>940250</v>
      </c>
      <c r="P117" s="75">
        <v>0</v>
      </c>
      <c r="Q117" s="70">
        <f>+Tableau222[[#This Row],[MONTANT HT]]*Tableau222[[#This Row],[TAUX TVA]]</f>
        <v>0</v>
      </c>
      <c r="R117" s="70">
        <f>+Tableau222[[#This Row],[MONTANT HT]]+Tableau222[[#This Row],[MONTANT TVA]]</f>
        <v>940250</v>
      </c>
      <c r="S117" s="70"/>
      <c r="T117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45771</v>
      </c>
      <c r="U117" s="67"/>
      <c r="V117" s="70">
        <v>690000</v>
      </c>
      <c r="W117" s="70">
        <f>+Tableau222[[#This Row],[MONTANT TTC]]-Tableau222[[#This Row],[MONTANT PAYÉ (FCFA)]]</f>
        <v>250250</v>
      </c>
      <c r="X117" s="67"/>
      <c r="Y117" s="67"/>
      <c r="Z117" s="67"/>
      <c r="AA117" s="67"/>
      <c r="AB117" s="67"/>
      <c r="AC117" s="67"/>
    </row>
    <row r="118" spans="1:29" ht="13.8">
      <c r="A118" s="67" t="s">
        <v>55</v>
      </c>
      <c r="B118" s="71">
        <v>45833</v>
      </c>
      <c r="C118" s="68">
        <v>45805</v>
      </c>
      <c r="D118" s="67"/>
      <c r="E118" s="67"/>
      <c r="F118" s="69"/>
      <c r="G118" s="67" t="s">
        <v>233</v>
      </c>
      <c r="H118" s="67" t="s">
        <v>17</v>
      </c>
      <c r="I118" s="67" t="s">
        <v>376</v>
      </c>
      <c r="J118" s="67"/>
      <c r="K118" s="67" t="s">
        <v>408</v>
      </c>
      <c r="L118" s="67" t="s">
        <v>299</v>
      </c>
      <c r="M118" s="67" t="s">
        <v>610</v>
      </c>
      <c r="N118" s="67" t="s">
        <v>611</v>
      </c>
      <c r="O118" s="70">
        <v>4000</v>
      </c>
      <c r="P118" s="75">
        <v>0</v>
      </c>
      <c r="Q118" s="70">
        <f>+Tableau222[[#This Row],[MONTANT HT]]*Tableau222[[#This Row],[TAUX TVA]]</f>
        <v>0</v>
      </c>
      <c r="R118" s="70">
        <f>+Tableau222[[#This Row],[MONTANT HT]]+Tableau222[[#This Row],[MONTANT TVA]]</f>
        <v>4000</v>
      </c>
      <c r="S118" s="70"/>
      <c r="T118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45805</v>
      </c>
      <c r="U118" s="67"/>
      <c r="V118" s="70"/>
      <c r="W118" s="70">
        <f>+Tableau222[[#This Row],[MONTANT TTC]]-Tableau222[[#This Row],[MONTANT PAYÉ (FCFA)]]</f>
        <v>4000</v>
      </c>
      <c r="X118" s="67"/>
      <c r="Y118" s="67"/>
      <c r="Z118" s="67"/>
      <c r="AA118" s="67"/>
      <c r="AB118" s="67"/>
      <c r="AC118" s="67"/>
    </row>
    <row r="119" spans="1:29" ht="13.8">
      <c r="A119" s="67" t="s">
        <v>52</v>
      </c>
      <c r="B119" s="71">
        <v>45833</v>
      </c>
      <c r="C119" s="72">
        <v>45821</v>
      </c>
      <c r="D119" s="67"/>
      <c r="E119" s="67"/>
      <c r="F119" s="69"/>
      <c r="G119" s="67" t="s">
        <v>233</v>
      </c>
      <c r="H119" s="67" t="s">
        <v>17</v>
      </c>
      <c r="I119" s="67" t="s">
        <v>427</v>
      </c>
      <c r="J119" s="67" t="s">
        <v>612</v>
      </c>
      <c r="K119" s="67" t="s">
        <v>408</v>
      </c>
      <c r="L119" s="67" t="s">
        <v>381</v>
      </c>
      <c r="M119" s="67" t="s">
        <v>613</v>
      </c>
      <c r="N119" s="67" t="s">
        <v>460</v>
      </c>
      <c r="O119" s="73">
        <v>98000</v>
      </c>
      <c r="P119" s="75">
        <v>0</v>
      </c>
      <c r="Q119" s="73">
        <f>+Tableau222[[#This Row],[MONTANT HT]]*Tableau222[[#This Row],[TAUX TVA]]</f>
        <v>0</v>
      </c>
      <c r="R119" s="73">
        <f>+Tableau222[[#This Row],[MONTANT HT]]+Tableau222[[#This Row],[MONTANT TVA]]</f>
        <v>98000</v>
      </c>
      <c r="S119" s="73"/>
      <c r="T119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45821</v>
      </c>
      <c r="U119" s="67"/>
      <c r="V119" s="73">
        <v>68000</v>
      </c>
      <c r="W119" s="73">
        <f>+Tableau222[[#This Row],[MONTANT TTC]]-Tableau222[[#This Row],[MONTANT PAYÉ (FCFA)]]</f>
        <v>30000</v>
      </c>
      <c r="X119" s="67"/>
      <c r="Y119" s="67"/>
      <c r="Z119" s="67"/>
      <c r="AA119" s="67"/>
      <c r="AB119" s="67"/>
      <c r="AC119" s="67"/>
    </row>
    <row r="120" spans="1:29" ht="13.8">
      <c r="A120" s="67" t="s">
        <v>52</v>
      </c>
      <c r="B120" s="71">
        <v>45833</v>
      </c>
      <c r="C120" s="68">
        <v>45798</v>
      </c>
      <c r="D120" s="71">
        <v>45827</v>
      </c>
      <c r="E120" s="67"/>
      <c r="F120" s="10" t="s">
        <v>621</v>
      </c>
      <c r="G120" s="67" t="s">
        <v>233</v>
      </c>
      <c r="H120" s="67" t="s">
        <v>17</v>
      </c>
      <c r="I120" s="67" t="s">
        <v>427</v>
      </c>
      <c r="J120" s="67" t="s">
        <v>614</v>
      </c>
      <c r="K120" s="67" t="s">
        <v>408</v>
      </c>
      <c r="L120" s="67" t="s">
        <v>381</v>
      </c>
      <c r="M120" s="67" t="s">
        <v>615</v>
      </c>
      <c r="N120" s="67" t="s">
        <v>616</v>
      </c>
      <c r="O120" s="70">
        <v>2500000</v>
      </c>
      <c r="P120" s="74">
        <v>0.18</v>
      </c>
      <c r="Q120" s="70">
        <f>+Tableau222[[#This Row],[MONTANT HT]]*Tableau222[[#This Row],[TAUX TVA]]</f>
        <v>450000</v>
      </c>
      <c r="R120" s="70">
        <f>+Tableau222[[#This Row],[MONTANT HT]]+Tableau222[[#This Row],[MONTANT TVA]]</f>
        <v>2950000</v>
      </c>
      <c r="S120" s="70"/>
      <c r="T120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45827</v>
      </c>
      <c r="U120" s="67"/>
      <c r="V120" s="70">
        <v>1250000</v>
      </c>
      <c r="W120" s="70">
        <f>+Tableau222[[#This Row],[MONTANT TTC]]-Tableau222[[#This Row],[MONTANT PAYÉ (FCFA)]]</f>
        <v>1700000</v>
      </c>
      <c r="X120" s="67"/>
      <c r="Y120" s="67"/>
      <c r="Z120" s="67"/>
      <c r="AA120" s="67"/>
      <c r="AB120" s="67"/>
      <c r="AC120" s="67"/>
    </row>
    <row r="121" spans="1:29" ht="13.8">
      <c r="A121" s="4" t="s">
        <v>50</v>
      </c>
      <c r="B121" s="71">
        <v>45833</v>
      </c>
      <c r="C121" s="64">
        <v>45225</v>
      </c>
      <c r="F121" s="10"/>
      <c r="G121" s="67" t="s">
        <v>233</v>
      </c>
      <c r="H121" s="4" t="s">
        <v>626</v>
      </c>
      <c r="I121" s="4" t="s">
        <v>329</v>
      </c>
      <c r="J121" s="4" t="s">
        <v>627</v>
      </c>
      <c r="K121" s="4" t="s">
        <v>408</v>
      </c>
      <c r="L121" s="4" t="s">
        <v>630</v>
      </c>
      <c r="M121" s="4" t="s">
        <v>631</v>
      </c>
      <c r="N121" s="4"/>
      <c r="O121" s="53">
        <v>15000000</v>
      </c>
      <c r="P121" s="78">
        <v>0</v>
      </c>
      <c r="Q121" s="53">
        <f>+Tableau222[[#This Row],[MONTANT HT]]*Tableau222[[#This Row],[TAUX TVA]]</f>
        <v>0</v>
      </c>
      <c r="R121" s="53">
        <f>+Tableau222[[#This Row],[MONTANT HT]]+Tableau222[[#This Row],[MONTANT TVA]]</f>
        <v>15000000</v>
      </c>
      <c r="S121" s="53"/>
      <c r="T121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45225</v>
      </c>
      <c r="V121" s="53">
        <f>5000000+2000000+2500000+1500000</f>
        <v>11000000</v>
      </c>
      <c r="W121" s="53">
        <f>+Tableau222[[#This Row],[MONTANT TTC]]-Tableau222[[#This Row],[MONTANT PAYÉ (FCFA)]]</f>
        <v>4000000</v>
      </c>
    </row>
    <row r="122" spans="1:29" ht="13.8">
      <c r="A122" s="4" t="s">
        <v>50</v>
      </c>
      <c r="B122" s="71">
        <v>45833</v>
      </c>
      <c r="C122" s="64">
        <v>45225</v>
      </c>
      <c r="F122" s="10"/>
      <c r="G122" s="67" t="s">
        <v>233</v>
      </c>
      <c r="H122" s="4" t="s">
        <v>626</v>
      </c>
      <c r="I122" s="4" t="s">
        <v>329</v>
      </c>
      <c r="J122" s="4" t="s">
        <v>625</v>
      </c>
      <c r="K122" s="4" t="s">
        <v>408</v>
      </c>
      <c r="L122" s="4" t="s">
        <v>630</v>
      </c>
      <c r="M122" s="4" t="s">
        <v>632</v>
      </c>
      <c r="N122" s="4"/>
      <c r="O122" s="44">
        <v>16000000</v>
      </c>
      <c r="P122" s="78">
        <v>0</v>
      </c>
      <c r="Q122" s="44">
        <f>+Tableau222[[#This Row],[MONTANT HT]]*Tableau222[[#This Row],[TAUX TVA]]</f>
        <v>0</v>
      </c>
      <c r="R122" s="44">
        <f>+Tableau222[[#This Row],[MONTANT HT]]+Tableau222[[#This Row],[MONTANT TVA]]</f>
        <v>16000000</v>
      </c>
      <c r="S122" s="44"/>
      <c r="T12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45225</v>
      </c>
      <c r="V122" s="44">
        <f>8000000+3000000</f>
        <v>11000000</v>
      </c>
      <c r="W122" s="44">
        <f>+Tableau222[[#This Row],[MONTANT TTC]]-Tableau222[[#This Row],[MONTANT PAYÉ (FCFA)]]</f>
        <v>5000000</v>
      </c>
    </row>
    <row r="123" spans="1:29" ht="13.8">
      <c r="A123" s="4" t="s">
        <v>50</v>
      </c>
      <c r="B123" s="71">
        <v>45833</v>
      </c>
      <c r="C123" s="47">
        <v>45049</v>
      </c>
      <c r="F123" s="10"/>
      <c r="G123" s="67" t="s">
        <v>233</v>
      </c>
      <c r="H123" s="4" t="s">
        <v>17</v>
      </c>
      <c r="I123" s="4" t="s">
        <v>329</v>
      </c>
      <c r="J123" s="4" t="s">
        <v>733</v>
      </c>
      <c r="K123" s="4" t="s">
        <v>408</v>
      </c>
      <c r="L123" s="4" t="s">
        <v>381</v>
      </c>
      <c r="M123" s="4" t="s">
        <v>633</v>
      </c>
      <c r="N123" s="4"/>
      <c r="O123" s="44">
        <v>4180000</v>
      </c>
      <c r="P123" s="78">
        <v>0</v>
      </c>
      <c r="Q123" s="44">
        <f>+Tableau222[[#This Row],[MONTANT HT]]*Tableau222[[#This Row],[TAUX TVA]]</f>
        <v>0</v>
      </c>
      <c r="R123" s="44">
        <f>+Tableau222[[#This Row],[MONTANT HT]]+Tableau222[[#This Row],[MONTANT TVA]]</f>
        <v>4180000</v>
      </c>
      <c r="S123" s="44"/>
      <c r="T123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45049</v>
      </c>
      <c r="V123" s="44"/>
      <c r="W123" s="44">
        <f>+Tableau222[[#This Row],[MONTANT TTC]]-Tableau222[[#This Row],[MONTANT PAYÉ (FCFA)]]</f>
        <v>4180000</v>
      </c>
    </row>
    <row r="124" spans="1:29" ht="13.8">
      <c r="A124" s="4" t="s">
        <v>50</v>
      </c>
      <c r="B124" s="71">
        <v>45833</v>
      </c>
      <c r="C124" s="47">
        <v>45049</v>
      </c>
      <c r="F124" s="10"/>
      <c r="G124" s="67" t="s">
        <v>233</v>
      </c>
      <c r="H124" s="4" t="s">
        <v>17</v>
      </c>
      <c r="I124" s="4" t="s">
        <v>329</v>
      </c>
      <c r="J124" s="4" t="s">
        <v>634</v>
      </c>
      <c r="K124" s="4" t="s">
        <v>408</v>
      </c>
      <c r="L124" s="4" t="s">
        <v>381</v>
      </c>
      <c r="M124" s="4" t="s">
        <v>635</v>
      </c>
      <c r="N124" s="4"/>
      <c r="O124" s="53">
        <v>17000000</v>
      </c>
      <c r="P124" s="78">
        <v>0</v>
      </c>
      <c r="Q124" s="53">
        <f>+Tableau222[[#This Row],[MONTANT HT]]*Tableau222[[#This Row],[TAUX TVA]]</f>
        <v>0</v>
      </c>
      <c r="R124" s="53">
        <f>+Tableau222[[#This Row],[MONTANT HT]]+Tableau222[[#This Row],[MONTANT TVA]]</f>
        <v>17000000</v>
      </c>
      <c r="S124" s="53"/>
      <c r="T12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45049</v>
      </c>
      <c r="V124" s="53">
        <v>2000000</v>
      </c>
      <c r="W124" s="53">
        <f>+Tableau222[[#This Row],[MONTANT TTC]]-Tableau222[[#This Row],[MONTANT PAYÉ (FCFA)]]</f>
        <v>15000000</v>
      </c>
    </row>
    <row r="125" spans="1:29" ht="13.8">
      <c r="A125" s="88" t="s">
        <v>50</v>
      </c>
      <c r="B125" s="89">
        <v>45833</v>
      </c>
      <c r="C125" s="90">
        <v>45749</v>
      </c>
      <c r="D125" s="89">
        <v>45751</v>
      </c>
      <c r="E125" s="88"/>
      <c r="F125" s="91"/>
      <c r="G125" s="88" t="s">
        <v>233</v>
      </c>
      <c r="H125" s="88" t="s">
        <v>17</v>
      </c>
      <c r="I125" s="88" t="s">
        <v>301</v>
      </c>
      <c r="J125" s="88" t="s">
        <v>638</v>
      </c>
      <c r="K125" s="88" t="s">
        <v>408</v>
      </c>
      <c r="L125" s="88" t="s">
        <v>630</v>
      </c>
      <c r="M125" s="88" t="s">
        <v>640</v>
      </c>
      <c r="N125" s="88" t="s">
        <v>641</v>
      </c>
      <c r="O125" s="92">
        <v>600000</v>
      </c>
      <c r="P125" s="93">
        <v>0</v>
      </c>
      <c r="Q125" s="92">
        <f>+Tableau222[[#This Row],[MONTANT HT]]*Tableau222[[#This Row],[TAUX TVA]]</f>
        <v>0</v>
      </c>
      <c r="R125" s="92">
        <f>+Tableau222[[#This Row],[MONTANT HT]]+Tableau222[[#This Row],[MONTANT TVA]]</f>
        <v>600000</v>
      </c>
      <c r="S125" s="92"/>
      <c r="T125" s="89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45751</v>
      </c>
      <c r="U125" s="88"/>
      <c r="V125" s="92">
        <v>500000</v>
      </c>
      <c r="W125" s="92">
        <f>+Tableau222[[#This Row],[MONTANT TTC]]-Tableau222[[#This Row],[MONTANT PAYÉ (FCFA)]]</f>
        <v>100000</v>
      </c>
      <c r="X125" s="88"/>
      <c r="Y125" s="88"/>
      <c r="Z125" s="88"/>
      <c r="AA125" s="88"/>
      <c r="AB125" s="88"/>
      <c r="AC125" s="88"/>
    </row>
    <row r="126" spans="1:29" ht="13.8">
      <c r="A126" s="97" t="s">
        <v>55</v>
      </c>
      <c r="B126" s="98">
        <v>45839</v>
      </c>
      <c r="C126" s="98">
        <v>45839</v>
      </c>
      <c r="D126" s="98">
        <v>45828</v>
      </c>
      <c r="E126" s="97"/>
      <c r="F126" s="99" t="s">
        <v>642</v>
      </c>
      <c r="G126" s="97" t="s">
        <v>233</v>
      </c>
      <c r="H126" s="97" t="s">
        <v>17</v>
      </c>
      <c r="I126" s="97" t="s">
        <v>643</v>
      </c>
      <c r="J126" s="97" t="s">
        <v>643</v>
      </c>
      <c r="K126" s="97" t="s">
        <v>408</v>
      </c>
      <c r="L126" s="97" t="s">
        <v>381</v>
      </c>
      <c r="M126" s="97" t="s">
        <v>644</v>
      </c>
      <c r="N126" s="97" t="s">
        <v>307</v>
      </c>
      <c r="O126" s="100">
        <v>300000</v>
      </c>
      <c r="P126" s="101">
        <v>0</v>
      </c>
      <c r="Q126" s="100">
        <f>+Tableau222[[#This Row],[MONTANT HT]]*Tableau222[[#This Row],[TAUX TVA]]</f>
        <v>0</v>
      </c>
      <c r="R126" s="100">
        <f>+Tableau222[[#This Row],[MONTANT HT]]+Tableau222[[#This Row],[MONTANT TVA]]</f>
        <v>300000</v>
      </c>
      <c r="S126" s="100"/>
      <c r="T126" s="9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45828</v>
      </c>
      <c r="U126" s="97"/>
      <c r="V126" s="100"/>
      <c r="W126" s="100">
        <f>+Tableau222[[#This Row],[MONTANT TTC]]-Tableau222[[#This Row],[MONTANT PAYÉ (FCFA)]]</f>
        <v>300000</v>
      </c>
      <c r="X126" s="97"/>
      <c r="Y126" s="97"/>
      <c r="Z126" s="97"/>
      <c r="AA126" s="97"/>
      <c r="AB126" s="97"/>
      <c r="AC126" s="97"/>
    </row>
    <row r="127" spans="1:29" ht="13.8">
      <c r="A127" s="97" t="s">
        <v>50</v>
      </c>
      <c r="B127" s="98">
        <v>45839</v>
      </c>
      <c r="C127" s="98">
        <v>45839</v>
      </c>
      <c r="D127" s="98">
        <v>45828</v>
      </c>
      <c r="E127" s="97"/>
      <c r="F127" s="99" t="s">
        <v>645</v>
      </c>
      <c r="G127" s="97" t="s">
        <v>233</v>
      </c>
      <c r="H127" s="97" t="s">
        <v>17</v>
      </c>
      <c r="I127" s="97" t="s">
        <v>643</v>
      </c>
      <c r="J127" s="97" t="s">
        <v>643</v>
      </c>
      <c r="K127" s="97" t="s">
        <v>408</v>
      </c>
      <c r="L127" s="97" t="s">
        <v>381</v>
      </c>
      <c r="M127" s="97" t="s">
        <v>646</v>
      </c>
      <c r="N127" s="97" t="s">
        <v>647</v>
      </c>
      <c r="O127" s="100">
        <v>300000</v>
      </c>
      <c r="P127" s="101">
        <v>0</v>
      </c>
      <c r="Q127" s="102">
        <f>+Tableau222[[#This Row],[MONTANT HT]]*Tableau222[[#This Row],[TAUX TVA]]</f>
        <v>0</v>
      </c>
      <c r="R127" s="102">
        <f>+Tableau222[[#This Row],[MONTANT HT]]+Tableau222[[#This Row],[MONTANT TVA]]</f>
        <v>300000</v>
      </c>
      <c r="S127" s="102"/>
      <c r="T127" s="98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45828</v>
      </c>
      <c r="U127" s="97"/>
      <c r="V127" s="102"/>
      <c r="W127" s="102">
        <f>+Tableau222[[#This Row],[MONTANT TTC]]-Tableau222[[#This Row],[MONTANT PAYÉ (FCFA)]]</f>
        <v>300000</v>
      </c>
      <c r="X127" s="97"/>
      <c r="Y127" s="97"/>
      <c r="Z127" s="97"/>
      <c r="AA127" s="97"/>
      <c r="AB127" s="97"/>
      <c r="AC127" s="97"/>
    </row>
    <row r="128" spans="1:29" ht="13.8">
      <c r="A128" s="4" t="s">
        <v>52</v>
      </c>
      <c r="B128" s="43">
        <v>45839</v>
      </c>
      <c r="C128" s="47">
        <v>45836</v>
      </c>
      <c r="F128" s="10"/>
      <c r="G128" s="67" t="s">
        <v>233</v>
      </c>
      <c r="H128" s="4" t="s">
        <v>17</v>
      </c>
      <c r="I128" s="4" t="s">
        <v>427</v>
      </c>
      <c r="J128" s="4" t="s">
        <v>648</v>
      </c>
      <c r="K128" s="4" t="s">
        <v>408</v>
      </c>
      <c r="L128" s="4" t="s">
        <v>381</v>
      </c>
      <c r="M128" s="4" t="s">
        <v>649</v>
      </c>
      <c r="N128" s="4" t="s">
        <v>603</v>
      </c>
      <c r="O128" s="44">
        <v>404000</v>
      </c>
      <c r="P128" s="78">
        <v>0</v>
      </c>
      <c r="Q128" s="44">
        <f>+Tableau222[[#This Row],[MONTANT HT]]*Tableau222[[#This Row],[TAUX TVA]]</f>
        <v>0</v>
      </c>
      <c r="R128" s="44">
        <f>+Tableau222[[#This Row],[MONTANT HT]]+Tableau222[[#This Row],[MONTANT TVA]]</f>
        <v>404000</v>
      </c>
      <c r="S128" s="44"/>
      <c r="T12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45836</v>
      </c>
      <c r="V128" s="44">
        <v>252500</v>
      </c>
      <c r="W128" s="44">
        <f>+Tableau222[[#This Row],[MONTANT TTC]]-Tableau222[[#This Row],[MONTANT PAYÉ (FCFA)]]</f>
        <v>151500</v>
      </c>
    </row>
    <row r="129" spans="1:29" ht="13.8">
      <c r="A129" s="67" t="s">
        <v>55</v>
      </c>
      <c r="B129" s="43">
        <v>45839</v>
      </c>
      <c r="C129" s="47">
        <v>45836</v>
      </c>
      <c r="D129" s="67"/>
      <c r="E129" s="67"/>
      <c r="F129" s="69"/>
      <c r="G129" s="67" t="s">
        <v>233</v>
      </c>
      <c r="H129" s="4" t="s">
        <v>17</v>
      </c>
      <c r="I129" s="67" t="s">
        <v>597</v>
      </c>
      <c r="J129" s="4" t="s">
        <v>723</v>
      </c>
      <c r="K129" s="67" t="s">
        <v>408</v>
      </c>
      <c r="L129" s="67" t="s">
        <v>302</v>
      </c>
      <c r="M129" s="67" t="s">
        <v>666</v>
      </c>
      <c r="N129" s="67" t="s">
        <v>667</v>
      </c>
      <c r="O129" s="73">
        <v>1200000</v>
      </c>
      <c r="P129" s="78">
        <v>0</v>
      </c>
      <c r="Q129" s="73">
        <f>+Tableau222[[#This Row],[MONTANT HT]]*Tableau222[[#This Row],[TAUX TVA]]</f>
        <v>0</v>
      </c>
      <c r="R129" s="73">
        <f>+Tableau222[[#This Row],[MONTANT HT]]+Tableau222[[#This Row],[MONTANT TVA]]</f>
        <v>1200000</v>
      </c>
      <c r="S129" s="73"/>
      <c r="T129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45836</v>
      </c>
      <c r="U129" s="67"/>
      <c r="V129" s="73">
        <v>300000</v>
      </c>
      <c r="W129" s="73">
        <f>+Tableau222[[#This Row],[MONTANT TTC]]-Tableau222[[#This Row],[MONTANT PAYÉ (FCFA)]]</f>
        <v>900000</v>
      </c>
      <c r="X129" s="67"/>
      <c r="Y129" s="67"/>
      <c r="Z129" s="67"/>
      <c r="AA129" s="67"/>
      <c r="AB129" s="67"/>
      <c r="AC129" s="67"/>
    </row>
    <row r="130" spans="1:29" ht="13.8">
      <c r="A130" s="4" t="s">
        <v>50</v>
      </c>
      <c r="B130" s="43">
        <v>45839</v>
      </c>
      <c r="C130" s="43">
        <v>45684</v>
      </c>
      <c r="D130" s="43">
        <v>45684</v>
      </c>
      <c r="F130" s="10" t="s">
        <v>676</v>
      </c>
      <c r="G130" s="67" t="s">
        <v>233</v>
      </c>
      <c r="H130" s="4" t="s">
        <v>17</v>
      </c>
      <c r="J130" s="4" t="s">
        <v>672</v>
      </c>
      <c r="K130" s="67" t="s">
        <v>408</v>
      </c>
      <c r="L130" s="4" t="s">
        <v>381</v>
      </c>
      <c r="M130" s="4" t="s">
        <v>674</v>
      </c>
      <c r="N130" s="4" t="s">
        <v>675</v>
      </c>
      <c r="O130" s="53">
        <v>4000000</v>
      </c>
      <c r="P130" s="78">
        <v>0</v>
      </c>
      <c r="Q130" s="53">
        <f>+Tableau222[[#This Row],[MONTANT HT]]*Tableau222[[#This Row],[TAUX TVA]]</f>
        <v>0</v>
      </c>
      <c r="R130" s="53">
        <f>+Tableau222[[#This Row],[MONTANT HT]]+Tableau222[[#This Row],[MONTANT TVA]]</f>
        <v>4000000</v>
      </c>
      <c r="S130" s="53"/>
      <c r="T13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45684</v>
      </c>
      <c r="V130" s="53">
        <v>1000000</v>
      </c>
      <c r="W130" s="53">
        <f>+Tableau222[[#This Row],[MONTANT TTC]]-Tableau222[[#This Row],[MONTANT PAYÉ (FCFA)]]</f>
        <v>3000000</v>
      </c>
    </row>
    <row r="131" spans="1:29" ht="13.8">
      <c r="A131" s="88" t="s">
        <v>50</v>
      </c>
      <c r="B131" s="89">
        <v>45839</v>
      </c>
      <c r="C131" s="90">
        <v>45682</v>
      </c>
      <c r="D131" s="90">
        <v>45682</v>
      </c>
      <c r="E131" s="88"/>
      <c r="F131" s="91" t="s">
        <v>681</v>
      </c>
      <c r="G131" s="88" t="s">
        <v>233</v>
      </c>
      <c r="H131" s="88" t="s">
        <v>17</v>
      </c>
      <c r="I131" s="88" t="s">
        <v>329</v>
      </c>
      <c r="J131" s="88" t="s">
        <v>680</v>
      </c>
      <c r="K131" s="88" t="s">
        <v>408</v>
      </c>
      <c r="L131" s="88" t="s">
        <v>381</v>
      </c>
      <c r="M131" s="88" t="s">
        <v>682</v>
      </c>
      <c r="N131" s="88" t="s">
        <v>675</v>
      </c>
      <c r="O131" s="92">
        <v>1800000</v>
      </c>
      <c r="P131" s="93">
        <v>0</v>
      </c>
      <c r="Q131" s="92">
        <f>+Tableau222[[#This Row],[MONTANT HT]]*Tableau222[[#This Row],[TAUX TVA]]</f>
        <v>0</v>
      </c>
      <c r="R131" s="92">
        <f>+Tableau222[[#This Row],[MONTANT HT]]+Tableau222[[#This Row],[MONTANT TVA]]</f>
        <v>1800000</v>
      </c>
      <c r="S131" s="92"/>
      <c r="T131" s="89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45682</v>
      </c>
      <c r="U131" s="88"/>
      <c r="V131" s="92">
        <f>900000+400000</f>
        <v>1300000</v>
      </c>
      <c r="W131" s="92">
        <f>+Tableau222[[#This Row],[MONTANT TTC]]-Tableau222[[#This Row],[MONTANT PAYÉ (FCFA)]]</f>
        <v>500000</v>
      </c>
      <c r="X131" s="88"/>
      <c r="Y131" s="88"/>
      <c r="Z131" s="88"/>
      <c r="AA131" s="88"/>
      <c r="AB131" s="88"/>
      <c r="AC131" s="88"/>
    </row>
    <row r="132" spans="1:29" ht="13.8">
      <c r="A132" s="4" t="s">
        <v>52</v>
      </c>
      <c r="B132" s="43">
        <v>45839</v>
      </c>
      <c r="C132" s="47">
        <v>45541</v>
      </c>
      <c r="F132" s="10"/>
      <c r="G132" s="67" t="s">
        <v>233</v>
      </c>
      <c r="H132" s="4" t="s">
        <v>17</v>
      </c>
      <c r="I132" s="4" t="s">
        <v>427</v>
      </c>
      <c r="J132" s="4" t="s">
        <v>733</v>
      </c>
      <c r="K132" s="4" t="s">
        <v>408</v>
      </c>
      <c r="L132" s="4" t="s">
        <v>381</v>
      </c>
      <c r="M132" s="4" t="s">
        <v>683</v>
      </c>
      <c r="N132" s="4" t="s">
        <v>684</v>
      </c>
      <c r="O132" s="44">
        <v>1510000</v>
      </c>
      <c r="P132" s="78">
        <v>0</v>
      </c>
      <c r="Q132" s="44">
        <f>+Tableau222[[#This Row],[MONTANT HT]]*Tableau222[[#This Row],[TAUX TVA]]</f>
        <v>0</v>
      </c>
      <c r="R132" s="44">
        <f>+Tableau222[[#This Row],[MONTANT HT]]+Tableau222[[#This Row],[MONTANT TVA]]</f>
        <v>1510000</v>
      </c>
      <c r="S132" s="44"/>
      <c r="T13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45541</v>
      </c>
      <c r="V132" s="44">
        <f>510000+675000</f>
        <v>1185000</v>
      </c>
      <c r="W132" s="44">
        <f>+Tableau222[[#This Row],[MONTANT TTC]]-Tableau222[[#This Row],[MONTANT PAYÉ (FCFA)]]</f>
        <v>325000</v>
      </c>
    </row>
    <row r="133" spans="1:29" ht="13.8">
      <c r="A133" s="88" t="s">
        <v>50</v>
      </c>
      <c r="B133" s="89">
        <v>45839</v>
      </c>
      <c r="C133" s="89">
        <v>45812</v>
      </c>
      <c r="D133" s="89">
        <v>45812</v>
      </c>
      <c r="E133" s="88" t="s">
        <v>687</v>
      </c>
      <c r="F133" s="91" t="s">
        <v>686</v>
      </c>
      <c r="G133" s="88" t="s">
        <v>233</v>
      </c>
      <c r="H133" s="88" t="s">
        <v>17</v>
      </c>
      <c r="I133" s="88" t="s">
        <v>376</v>
      </c>
      <c r="J133" s="88" t="s">
        <v>638</v>
      </c>
      <c r="K133" s="88" t="s">
        <v>408</v>
      </c>
      <c r="L133" s="88" t="s">
        <v>630</v>
      </c>
      <c r="M133" s="88" t="s">
        <v>688</v>
      </c>
      <c r="N133" s="88" t="s">
        <v>675</v>
      </c>
      <c r="O133" s="94">
        <v>300000</v>
      </c>
      <c r="P133" s="93">
        <v>0</v>
      </c>
      <c r="Q133" s="94">
        <f>+Tableau222[[#This Row],[MONTANT HT]]*Tableau222[[#This Row],[TAUX TVA]]</f>
        <v>0</v>
      </c>
      <c r="R133" s="94">
        <f>+Tableau222[[#This Row],[MONTANT HT]]+Tableau222[[#This Row],[MONTANT TVA]]</f>
        <v>300000</v>
      </c>
      <c r="S133" s="94"/>
      <c r="T133" s="89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45812</v>
      </c>
      <c r="U133" s="88"/>
      <c r="V133" s="94">
        <v>0</v>
      </c>
      <c r="W133" s="94">
        <f>+Tableau222[[#This Row],[MONTANT TTC]]-Tableau222[[#This Row],[MONTANT PAYÉ (FCFA)]]</f>
        <v>300000</v>
      </c>
      <c r="X133" s="95"/>
      <c r="Y133" s="88"/>
      <c r="Z133" s="88"/>
      <c r="AA133" s="88"/>
      <c r="AB133" s="88"/>
      <c r="AC133" s="88"/>
    </row>
    <row r="134" spans="1:29" ht="13.8">
      <c r="A134" s="4" t="s">
        <v>51</v>
      </c>
      <c r="B134" s="43">
        <v>45839</v>
      </c>
      <c r="C134" s="64">
        <v>45581</v>
      </c>
      <c r="F134" s="10"/>
      <c r="G134" s="67" t="s">
        <v>233</v>
      </c>
      <c r="H134" s="4" t="s">
        <v>17</v>
      </c>
      <c r="I134" s="4" t="s">
        <v>329</v>
      </c>
      <c r="J134" s="4" t="s">
        <v>689</v>
      </c>
      <c r="K134" s="4" t="s">
        <v>408</v>
      </c>
      <c r="L134" s="4" t="s">
        <v>630</v>
      </c>
      <c r="M134" s="4" t="s">
        <v>717</v>
      </c>
      <c r="N134" s="4" t="s">
        <v>702</v>
      </c>
      <c r="O134" s="53">
        <v>17796610</v>
      </c>
      <c r="P134" s="78">
        <v>0.18</v>
      </c>
      <c r="Q134" s="53">
        <f>+Tableau222[[#This Row],[MONTANT HT]]*Tableau222[[#This Row],[TAUX TVA]]</f>
        <v>3203389.8</v>
      </c>
      <c r="R134" s="53">
        <f>+Tableau222[[#This Row],[MONTANT HT]]+Tableau222[[#This Row],[MONTANT TVA]]</f>
        <v>20999999.800000001</v>
      </c>
      <c r="S134" s="53"/>
      <c r="T13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45581</v>
      </c>
      <c r="V134" s="53">
        <f>1000000+3000000</f>
        <v>4000000</v>
      </c>
      <c r="W134" s="53">
        <f>+Tableau222[[#This Row],[MONTANT TTC]]-Tableau222[[#This Row],[MONTANT PAYÉ (FCFA)]]</f>
        <v>16999999.800000001</v>
      </c>
      <c r="X134" s="79"/>
    </row>
    <row r="135" spans="1:29" ht="13.8">
      <c r="A135" s="4" t="s">
        <v>50</v>
      </c>
      <c r="B135" s="43">
        <v>45839</v>
      </c>
      <c r="C135" s="64"/>
      <c r="D135" s="43">
        <v>45652</v>
      </c>
      <c r="F135" s="10" t="s">
        <v>706</v>
      </c>
      <c r="G135" s="67" t="s">
        <v>233</v>
      </c>
      <c r="H135" s="4" t="s">
        <v>17</v>
      </c>
      <c r="J135" s="4" t="s">
        <v>707</v>
      </c>
      <c r="K135" s="4" t="s">
        <v>408</v>
      </c>
      <c r="L135" s="4" t="s">
        <v>381</v>
      </c>
      <c r="M135" s="4" t="s">
        <v>712</v>
      </c>
      <c r="N135" s="4" t="s">
        <v>55</v>
      </c>
      <c r="O135" s="53">
        <v>1825000</v>
      </c>
      <c r="P135" s="78">
        <v>0</v>
      </c>
      <c r="Q135" s="53">
        <f>+Tableau222[[#This Row],[MONTANT HT]]*Tableau222[[#This Row],[TAUX TVA]]</f>
        <v>0</v>
      </c>
      <c r="R135" s="53">
        <f>+Tableau222[[#This Row],[MONTANT HT]]+Tableau222[[#This Row],[MONTANT TVA]]</f>
        <v>1825000</v>
      </c>
      <c r="S135" s="53"/>
      <c r="T135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45652</v>
      </c>
      <c r="V135" s="53">
        <v>1825000</v>
      </c>
      <c r="W135" s="53">
        <f>+Tableau222[[#This Row],[MONTANT TTC]]-Tableau222[[#This Row],[MONTANT PAYÉ (FCFA)]]</f>
        <v>0</v>
      </c>
      <c r="X135" s="79"/>
    </row>
    <row r="136" spans="1:29" ht="13.8">
      <c r="A136" s="4" t="s">
        <v>55</v>
      </c>
      <c r="B136" s="43">
        <v>45839</v>
      </c>
      <c r="C136" s="43">
        <v>45839</v>
      </c>
      <c r="F136" s="10"/>
      <c r="G136" s="67" t="s">
        <v>233</v>
      </c>
      <c r="H136" s="4" t="s">
        <v>17</v>
      </c>
      <c r="J136" s="4" t="s">
        <v>711</v>
      </c>
      <c r="K136" s="4" t="s">
        <v>408</v>
      </c>
      <c r="L136" s="4" t="s">
        <v>381</v>
      </c>
      <c r="M136" s="4" t="s">
        <v>713</v>
      </c>
      <c r="N136" s="4" t="s">
        <v>55</v>
      </c>
      <c r="O136" s="53">
        <v>700000</v>
      </c>
      <c r="P136" s="78">
        <v>0</v>
      </c>
      <c r="Q136" s="53">
        <f>+Tableau222[[#This Row],[MONTANT HT]]*Tableau222[[#This Row],[TAUX TVA]]</f>
        <v>0</v>
      </c>
      <c r="R136" s="53">
        <f>+Tableau222[[#This Row],[MONTANT HT]]+Tableau222[[#This Row],[MONTANT TVA]]</f>
        <v>700000</v>
      </c>
      <c r="S136" s="53"/>
      <c r="T136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45839</v>
      </c>
      <c r="V136" s="53"/>
      <c r="W136" s="53">
        <f>+Tableau222[[#This Row],[MONTANT TTC]]-Tableau222[[#This Row],[MONTANT PAYÉ (FCFA)]]</f>
        <v>700000</v>
      </c>
      <c r="X136" s="79"/>
    </row>
    <row r="137" spans="1:29" ht="13.8">
      <c r="A137" s="4" t="s">
        <v>55</v>
      </c>
      <c r="B137" s="43">
        <v>45839</v>
      </c>
      <c r="C137" s="64">
        <v>45789</v>
      </c>
      <c r="F137" s="10"/>
      <c r="G137" s="67" t="s">
        <v>233</v>
      </c>
      <c r="H137" s="4" t="s">
        <v>17</v>
      </c>
      <c r="J137" s="4" t="s">
        <v>714</v>
      </c>
      <c r="K137" s="4" t="s">
        <v>408</v>
      </c>
      <c r="L137" s="4" t="s">
        <v>381</v>
      </c>
      <c r="M137" s="4" t="s">
        <v>715</v>
      </c>
      <c r="N137" s="4" t="s">
        <v>55</v>
      </c>
      <c r="O137" s="53">
        <v>540000</v>
      </c>
      <c r="P137" s="78">
        <v>0</v>
      </c>
      <c r="Q137" s="53">
        <f>+Tableau222[[#This Row],[MONTANT HT]]*Tableau222[[#This Row],[TAUX TVA]]</f>
        <v>0</v>
      </c>
      <c r="R137" s="53">
        <f>+Tableau222[[#This Row],[MONTANT HT]]+Tableau222[[#This Row],[MONTANT TVA]]</f>
        <v>540000</v>
      </c>
      <c r="S137" s="53"/>
      <c r="T137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45789</v>
      </c>
      <c r="V137" s="53"/>
      <c r="W137" s="53">
        <f>+Tableau222[[#This Row],[MONTANT TTC]]-Tableau222[[#This Row],[MONTANT PAYÉ (FCFA)]]</f>
        <v>540000</v>
      </c>
      <c r="X137" s="79"/>
    </row>
    <row r="138" spans="1:29" ht="13.8">
      <c r="A138" s="4" t="s">
        <v>55</v>
      </c>
      <c r="B138" s="43">
        <v>45839</v>
      </c>
      <c r="C138" s="64">
        <v>45833</v>
      </c>
      <c r="F138" s="10"/>
      <c r="G138" s="67" t="s">
        <v>233</v>
      </c>
      <c r="H138" s="4" t="s">
        <v>17</v>
      </c>
      <c r="J138" s="4" t="s">
        <v>716</v>
      </c>
      <c r="K138" s="4" t="s">
        <v>408</v>
      </c>
      <c r="L138" s="4" t="s">
        <v>302</v>
      </c>
      <c r="M138" s="4" t="s">
        <v>718</v>
      </c>
      <c r="N138" s="4" t="s">
        <v>55</v>
      </c>
      <c r="O138" s="53">
        <v>420000</v>
      </c>
      <c r="P138" s="78">
        <v>0</v>
      </c>
      <c r="Q138" s="53">
        <f>+Tableau222[[#This Row],[MONTANT HT]]*Tableau222[[#This Row],[TAUX TVA]]</f>
        <v>0</v>
      </c>
      <c r="R138" s="53">
        <f>+Tableau222[[#This Row],[MONTANT HT]]+Tableau222[[#This Row],[MONTANT TVA]]</f>
        <v>420000</v>
      </c>
      <c r="S138" s="53"/>
      <c r="T13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V138" s="53"/>
      <c r="W138" s="53">
        <f>+Tableau222[[#This Row],[MONTANT TTC]]-Tableau222[[#This Row],[MONTANT PAYÉ (FCFA)]]</f>
        <v>420000</v>
      </c>
      <c r="X138" s="79"/>
    </row>
    <row r="139" spans="1:29" ht="13.8">
      <c r="A139" s="4" t="s">
        <v>55</v>
      </c>
      <c r="B139" s="43">
        <v>45839</v>
      </c>
      <c r="C139" s="64">
        <v>45833</v>
      </c>
      <c r="F139" s="10"/>
      <c r="G139" s="67" t="s">
        <v>233</v>
      </c>
      <c r="H139" s="4" t="s">
        <v>17</v>
      </c>
      <c r="J139" s="4" t="s">
        <v>716</v>
      </c>
      <c r="K139" s="4" t="s">
        <v>408</v>
      </c>
      <c r="L139" s="4" t="s">
        <v>302</v>
      </c>
      <c r="M139" s="4" t="s">
        <v>719</v>
      </c>
      <c r="N139" s="4" t="s">
        <v>55</v>
      </c>
      <c r="O139" s="53">
        <v>840000</v>
      </c>
      <c r="P139" s="78">
        <v>0</v>
      </c>
      <c r="Q139" s="53">
        <f>+Tableau222[[#This Row],[MONTANT HT]]*Tableau222[[#This Row],[TAUX TVA]]</f>
        <v>0</v>
      </c>
      <c r="R139" s="53">
        <f>+Tableau222[[#This Row],[MONTANT HT]]+Tableau222[[#This Row],[MONTANT TVA]]</f>
        <v>840000</v>
      </c>
      <c r="S139" s="53"/>
      <c r="T139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V139" s="53"/>
      <c r="W139" s="53">
        <f>+Tableau222[[#This Row],[MONTANT TTC]]-Tableau222[[#This Row],[MONTANT PAYÉ (FCFA)]]</f>
        <v>840000</v>
      </c>
    </row>
    <row r="140" spans="1:29" ht="13.8">
      <c r="A140" s="4" t="s">
        <v>55</v>
      </c>
      <c r="B140" s="43">
        <v>45839</v>
      </c>
      <c r="C140" s="64">
        <v>45833</v>
      </c>
      <c r="F140" s="10"/>
      <c r="G140" s="67" t="s">
        <v>233</v>
      </c>
      <c r="H140" s="4" t="s">
        <v>17</v>
      </c>
      <c r="J140" s="4" t="s">
        <v>716</v>
      </c>
      <c r="K140" s="4" t="s">
        <v>408</v>
      </c>
      <c r="L140" s="4" t="s">
        <v>381</v>
      </c>
      <c r="M140" s="4" t="s">
        <v>720</v>
      </c>
      <c r="N140" s="4" t="s">
        <v>55</v>
      </c>
      <c r="O140" s="44">
        <v>600000</v>
      </c>
      <c r="P140" s="78">
        <v>0</v>
      </c>
      <c r="Q140" s="44">
        <f>+Tableau222[[#This Row],[MONTANT HT]]*Tableau222[[#This Row],[TAUX TVA]]</f>
        <v>0</v>
      </c>
      <c r="R140" s="44">
        <f>+Tableau222[[#This Row],[MONTANT HT]]+Tableau222[[#This Row],[MONTANT TVA]]</f>
        <v>600000</v>
      </c>
      <c r="S140" s="44"/>
      <c r="T14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V140" s="44"/>
      <c r="W140" s="44">
        <f>+Tableau222[[#This Row],[MONTANT TTC]]-Tableau222[[#This Row],[MONTANT PAYÉ (FCFA)]]</f>
        <v>600000</v>
      </c>
    </row>
    <row r="141" spans="1:29" ht="13.8">
      <c r="A141" s="88" t="s">
        <v>55</v>
      </c>
      <c r="B141" s="89">
        <v>45839</v>
      </c>
      <c r="C141" s="96">
        <v>45833</v>
      </c>
      <c r="D141" s="88"/>
      <c r="E141" s="88"/>
      <c r="F141" s="91"/>
      <c r="G141" s="88" t="s">
        <v>233</v>
      </c>
      <c r="H141" s="88" t="s">
        <v>17</v>
      </c>
      <c r="I141" s="88" t="s">
        <v>597</v>
      </c>
      <c r="J141" s="88" t="s">
        <v>721</v>
      </c>
      <c r="K141" s="88" t="s">
        <v>408</v>
      </c>
      <c r="L141" s="88" t="s">
        <v>302</v>
      </c>
      <c r="M141" s="88" t="s">
        <v>722</v>
      </c>
      <c r="N141" s="88" t="s">
        <v>55</v>
      </c>
      <c r="O141" s="92">
        <v>1003000</v>
      </c>
      <c r="P141" s="93">
        <v>0</v>
      </c>
      <c r="Q141" s="92">
        <f>+Tableau222[[#This Row],[MONTANT HT]]*Tableau222[[#This Row],[TAUX TVA]]</f>
        <v>0</v>
      </c>
      <c r="R141" s="92">
        <f>+Tableau222[[#This Row],[MONTANT HT]]+Tableau222[[#This Row],[MONTANT TVA]]</f>
        <v>1003000</v>
      </c>
      <c r="S141" s="92"/>
      <c r="T141" s="89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U141" s="88"/>
      <c r="V141" s="92"/>
      <c r="W141" s="92">
        <f>+Tableau222[[#This Row],[MONTANT TTC]]-Tableau222[[#This Row],[MONTANT PAYÉ (FCFA)]]</f>
        <v>1003000</v>
      </c>
      <c r="X141" s="88"/>
      <c r="Y141" s="88"/>
      <c r="Z141" s="88"/>
      <c r="AA141" s="88"/>
      <c r="AB141" s="88"/>
      <c r="AC141" s="88"/>
    </row>
    <row r="142" spans="1:29" ht="13.8">
      <c r="A142" s="4" t="s">
        <v>55</v>
      </c>
      <c r="B142" s="43">
        <v>45839</v>
      </c>
      <c r="C142" s="64">
        <v>45833</v>
      </c>
      <c r="F142" s="10"/>
      <c r="G142" s="67" t="s">
        <v>233</v>
      </c>
      <c r="H142" s="4" t="s">
        <v>17</v>
      </c>
      <c r="J142" s="4" t="s">
        <v>723</v>
      </c>
      <c r="K142" s="4" t="s">
        <v>408</v>
      </c>
      <c r="L142" s="4" t="s">
        <v>302</v>
      </c>
      <c r="M142" s="4" t="s">
        <v>314</v>
      </c>
      <c r="N142" s="4" t="s">
        <v>667</v>
      </c>
      <c r="O142" s="44">
        <v>150000</v>
      </c>
      <c r="P142" s="61">
        <v>0</v>
      </c>
      <c r="Q142" s="44">
        <f>+Tableau222[[#This Row],[MONTANT HT]]*Tableau222[[#This Row],[TAUX TVA]]</f>
        <v>0</v>
      </c>
      <c r="R142" s="44">
        <f>+Tableau222[[#This Row],[MONTANT HT]]+Tableau222[[#This Row],[MONTANT TVA]]</f>
        <v>150000</v>
      </c>
      <c r="S142" s="44"/>
      <c r="T14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V142" s="44"/>
      <c r="W142" s="44">
        <f>+Tableau222[[#This Row],[MONTANT TTC]]-Tableau222[[#This Row],[MONTANT PAYÉ (FCFA)]]</f>
        <v>150000</v>
      </c>
    </row>
    <row r="143" spans="1:29" ht="13.8">
      <c r="A143" s="4" t="s">
        <v>52</v>
      </c>
      <c r="B143" s="43">
        <v>45839</v>
      </c>
      <c r="C143" s="64">
        <v>45833</v>
      </c>
      <c r="F143" s="10"/>
      <c r="G143" s="67" t="s">
        <v>233</v>
      </c>
      <c r="H143" s="4" t="s">
        <v>17</v>
      </c>
      <c r="I143" s="4" t="s">
        <v>298</v>
      </c>
      <c r="J143" s="4" t="s">
        <v>724</v>
      </c>
      <c r="K143" s="4" t="s">
        <v>408</v>
      </c>
      <c r="L143" s="4" t="s">
        <v>302</v>
      </c>
      <c r="M143" s="4" t="s">
        <v>725</v>
      </c>
      <c r="N143" s="4" t="s">
        <v>348</v>
      </c>
      <c r="O143" s="53">
        <v>1870000</v>
      </c>
      <c r="P143" s="61">
        <v>0.18</v>
      </c>
      <c r="Q143" s="53">
        <f>+Tableau222[[#This Row],[MONTANT HT]]*Tableau222[[#This Row],[TAUX TVA]]</f>
        <v>336600</v>
      </c>
      <c r="R143" s="44">
        <f>+Tableau222[[#This Row],[MONTANT HT]]+Tableau222[[#This Row],[MONTANT TVA]]</f>
        <v>2206600</v>
      </c>
      <c r="S143" s="53"/>
      <c r="T143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V143" s="53"/>
      <c r="W143" s="44">
        <f>+Tableau222[[#This Row],[MONTANT TTC]]-Tableau222[[#This Row],[MONTANT PAYÉ (FCFA)]]</f>
        <v>2206600</v>
      </c>
    </row>
    <row r="144" spans="1:29" ht="13.8">
      <c r="A144" s="4" t="s">
        <v>52</v>
      </c>
      <c r="B144" s="43">
        <v>45839</v>
      </c>
      <c r="C144" s="64">
        <v>45833</v>
      </c>
      <c r="D144" s="43">
        <v>45624</v>
      </c>
      <c r="F144" s="10" t="s">
        <v>729</v>
      </c>
      <c r="G144" s="67" t="s">
        <v>233</v>
      </c>
      <c r="H144" s="4" t="s">
        <v>17</v>
      </c>
      <c r="I144" s="4" t="s">
        <v>726</v>
      </c>
      <c r="J144" s="4" t="s">
        <v>727</v>
      </c>
      <c r="K144" s="4" t="s">
        <v>408</v>
      </c>
      <c r="L144" s="4" t="s">
        <v>302</v>
      </c>
      <c r="M144" s="4" t="s">
        <v>728</v>
      </c>
      <c r="N144" s="4" t="s">
        <v>348</v>
      </c>
      <c r="O144" s="44">
        <v>493000</v>
      </c>
      <c r="P144" s="61">
        <v>0</v>
      </c>
      <c r="Q144" s="53">
        <f>+Tableau222[[#This Row],[MONTANT HT]]*Tableau222[[#This Row],[TAUX TVA]]</f>
        <v>0</v>
      </c>
      <c r="R144" s="44">
        <f>+Tableau222[[#This Row],[MONTANT HT]]+Tableau222[[#This Row],[MONTANT TVA]]</f>
        <v>493000</v>
      </c>
      <c r="S144" s="44"/>
      <c r="T14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45624</v>
      </c>
      <c r="V144" s="44">
        <v>250000</v>
      </c>
      <c r="W144" s="44">
        <f>+Tableau222[[#This Row],[MONTANT TTC]]-Tableau222[[#This Row],[MONTANT PAYÉ (FCFA)]]</f>
        <v>243000</v>
      </c>
    </row>
    <row r="145" spans="1:29" ht="13.8">
      <c r="A145" s="4" t="s">
        <v>52</v>
      </c>
      <c r="B145" s="43">
        <v>45839</v>
      </c>
      <c r="C145" s="64">
        <v>45833</v>
      </c>
      <c r="D145" s="43">
        <v>45624</v>
      </c>
      <c r="F145" s="10" t="s">
        <v>729</v>
      </c>
      <c r="G145" s="67" t="s">
        <v>233</v>
      </c>
      <c r="H145" s="4" t="s">
        <v>17</v>
      </c>
      <c r="I145" s="4" t="s">
        <v>726</v>
      </c>
      <c r="J145" s="4" t="s">
        <v>727</v>
      </c>
      <c r="K145" s="4" t="s">
        <v>408</v>
      </c>
      <c r="L145" s="4" t="s">
        <v>302</v>
      </c>
      <c r="M145" s="4" t="s">
        <v>730</v>
      </c>
      <c r="N145" s="4" t="s">
        <v>348</v>
      </c>
      <c r="O145" s="53">
        <v>544950</v>
      </c>
      <c r="P145" s="61">
        <v>0</v>
      </c>
      <c r="Q145" s="53">
        <f>+Tableau222[[#This Row],[MONTANT HT]]*Tableau222[[#This Row],[TAUX TVA]]</f>
        <v>0</v>
      </c>
      <c r="R145" s="44">
        <f>+Tableau222[[#This Row],[MONTANT HT]]+Tableau222[[#This Row],[MONTANT TVA]]</f>
        <v>544950</v>
      </c>
      <c r="S145" s="53"/>
      <c r="T145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45624</v>
      </c>
      <c r="V145" s="44">
        <v>400000</v>
      </c>
      <c r="W145" s="44">
        <f>+Tableau222[[#This Row],[MONTANT TTC]]-Tableau222[[#This Row],[MONTANT PAYÉ (FCFA)]]</f>
        <v>144950</v>
      </c>
    </row>
    <row r="146" spans="1:29" ht="13.8">
      <c r="A146" s="4" t="s">
        <v>52</v>
      </c>
      <c r="B146" s="43">
        <v>45839</v>
      </c>
      <c r="C146" s="64">
        <v>45833</v>
      </c>
      <c r="D146" s="71"/>
      <c r="E146" s="67"/>
      <c r="F146" s="69"/>
      <c r="G146" s="67" t="s">
        <v>233</v>
      </c>
      <c r="H146" s="4" t="s">
        <v>17</v>
      </c>
      <c r="I146" s="67"/>
      <c r="J146" s="67" t="s">
        <v>739</v>
      </c>
      <c r="K146" s="4" t="s">
        <v>408</v>
      </c>
      <c r="L146" s="67" t="s">
        <v>381</v>
      </c>
      <c r="M146" s="67" t="s">
        <v>740</v>
      </c>
      <c r="N146" s="67" t="s">
        <v>55</v>
      </c>
      <c r="O146" s="73">
        <v>1004760</v>
      </c>
      <c r="P146" s="61">
        <v>0</v>
      </c>
      <c r="Q146" s="73">
        <f>+Tableau222[[#This Row],[MONTANT HT]]*Tableau222[[#This Row],[TAUX TVA]]</f>
        <v>0</v>
      </c>
      <c r="R146" s="70">
        <f>+Tableau222[[#This Row],[MONTANT HT]]+Tableau222[[#This Row],[MONTANT TVA]]</f>
        <v>1004760</v>
      </c>
      <c r="S146" s="73"/>
      <c r="T146" s="71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45833</v>
      </c>
      <c r="U146" s="67"/>
      <c r="V146" s="70"/>
      <c r="W146" s="70">
        <f>+Tableau222[[#This Row],[MONTANT TTC]]-Tableau222[[#This Row],[MONTANT PAYÉ (FCFA)]]</f>
        <v>1004760</v>
      </c>
      <c r="X146" s="67"/>
      <c r="Y146" s="67"/>
      <c r="Z146" s="67"/>
      <c r="AA146" s="67"/>
      <c r="AB146" s="67"/>
      <c r="AC146" s="67"/>
    </row>
    <row r="147" spans="1:29" ht="13.8">
      <c r="A147" s="67" t="s">
        <v>50</v>
      </c>
      <c r="B147" s="43">
        <v>45839</v>
      </c>
      <c r="C147" s="68">
        <v>45776</v>
      </c>
      <c r="D147" s="67"/>
      <c r="E147" s="67"/>
      <c r="F147" s="69"/>
      <c r="G147" s="67" t="s">
        <v>233</v>
      </c>
      <c r="H147" s="67" t="s">
        <v>92</v>
      </c>
      <c r="I147" s="67"/>
      <c r="J147" s="67" t="s">
        <v>734</v>
      </c>
      <c r="K147" s="67" t="s">
        <v>417</v>
      </c>
      <c r="L147" s="67" t="s">
        <v>735</v>
      </c>
      <c r="M147" s="67" t="s">
        <v>736</v>
      </c>
      <c r="N147" s="67" t="s">
        <v>348</v>
      </c>
      <c r="O147" s="73">
        <v>648650</v>
      </c>
      <c r="P147" s="75">
        <v>0</v>
      </c>
      <c r="Q147" s="53">
        <f>+Tableau222[[#This Row],[MONTANT HT]]*Tableau222[[#This Row],[TAUX TVA]]</f>
        <v>0</v>
      </c>
      <c r="R147" s="44">
        <f>+Tableau222[[#This Row],[MONTANT HT]]+Tableau222[[#This Row],[MONTANT TVA]]</f>
        <v>648650</v>
      </c>
      <c r="S147" s="73"/>
      <c r="T147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45776</v>
      </c>
      <c r="U147" s="67"/>
      <c r="V147" s="73"/>
      <c r="W147" s="44">
        <f>+Tableau222[[#This Row],[MONTANT TTC]]-Tableau222[[#This Row],[MONTANT PAYÉ (FCFA)]]</f>
        <v>648650</v>
      </c>
      <c r="X147" s="67"/>
      <c r="Y147" s="67"/>
      <c r="Z147" s="67"/>
      <c r="AA147" s="67"/>
      <c r="AB147" s="67"/>
      <c r="AC147" s="67"/>
    </row>
    <row r="148" spans="1:29" ht="13.8">
      <c r="A148" s="67" t="s">
        <v>50</v>
      </c>
      <c r="B148" s="43">
        <v>45839</v>
      </c>
      <c r="C148" s="68">
        <v>45780</v>
      </c>
      <c r="D148" s="67"/>
      <c r="E148" s="67"/>
      <c r="F148" s="69"/>
      <c r="G148" s="67" t="s">
        <v>233</v>
      </c>
      <c r="H148" s="67" t="s">
        <v>92</v>
      </c>
      <c r="I148" s="67"/>
      <c r="J148" s="67" t="s">
        <v>734</v>
      </c>
      <c r="K148" s="67" t="s">
        <v>417</v>
      </c>
      <c r="L148" s="67" t="s">
        <v>735</v>
      </c>
      <c r="M148" s="67" t="s">
        <v>737</v>
      </c>
      <c r="N148" s="67" t="s">
        <v>55</v>
      </c>
      <c r="O148" s="73">
        <v>101000</v>
      </c>
      <c r="P148" s="75">
        <v>0</v>
      </c>
      <c r="Q148" s="53">
        <f>+Tableau222[[#This Row],[MONTANT HT]]*Tableau222[[#This Row],[TAUX TVA]]</f>
        <v>0</v>
      </c>
      <c r="R148" s="44">
        <f>+Tableau222[[#This Row],[MONTANT HT]]+Tableau222[[#This Row],[MONTANT TVA]]</f>
        <v>101000</v>
      </c>
      <c r="S148" s="73"/>
      <c r="T148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45780</v>
      </c>
      <c r="U148" s="67"/>
      <c r="V148" s="73"/>
      <c r="W148" s="44">
        <f>+Tableau222[[#This Row],[MONTANT TTC]]-Tableau222[[#This Row],[MONTANT PAYÉ (FCFA)]]</f>
        <v>101000</v>
      </c>
      <c r="X148" s="67"/>
      <c r="Y148" s="67"/>
      <c r="Z148" s="67"/>
      <c r="AA148" s="67"/>
      <c r="AB148" s="67"/>
      <c r="AC148" s="67"/>
    </row>
    <row r="149" spans="1:29" ht="13.8">
      <c r="A149" s="67" t="s">
        <v>50</v>
      </c>
      <c r="B149" s="43">
        <v>45839</v>
      </c>
      <c r="C149" s="68">
        <v>45783</v>
      </c>
      <c r="D149" s="67"/>
      <c r="E149" s="67"/>
      <c r="F149" s="69"/>
      <c r="G149" s="67" t="s">
        <v>233</v>
      </c>
      <c r="H149" s="67" t="s">
        <v>92</v>
      </c>
      <c r="I149" s="67"/>
      <c r="J149" s="67" t="s">
        <v>734</v>
      </c>
      <c r="K149" s="67" t="s">
        <v>417</v>
      </c>
      <c r="L149" s="67" t="s">
        <v>735</v>
      </c>
      <c r="M149" s="67" t="s">
        <v>737</v>
      </c>
      <c r="N149" s="67" t="s">
        <v>55</v>
      </c>
      <c r="O149" s="73">
        <v>90900</v>
      </c>
      <c r="P149" s="75">
        <v>0</v>
      </c>
      <c r="Q149" s="53">
        <f>+Tableau222[[#This Row],[MONTANT HT]]*Tableau222[[#This Row],[TAUX TVA]]</f>
        <v>0</v>
      </c>
      <c r="R149" s="44">
        <f>+Tableau222[[#This Row],[MONTANT HT]]+Tableau222[[#This Row],[MONTANT TVA]]</f>
        <v>90900</v>
      </c>
      <c r="S149" s="73"/>
      <c r="T149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45783</v>
      </c>
      <c r="U149" s="67"/>
      <c r="V149" s="73"/>
      <c r="W149" s="44">
        <f>+Tableau222[[#This Row],[MONTANT TTC]]-Tableau222[[#This Row],[MONTANT PAYÉ (FCFA)]]</f>
        <v>90900</v>
      </c>
      <c r="X149" s="67"/>
      <c r="Y149" s="67"/>
      <c r="Z149" s="67"/>
      <c r="AA149" s="67"/>
      <c r="AB149" s="67"/>
      <c r="AC149" s="67"/>
    </row>
    <row r="150" spans="1:29" ht="13.8">
      <c r="A150" s="67" t="s">
        <v>50</v>
      </c>
      <c r="B150" s="43">
        <v>45839</v>
      </c>
      <c r="C150" s="68">
        <v>45785</v>
      </c>
      <c r="D150" s="67"/>
      <c r="E150" s="67"/>
      <c r="F150" s="69"/>
      <c r="G150" s="67" t="s">
        <v>233</v>
      </c>
      <c r="H150" s="67" t="s">
        <v>92</v>
      </c>
      <c r="I150" s="67"/>
      <c r="J150" s="67" t="s">
        <v>734</v>
      </c>
      <c r="K150" s="67" t="s">
        <v>417</v>
      </c>
      <c r="L150" s="67" t="s">
        <v>735</v>
      </c>
      <c r="M150" s="67" t="s">
        <v>737</v>
      </c>
      <c r="N150" s="67" t="s">
        <v>55</v>
      </c>
      <c r="O150" s="73">
        <v>24000</v>
      </c>
      <c r="P150" s="75">
        <v>0</v>
      </c>
      <c r="Q150" s="53">
        <f>+Tableau222[[#This Row],[MONTANT HT]]*Tableau222[[#This Row],[TAUX TVA]]</f>
        <v>0</v>
      </c>
      <c r="R150" s="44">
        <f>+Tableau222[[#This Row],[MONTANT HT]]+Tableau222[[#This Row],[MONTANT TVA]]</f>
        <v>24000</v>
      </c>
      <c r="S150" s="73"/>
      <c r="T150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45785</v>
      </c>
      <c r="U150" s="67"/>
      <c r="V150" s="73"/>
      <c r="W150" s="44">
        <f>+Tableau222[[#This Row],[MONTANT TTC]]-Tableau222[[#This Row],[MONTANT PAYÉ (FCFA)]]</f>
        <v>24000</v>
      </c>
      <c r="X150" s="67"/>
      <c r="Y150" s="67"/>
      <c r="Z150" s="67"/>
      <c r="AA150" s="67"/>
      <c r="AB150" s="67"/>
      <c r="AC150" s="67"/>
    </row>
    <row r="151" spans="1:29" ht="13.8">
      <c r="A151" s="67" t="s">
        <v>50</v>
      </c>
      <c r="B151" s="43">
        <v>45839</v>
      </c>
      <c r="C151" s="68">
        <v>45779</v>
      </c>
      <c r="D151" s="67"/>
      <c r="E151" s="67"/>
      <c r="F151" s="69"/>
      <c r="G151" s="67" t="s">
        <v>233</v>
      </c>
      <c r="H151" s="67" t="s">
        <v>92</v>
      </c>
      <c r="I151" s="67"/>
      <c r="J151" s="67" t="s">
        <v>734</v>
      </c>
      <c r="K151" s="67" t="s">
        <v>417</v>
      </c>
      <c r="L151" s="67" t="s">
        <v>735</v>
      </c>
      <c r="M151" s="67" t="s">
        <v>737</v>
      </c>
      <c r="N151" s="67" t="s">
        <v>55</v>
      </c>
      <c r="O151" s="73">
        <v>50500</v>
      </c>
      <c r="P151" s="75">
        <v>0</v>
      </c>
      <c r="Q151" s="53">
        <f>+Tableau222[[#This Row],[MONTANT HT]]*Tableau222[[#This Row],[TAUX TVA]]</f>
        <v>0</v>
      </c>
      <c r="R151" s="44">
        <f>+Tableau222[[#This Row],[MONTANT HT]]+Tableau222[[#This Row],[MONTANT TVA]]</f>
        <v>50500</v>
      </c>
      <c r="S151" s="73"/>
      <c r="T151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45779</v>
      </c>
      <c r="U151" s="67"/>
      <c r="V151" s="73"/>
      <c r="W151" s="44">
        <f>+Tableau222[[#This Row],[MONTANT TTC]]-Tableau222[[#This Row],[MONTANT PAYÉ (FCFA)]]</f>
        <v>50500</v>
      </c>
      <c r="X151" s="67"/>
      <c r="Y151" s="67"/>
      <c r="Z151" s="67"/>
      <c r="AA151" s="67"/>
      <c r="AB151" s="67"/>
      <c r="AC151" s="67"/>
    </row>
    <row r="152" spans="1:29" ht="13.8">
      <c r="A152" s="67" t="s">
        <v>50</v>
      </c>
      <c r="B152" s="43">
        <v>45839</v>
      </c>
      <c r="C152" s="68">
        <v>45777</v>
      </c>
      <c r="D152" s="67"/>
      <c r="E152" s="67"/>
      <c r="F152" s="69"/>
      <c r="G152" s="67" t="s">
        <v>233</v>
      </c>
      <c r="H152" s="67" t="s">
        <v>92</v>
      </c>
      <c r="I152" s="67"/>
      <c r="J152" s="67" t="s">
        <v>734</v>
      </c>
      <c r="K152" s="67" t="s">
        <v>417</v>
      </c>
      <c r="L152" s="67" t="s">
        <v>735</v>
      </c>
      <c r="M152" s="67" t="s">
        <v>736</v>
      </c>
      <c r="N152" s="67" t="s">
        <v>348</v>
      </c>
      <c r="O152" s="73">
        <v>22750</v>
      </c>
      <c r="P152" s="75">
        <v>0</v>
      </c>
      <c r="Q152" s="53">
        <f>+Tableau222[[#This Row],[MONTANT HT]]*Tableau222[[#This Row],[TAUX TVA]]</f>
        <v>0</v>
      </c>
      <c r="R152" s="44">
        <f>+Tableau222[[#This Row],[MONTANT HT]]+Tableau222[[#This Row],[MONTANT TVA]]</f>
        <v>22750</v>
      </c>
      <c r="S152" s="73"/>
      <c r="T152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45777</v>
      </c>
      <c r="U152" s="67"/>
      <c r="V152" s="73"/>
      <c r="W152" s="44">
        <f>+Tableau222[[#This Row],[MONTANT TTC]]-Tableau222[[#This Row],[MONTANT PAYÉ (FCFA)]]</f>
        <v>22750</v>
      </c>
      <c r="X152" s="67"/>
      <c r="Y152" s="67"/>
      <c r="Z152" s="67"/>
      <c r="AA152" s="67"/>
      <c r="AB152" s="67"/>
      <c r="AC152" s="67"/>
    </row>
    <row r="153" spans="1:29" ht="13.8">
      <c r="A153" s="67" t="s">
        <v>50</v>
      </c>
      <c r="B153" s="43">
        <v>45839</v>
      </c>
      <c r="C153" s="68">
        <v>45780</v>
      </c>
      <c r="D153" s="67"/>
      <c r="E153" s="67"/>
      <c r="F153" s="69"/>
      <c r="G153" s="67" t="s">
        <v>233</v>
      </c>
      <c r="H153" s="67" t="s">
        <v>92</v>
      </c>
      <c r="I153" s="67"/>
      <c r="J153" s="67" t="s">
        <v>734</v>
      </c>
      <c r="K153" s="67" t="s">
        <v>417</v>
      </c>
      <c r="L153" s="67" t="s">
        <v>735</v>
      </c>
      <c r="M153" s="67" t="s">
        <v>736</v>
      </c>
      <c r="N153" s="67" t="s">
        <v>348</v>
      </c>
      <c r="O153" s="73">
        <v>270000</v>
      </c>
      <c r="P153" s="75">
        <v>0</v>
      </c>
      <c r="Q153" s="53">
        <f>+Tableau222[[#This Row],[MONTANT HT]]*Tableau222[[#This Row],[TAUX TVA]]</f>
        <v>0</v>
      </c>
      <c r="R153" s="44">
        <f>+Tableau222[[#This Row],[MONTANT HT]]+Tableau222[[#This Row],[MONTANT TVA]]</f>
        <v>270000</v>
      </c>
      <c r="S153" s="73"/>
      <c r="T153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45780</v>
      </c>
      <c r="U153" s="67"/>
      <c r="V153" s="73">
        <v>150000</v>
      </c>
      <c r="W153" s="44">
        <f>+Tableau222[[#This Row],[MONTANT TTC]]-Tableau222[[#This Row],[MONTANT PAYÉ (FCFA)]]</f>
        <v>120000</v>
      </c>
      <c r="X153" s="67"/>
      <c r="Y153" s="67"/>
      <c r="Z153" s="67"/>
      <c r="AA153" s="67"/>
      <c r="AB153" s="67"/>
      <c r="AC153" s="67"/>
    </row>
    <row r="154" spans="1:29" ht="13.8">
      <c r="A154" s="67" t="s">
        <v>50</v>
      </c>
      <c r="B154" s="43">
        <v>45839</v>
      </c>
      <c r="C154" s="72">
        <v>45819</v>
      </c>
      <c r="D154" s="67"/>
      <c r="E154" s="67"/>
      <c r="F154" s="69"/>
      <c r="G154" s="67" t="s">
        <v>233</v>
      </c>
      <c r="H154" s="67" t="s">
        <v>92</v>
      </c>
      <c r="I154" s="67"/>
      <c r="J154" s="67" t="s">
        <v>734</v>
      </c>
      <c r="K154" s="67" t="s">
        <v>417</v>
      </c>
      <c r="L154" s="67" t="s">
        <v>735</v>
      </c>
      <c r="M154" s="67" t="s">
        <v>738</v>
      </c>
      <c r="N154" s="67" t="s">
        <v>50</v>
      </c>
      <c r="O154" s="73">
        <v>200000</v>
      </c>
      <c r="P154" s="75">
        <v>0</v>
      </c>
      <c r="Q154" s="53">
        <f>+Tableau222[[#This Row],[MONTANT HT]]*Tableau222[[#This Row],[TAUX TVA]]</f>
        <v>0</v>
      </c>
      <c r="R154" s="44">
        <f>+Tableau222[[#This Row],[MONTANT HT]]+Tableau222[[#This Row],[MONTANT TVA]]</f>
        <v>200000</v>
      </c>
      <c r="S154" s="73"/>
      <c r="T154" s="43">
        <f>+IF(OR(AND(Tableau222[[#This Row],[DATE_FICHE]]&lt;&gt;"",Tableau222[[#This Row],[DATE_FACTURE]]&lt;&gt;""),AND(Tableau222[[#This Row],[DATE_FICHE]]="",Tableau222[[#This Row],[DATE_FACTURE]]&lt;&gt;"")),Tableau222[[#This Row],[DATE_FACTURE]]+Tableau222[[#This Row],[DELAIS]],IF(AND(Tableau222[[#This Row],[DATE_FICHE]]&lt;&gt;"",Tableau222[[#This Row],[DATE_FACTURE]]=""),Tableau222[[#This Row],[DATE_FICHE]]+Tableau222[[#This Row],[DELAIS]]))</f>
        <v>45819</v>
      </c>
      <c r="U154" s="67"/>
      <c r="V154" s="73"/>
      <c r="W154" s="44">
        <f>+Tableau222[[#This Row],[MONTANT TTC]]-Tableau222[[#This Row],[MONTANT PAYÉ (FCFA)]]</f>
        <v>200000</v>
      </c>
      <c r="X154" s="67"/>
      <c r="Y154" s="67"/>
      <c r="Z154" s="67"/>
      <c r="AA154" s="67"/>
      <c r="AB154" s="67"/>
      <c r="AC154" s="67"/>
    </row>
    <row r="155" spans="1:29" ht="13.8">
      <c r="A155" s="4" t="s">
        <v>206</v>
      </c>
      <c r="C155" s="103"/>
      <c r="N155" s="4"/>
      <c r="O155" s="79">
        <f>SUBTOTAL(109,Tableau222[MONTANT HT])</f>
        <v>179116811</v>
      </c>
      <c r="P155" s="4"/>
      <c r="Q155" s="79">
        <f>SUBTOTAL(109,Tableau222[MONTANT TVA])</f>
        <v>4114332</v>
      </c>
      <c r="R155" s="79">
        <f>SUBTOTAL(109,Tableau222[MONTANT TTC])</f>
        <v>183231143</v>
      </c>
      <c r="S155" s="4"/>
      <c r="V155" s="79">
        <f>SUBTOTAL(109,Tableau222[MONTANT PAYÉ (FCFA)])</f>
        <v>62623427</v>
      </c>
      <c r="W155" s="79">
        <f>SUBTOTAL(109,Tableau222[SOLDE RESTANT (FCFA)])</f>
        <v>120607716</v>
      </c>
      <c r="AC155" s="4">
        <f>SUBTOTAL(103,Tableau222[OBSERVATIONS])</f>
        <v>4</v>
      </c>
    </row>
  </sheetData>
  <dataValidations count="3">
    <dataValidation type="list" allowBlank="1" showInputMessage="1" showErrorMessage="1" sqref="A4:A154" xr:uid="{00000000-0002-0000-0800-000000000000}">
      <formula1>ENTITÉ</formula1>
    </dataValidation>
    <dataValidation type="list" allowBlank="1" showInputMessage="1" showErrorMessage="1" sqref="G4:G154" xr:uid="{00000000-0002-0000-0800-000001000000}">
      <formula1>TYPE_D_ENGAGEMENT</formula1>
    </dataValidation>
    <dataValidation type="list" allowBlank="1" showInputMessage="1" showErrorMessage="1" sqref="P4:P154" xr:uid="{00000000-0002-0000-0800-000002000000}">
      <formula1>TAUX_TVA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79998168889431442"/>
  </sheetPr>
  <dimension ref="A2:AF62"/>
  <sheetViews>
    <sheetView zoomScale="62" zoomScaleNormal="62" workbookViewId="0">
      <pane xSplit="2" ySplit="2" topLeftCell="C36" activePane="bottomRight" state="frozen"/>
      <selection activeCell="AA4" sqref="AA4"/>
      <selection pane="topRight" activeCell="AA4" sqref="AA4"/>
      <selection pane="bottomLeft" activeCell="AA4" sqref="AA4"/>
      <selection pane="bottomRight" activeCell="AA4" sqref="AA4"/>
    </sheetView>
  </sheetViews>
  <sheetFormatPr baseColWidth="10" defaultRowHeight="14.4"/>
  <cols>
    <col min="1" max="1" width="5.77734375" customWidth="1"/>
    <col min="2" max="4" width="19.6640625" customWidth="1"/>
    <col min="5" max="5" width="22.109375" bestFit="1" customWidth="1"/>
    <col min="6" max="6" width="22.109375" customWidth="1"/>
    <col min="7" max="8" width="31.21875" customWidth="1"/>
    <col min="9" max="9" width="19.6640625" customWidth="1"/>
    <col min="10" max="10" width="26.109375" bestFit="1" customWidth="1"/>
    <col min="11" max="11" width="14.6640625" bestFit="1" customWidth="1"/>
    <col min="13" max="13" width="14.6640625" bestFit="1" customWidth="1"/>
    <col min="14" max="15" width="26.109375" bestFit="1" customWidth="1"/>
    <col min="16" max="16" width="16.5546875" bestFit="1" customWidth="1"/>
    <col min="17" max="17" width="14.77734375" bestFit="1" customWidth="1"/>
    <col min="18" max="18" width="14.77734375" customWidth="1"/>
    <col min="19" max="19" width="22.88671875" bestFit="1" customWidth="1"/>
    <col min="20" max="20" width="16.5546875" customWidth="1"/>
    <col min="21" max="22" width="26.109375" bestFit="1" customWidth="1"/>
    <col min="23" max="23" width="13.6640625" bestFit="1" customWidth="1"/>
    <col min="24" max="24" width="26.109375" bestFit="1" customWidth="1"/>
    <col min="25" max="25" width="31.77734375" bestFit="1" customWidth="1"/>
    <col min="26" max="27" width="29.77734375" bestFit="1" customWidth="1"/>
    <col min="28" max="29" width="29.21875" bestFit="1" customWidth="1"/>
    <col min="30" max="30" width="22.5546875" customWidth="1"/>
    <col min="31" max="31" width="26.109375" bestFit="1" customWidth="1"/>
    <col min="32" max="32" width="27.33203125" bestFit="1" customWidth="1"/>
    <col min="33" max="33" width="25.21875" bestFit="1" customWidth="1"/>
    <col min="34" max="35" width="31.21875" customWidth="1"/>
    <col min="36" max="38" width="22.5546875" customWidth="1"/>
    <col min="39" max="39" width="22.88671875" bestFit="1" customWidth="1"/>
    <col min="40" max="40" width="22.88671875" customWidth="1"/>
    <col min="41" max="41" width="29.77734375" bestFit="1" customWidth="1"/>
    <col min="42" max="43" width="29.77734375" customWidth="1"/>
    <col min="44" max="44" width="26" bestFit="1" customWidth="1"/>
    <col min="45" max="45" width="20.44140625" bestFit="1" customWidth="1"/>
  </cols>
  <sheetData>
    <row r="2" spans="1:32" s="82" customFormat="1" ht="43.2">
      <c r="A2" s="82" t="s">
        <v>16</v>
      </c>
      <c r="B2" s="82" t="s">
        <v>3</v>
      </c>
      <c r="C2" s="82" t="s">
        <v>351</v>
      </c>
      <c r="D2" s="82" t="s">
        <v>17</v>
      </c>
      <c r="E2" s="82" t="s">
        <v>690</v>
      </c>
      <c r="F2" s="82" t="s">
        <v>251</v>
      </c>
      <c r="G2" s="82" t="s">
        <v>757</v>
      </c>
      <c r="H2" s="82" t="s">
        <v>691</v>
      </c>
      <c r="I2" s="82" t="s">
        <v>235</v>
      </c>
      <c r="J2" s="82" t="s">
        <v>693</v>
      </c>
      <c r="K2" s="82" t="s">
        <v>11</v>
      </c>
      <c r="L2" s="82" t="s">
        <v>241</v>
      </c>
      <c r="M2" s="85" t="s">
        <v>12</v>
      </c>
      <c r="N2" s="85" t="s">
        <v>13</v>
      </c>
      <c r="O2" s="82" t="s">
        <v>741</v>
      </c>
      <c r="P2" s="82" t="s">
        <v>742</v>
      </c>
      <c r="Q2" s="82" t="s">
        <v>748</v>
      </c>
      <c r="R2" s="83" t="s">
        <v>754</v>
      </c>
      <c r="S2" s="82" t="s">
        <v>26</v>
      </c>
      <c r="T2" s="84" t="s">
        <v>755</v>
      </c>
      <c r="U2" s="87" t="s">
        <v>762</v>
      </c>
      <c r="V2" s="86" t="s">
        <v>744</v>
      </c>
      <c r="W2" s="82" t="s">
        <v>253</v>
      </c>
      <c r="X2" s="82" t="s">
        <v>278</v>
      </c>
      <c r="Y2" s="85" t="s">
        <v>290</v>
      </c>
      <c r="Z2" s="82" t="s">
        <v>252</v>
      </c>
      <c r="AA2" s="82" t="s">
        <v>761</v>
      </c>
      <c r="AB2" s="82" t="s">
        <v>746</v>
      </c>
      <c r="AC2" s="82" t="s">
        <v>745</v>
      </c>
      <c r="AD2" s="85" t="s">
        <v>287</v>
      </c>
      <c r="AE2" s="85" t="s">
        <v>701</v>
      </c>
      <c r="AF2" s="82" t="s">
        <v>254</v>
      </c>
    </row>
    <row r="3" spans="1:32">
      <c r="A3">
        <f>+COUNTIF($J$2:J3,"="&amp;Tableau5[[#This Row],[POSTE BUDGETAIRE]])</f>
        <v>1</v>
      </c>
      <c r="B3" t="s">
        <v>50</v>
      </c>
      <c r="D3" t="s">
        <v>345</v>
      </c>
      <c r="F3" t="s">
        <v>759</v>
      </c>
      <c r="G3" t="s">
        <v>344</v>
      </c>
      <c r="J3" t="s">
        <v>316</v>
      </c>
      <c r="K3" s="3">
        <v>700000</v>
      </c>
      <c r="L3" s="60"/>
      <c r="M3" s="3">
        <f>+Tableau5[[#This Row],[MONTANT HT]]*Tableau5[[#This Row],[TAUX TVA]]</f>
        <v>0</v>
      </c>
      <c r="N3" s="3">
        <f>+Tableau5[[#This Row],[MONTANT HT]]+Tableau5[[#This Row],[TVA]]</f>
        <v>700000</v>
      </c>
      <c r="O3" s="3">
        <v>700000</v>
      </c>
      <c r="P3" s="3"/>
      <c r="Q3" s="3" t="s">
        <v>747</v>
      </c>
      <c r="R3" s="54"/>
      <c r="S3">
        <v>5</v>
      </c>
      <c r="T3">
        <v>1</v>
      </c>
      <c r="U3" s="2">
        <v>45813</v>
      </c>
      <c r="V3" s="2">
        <f ca="1"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>45843</v>
      </c>
      <c r="W3" t="s">
        <v>346</v>
      </c>
      <c r="X3" s="2">
        <v>45839</v>
      </c>
      <c r="Y3" s="2">
        <f t="shared" ref="Y3:Y34" si="0">IF(W3="mensuelle",DATE(YEAR(X3)+INT((MONTH(X3)+T3-1)/12),MOD(MONTH(X3)+T3-1,12)+1,S3),IF(W3="BIMESTRIelle",DATE(YEAR(X3)+INT((MONTH(X3)+T3-1)/12),MOD(MONTH(X3)+T3*2-1,12)+1,S3),
IF(W3="trimestrielle",DATE(YEAR(X3)+INT((MONTH(X3)+T3*3-1)/12),MOD(MONTH(X3)+T3*3-1,12)+1,S3),
IF(W3="semestrielle",DATE(YEAR(X3)+INT((MONTH(X3)+T3*6-1)/12),MOD(MONTH(X3)+T3*6-1,12)+1,S3),
IF(W3="annuelle",DATE(YEAR(X3)+INT((MONTH(X3)+T3*12-1)/12),MOD(MONTH(X3)+T3*12-1,12)+1,S3),
IF(W3="hebdomadaire",X3+T3*7,
IF(W3="quinzaine",X3+T3*14,
"")))))))</f>
        <v>45874</v>
      </c>
      <c r="Z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EN RETARD</v>
      </c>
      <c r="AA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9</v>
      </c>
      <c r="AB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8</v>
      </c>
      <c r="AC3">
        <f ca="1">+Tableau5[[#This Row],[NBRE PRELEVEMENTS DU A CE JOUR]]-Tableau5[[#This Row],[NBRE PRELEVEMENTS IMPAYES]]</f>
        <v>1</v>
      </c>
      <c r="AD3" t="s">
        <v>695</v>
      </c>
    </row>
    <row r="4" spans="1:32">
      <c r="A4">
        <f>+COUNTIF($J$2:J4,"="&amp;Tableau5[[#This Row],[POSTE BUDGETAIRE]])</f>
        <v>2</v>
      </c>
      <c r="B4" t="s">
        <v>348</v>
      </c>
      <c r="F4" t="s">
        <v>759</v>
      </c>
      <c r="G4" t="s">
        <v>350</v>
      </c>
      <c r="J4" t="s">
        <v>316</v>
      </c>
      <c r="K4" s="3">
        <v>400000</v>
      </c>
      <c r="L4" s="60"/>
      <c r="M4" s="3">
        <f>+Tableau5[[#This Row],[MONTANT HT]]*Tableau5[[#This Row],[TAUX TVA]]</f>
        <v>0</v>
      </c>
      <c r="N4" s="3">
        <f>+Tableau5[[#This Row],[MONTANT HT]]+Tableau5[[#This Row],[TVA]]</f>
        <v>400000</v>
      </c>
      <c r="O4" s="3"/>
      <c r="P4" s="3"/>
      <c r="Q4" s="3"/>
      <c r="R4" s="54"/>
      <c r="S4">
        <v>5</v>
      </c>
      <c r="U4" s="55"/>
      <c r="V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" s="2" t="str">
        <f t="shared" si="0"/>
        <v/>
      </c>
      <c r="Z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">
        <f ca="1">+Tableau5[[#This Row],[NBRE PRELEVEMENTS DU A CE JOUR]]-Tableau5[[#This Row],[NBRE PRELEVEMENTS IMPAYES]]</f>
        <v>0</v>
      </c>
      <c r="AD4" t="s">
        <v>695</v>
      </c>
      <c r="AF4" t="s">
        <v>349</v>
      </c>
    </row>
    <row r="5" spans="1:32">
      <c r="A5">
        <f>+COUNTIF($J$2:J5,"="&amp;Tableau5[[#This Row],[POSTE BUDGETAIRE]])</f>
        <v>3</v>
      </c>
      <c r="B5" t="s">
        <v>54</v>
      </c>
      <c r="F5" t="s">
        <v>759</v>
      </c>
      <c r="G5" t="s">
        <v>350</v>
      </c>
      <c r="J5" t="s">
        <v>316</v>
      </c>
      <c r="K5" s="3">
        <v>105000</v>
      </c>
      <c r="L5" s="60"/>
      <c r="M5" s="3">
        <f>+Tableau5[[#This Row],[MONTANT HT]]*Tableau5[[#This Row],[TAUX TVA]]</f>
        <v>0</v>
      </c>
      <c r="N5" s="3">
        <f>+Tableau5[[#This Row],[MONTANT HT]]+Tableau5[[#This Row],[TVA]]</f>
        <v>105000</v>
      </c>
      <c r="O5" s="3"/>
      <c r="P5" s="3"/>
      <c r="Q5" s="3"/>
      <c r="R5" s="54"/>
      <c r="S5">
        <v>5</v>
      </c>
      <c r="U5" s="55"/>
      <c r="V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" s="2" t="str">
        <f t="shared" si="0"/>
        <v/>
      </c>
      <c r="Z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">
        <f ca="1">+Tableau5[[#This Row],[NBRE PRELEVEMENTS DU A CE JOUR]]-Tableau5[[#This Row],[NBRE PRELEVEMENTS IMPAYES]]</f>
        <v>0</v>
      </c>
      <c r="AD5" t="s">
        <v>695</v>
      </c>
      <c r="AF5" t="s">
        <v>349</v>
      </c>
    </row>
    <row r="6" spans="1:32">
      <c r="A6">
        <f>+COUNTIF($J$2:J6,"="&amp;Tableau5[[#This Row],[POSTE BUDGETAIRE]])</f>
        <v>4</v>
      </c>
      <c r="B6" t="s">
        <v>55</v>
      </c>
      <c r="C6" t="s">
        <v>353</v>
      </c>
      <c r="F6" t="s">
        <v>759</v>
      </c>
      <c r="G6" t="s">
        <v>344</v>
      </c>
      <c r="J6" t="s">
        <v>316</v>
      </c>
      <c r="K6" s="3">
        <v>550000</v>
      </c>
      <c r="L6" s="60"/>
      <c r="M6" s="3">
        <f>+Tableau5[[#This Row],[MONTANT HT]]*Tableau5[[#This Row],[TAUX TVA]]</f>
        <v>0</v>
      </c>
      <c r="N6" s="3">
        <f>+Tableau5[[#This Row],[MONTANT HT]]+Tableau5[[#This Row],[TVA]]</f>
        <v>550000</v>
      </c>
      <c r="O6" s="3"/>
      <c r="P6" s="3"/>
      <c r="Q6" s="3"/>
      <c r="R6" s="54"/>
      <c r="S6">
        <v>5</v>
      </c>
      <c r="U6" s="55"/>
      <c r="V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6" s="2" t="str">
        <f t="shared" si="0"/>
        <v/>
      </c>
      <c r="Z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6">
        <f ca="1">+Tableau5[[#This Row],[NBRE PRELEVEMENTS DU A CE JOUR]]-Tableau5[[#This Row],[NBRE PRELEVEMENTS IMPAYES]]</f>
        <v>0</v>
      </c>
      <c r="AD6" t="s">
        <v>695</v>
      </c>
    </row>
    <row r="7" spans="1:32">
      <c r="A7">
        <f>+COUNTIF($J$2:J7,"="&amp;Tableau5[[#This Row],[POSTE BUDGETAIRE]])</f>
        <v>5</v>
      </c>
      <c r="B7" t="s">
        <v>165</v>
      </c>
      <c r="F7" t="s">
        <v>759</v>
      </c>
      <c r="G7" t="s">
        <v>350</v>
      </c>
      <c r="J7" t="s">
        <v>316</v>
      </c>
      <c r="K7" s="3">
        <v>105000</v>
      </c>
      <c r="L7" s="60"/>
      <c r="M7" s="3">
        <f>+Tableau5[[#This Row],[MONTANT HT]]*Tableau5[[#This Row],[TAUX TVA]]</f>
        <v>0</v>
      </c>
      <c r="N7" s="3">
        <f>+Tableau5[[#This Row],[MONTANT HT]]+Tableau5[[#This Row],[TVA]]</f>
        <v>105000</v>
      </c>
      <c r="O7" s="3"/>
      <c r="P7" s="3"/>
      <c r="Q7" s="3"/>
      <c r="R7" s="54"/>
      <c r="S7">
        <v>5</v>
      </c>
      <c r="U7" s="55"/>
      <c r="V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7" s="2" t="str">
        <f t="shared" si="0"/>
        <v/>
      </c>
      <c r="Z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7">
        <f ca="1">+Tableau5[[#This Row],[NBRE PRELEVEMENTS DU A CE JOUR]]-Tableau5[[#This Row],[NBRE PRELEVEMENTS IMPAYES]]</f>
        <v>0</v>
      </c>
      <c r="AD7" t="s">
        <v>695</v>
      </c>
      <c r="AF7" t="s">
        <v>349</v>
      </c>
    </row>
    <row r="8" spans="1:32">
      <c r="A8">
        <f>+COUNTIF($J$2:J8,"="&amp;Tableau5[[#This Row],[POSTE BUDGETAIRE]])</f>
        <v>6</v>
      </c>
      <c r="B8" t="s">
        <v>51</v>
      </c>
      <c r="F8" t="s">
        <v>759</v>
      </c>
      <c r="G8" t="s">
        <v>692</v>
      </c>
      <c r="J8" t="s">
        <v>316</v>
      </c>
      <c r="K8" s="3">
        <v>450000</v>
      </c>
      <c r="L8" s="60"/>
      <c r="M8" s="3">
        <f>+Tableau5[[#This Row],[MONTANT HT]]*Tableau5[[#This Row],[TAUX TVA]]</f>
        <v>0</v>
      </c>
      <c r="N8" s="3">
        <f>+Tableau5[[#This Row],[MONTANT HT]]+Tableau5[[#This Row],[TVA]]</f>
        <v>450000</v>
      </c>
      <c r="O8" s="3"/>
      <c r="P8" s="3"/>
      <c r="Q8" s="3"/>
      <c r="R8" s="54"/>
      <c r="S8">
        <v>5</v>
      </c>
      <c r="U8" s="54"/>
      <c r="V8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8" s="2" t="str">
        <f t="shared" si="0"/>
        <v/>
      </c>
      <c r="Z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8">
        <f ca="1">+Tableau5[[#This Row],[NBRE PRELEVEMENTS DU A CE JOUR]]-Tableau5[[#This Row],[NBRE PRELEVEMENTS IMPAYES]]</f>
        <v>0</v>
      </c>
      <c r="AD8" t="s">
        <v>695</v>
      </c>
    </row>
    <row r="9" spans="1:32">
      <c r="A9">
        <f>+COUNTIF($J$2:J9,"="&amp;Tableau5[[#This Row],[POSTE BUDGETAIRE]])</f>
        <v>7</v>
      </c>
      <c r="B9" t="s">
        <v>55</v>
      </c>
      <c r="C9" t="s">
        <v>352</v>
      </c>
      <c r="F9" t="s">
        <v>759</v>
      </c>
      <c r="G9" t="s">
        <v>344</v>
      </c>
      <c r="J9" t="s">
        <v>316</v>
      </c>
      <c r="K9" s="3">
        <v>500000</v>
      </c>
      <c r="L9" s="60"/>
      <c r="M9" s="3">
        <f>+Tableau5[[#This Row],[MONTANT HT]]*Tableau5[[#This Row],[TAUX TVA]]</f>
        <v>0</v>
      </c>
      <c r="N9" s="3">
        <f>+Tableau5[[#This Row],[MONTANT HT]]+Tableau5[[#This Row],[TVA]]</f>
        <v>500000</v>
      </c>
      <c r="O9" s="3">
        <v>500000</v>
      </c>
      <c r="P9" s="3"/>
      <c r="Q9" s="3" t="s">
        <v>747</v>
      </c>
      <c r="R9" s="54"/>
      <c r="S9">
        <v>5</v>
      </c>
      <c r="T9">
        <v>8</v>
      </c>
      <c r="U9" s="2">
        <v>45793</v>
      </c>
      <c r="V9" s="2">
        <f ca="1"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>45824</v>
      </c>
      <c r="W9" t="s">
        <v>346</v>
      </c>
      <c r="X9" s="2">
        <v>45793</v>
      </c>
      <c r="Y9" s="2">
        <f t="shared" si="0"/>
        <v>46027</v>
      </c>
      <c r="Z9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EN RETARD</v>
      </c>
      <c r="AA9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10</v>
      </c>
      <c r="AB9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2</v>
      </c>
      <c r="AC9">
        <f ca="1">+Tableau5[[#This Row],[NBRE PRELEVEMENTS DU A CE JOUR]]-Tableau5[[#This Row],[NBRE PRELEVEMENTS IMPAYES]]</f>
        <v>8</v>
      </c>
      <c r="AD9" t="s">
        <v>695</v>
      </c>
    </row>
    <row r="10" spans="1:32">
      <c r="A10">
        <f>+COUNTIF($J$2:J10,"="&amp;Tableau5[[#This Row],[POSTE BUDGETAIRE]])</f>
        <v>8</v>
      </c>
      <c r="B10" t="s">
        <v>55</v>
      </c>
      <c r="C10" t="s">
        <v>352</v>
      </c>
      <c r="F10" t="s">
        <v>759</v>
      </c>
      <c r="G10" t="s">
        <v>344</v>
      </c>
      <c r="J10" t="s">
        <v>316</v>
      </c>
      <c r="K10" s="3">
        <v>20000</v>
      </c>
      <c r="L10" s="60"/>
      <c r="M10" s="3">
        <f>+Tableau5[[#This Row],[MONTANT HT]]*Tableau5[[#This Row],[TAUX TVA]]</f>
        <v>0</v>
      </c>
      <c r="N10" s="3">
        <f>+Tableau5[[#This Row],[MONTANT HT]]+Tableau5[[#This Row],[TVA]]</f>
        <v>20000</v>
      </c>
      <c r="O10" s="3"/>
      <c r="P10" s="3"/>
      <c r="Q10" s="3"/>
      <c r="R10" s="54"/>
      <c r="S10">
        <v>5</v>
      </c>
      <c r="U10" s="55"/>
      <c r="V10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0" s="2" t="str">
        <f t="shared" si="0"/>
        <v/>
      </c>
      <c r="Z10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0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0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0">
        <f ca="1">+Tableau5[[#This Row],[NBRE PRELEVEMENTS DU A CE JOUR]]-Tableau5[[#This Row],[NBRE PRELEVEMENTS IMPAYES]]</f>
        <v>0</v>
      </c>
      <c r="AD10" t="s">
        <v>695</v>
      </c>
    </row>
    <row r="11" spans="1:32">
      <c r="A11">
        <f>+COUNTIF($J$2:J11,"="&amp;Tableau5[[#This Row],[POSTE BUDGETAIRE]])</f>
        <v>1</v>
      </c>
      <c r="B11" t="s">
        <v>50</v>
      </c>
      <c r="F11" t="s">
        <v>759</v>
      </c>
      <c r="G11" t="s">
        <v>354</v>
      </c>
      <c r="J11" t="s">
        <v>354</v>
      </c>
      <c r="K11" s="3"/>
      <c r="L11" s="60"/>
      <c r="M11" s="3">
        <f>+Tableau5[[#This Row],[MONTANT HT]]*Tableau5[[#This Row],[TAUX TVA]]</f>
        <v>0</v>
      </c>
      <c r="N11" s="3">
        <f>+Tableau5[[#This Row],[MONTANT HT]]+Tableau5[[#This Row],[TVA]]</f>
        <v>0</v>
      </c>
      <c r="O11" s="3"/>
      <c r="P11" s="3"/>
      <c r="Q11" s="3"/>
      <c r="R11" s="54"/>
      <c r="U11" s="55"/>
      <c r="V11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1" s="2" t="str">
        <f t="shared" si="0"/>
        <v/>
      </c>
      <c r="Z11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1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1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1">
        <f ca="1">+Tableau5[[#This Row],[NBRE PRELEVEMENTS DU A CE JOUR]]-Tableau5[[#This Row],[NBRE PRELEVEMENTS IMPAYES]]</f>
        <v>0</v>
      </c>
      <c r="AD11" t="s">
        <v>695</v>
      </c>
    </row>
    <row r="12" spans="1:32">
      <c r="A12">
        <f>+COUNTIF($J$2:J12,"="&amp;Tableau5[[#This Row],[POSTE BUDGETAIRE]])</f>
        <v>2</v>
      </c>
      <c r="B12" t="s">
        <v>348</v>
      </c>
      <c r="F12" t="s">
        <v>759</v>
      </c>
      <c r="G12" t="s">
        <v>354</v>
      </c>
      <c r="J12" t="s">
        <v>354</v>
      </c>
      <c r="K12" s="3">
        <v>40000</v>
      </c>
      <c r="L12" s="60"/>
      <c r="M12" s="3">
        <f>+Tableau5[[#This Row],[MONTANT HT]]*Tableau5[[#This Row],[TAUX TVA]]</f>
        <v>0</v>
      </c>
      <c r="N12" s="3">
        <f>+Tableau5[[#This Row],[MONTANT HT]]+Tableau5[[#This Row],[TVA]]</f>
        <v>40000</v>
      </c>
      <c r="O12" s="3"/>
      <c r="P12" s="3"/>
      <c r="Q12" s="3"/>
      <c r="R12" s="54"/>
      <c r="U12" s="55"/>
      <c r="V12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2" s="2" t="str">
        <f t="shared" si="0"/>
        <v/>
      </c>
      <c r="Z12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2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2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2">
        <f ca="1">+Tableau5[[#This Row],[NBRE PRELEVEMENTS DU A CE JOUR]]-Tableau5[[#This Row],[NBRE PRELEVEMENTS IMPAYES]]</f>
        <v>0</v>
      </c>
      <c r="AD12" t="s">
        <v>695</v>
      </c>
    </row>
    <row r="13" spans="1:32">
      <c r="A13">
        <f>+COUNTIF($J$2:J13,"="&amp;Tableau5[[#This Row],[POSTE BUDGETAIRE]])</f>
        <v>3</v>
      </c>
      <c r="B13" t="s">
        <v>54</v>
      </c>
      <c r="F13" t="s">
        <v>759</v>
      </c>
      <c r="G13" t="s">
        <v>354</v>
      </c>
      <c r="J13" t="s">
        <v>354</v>
      </c>
      <c r="K13" s="3"/>
      <c r="L13" s="60"/>
      <c r="M13" s="3">
        <f>+Tableau5[[#This Row],[MONTANT HT]]*Tableau5[[#This Row],[TAUX TVA]]</f>
        <v>0</v>
      </c>
      <c r="N13" s="3">
        <f>+Tableau5[[#This Row],[MONTANT HT]]+Tableau5[[#This Row],[TVA]]</f>
        <v>0</v>
      </c>
      <c r="O13" s="3"/>
      <c r="P13" s="3"/>
      <c r="Q13" s="3"/>
      <c r="R13" s="54"/>
      <c r="U13" s="55"/>
      <c r="V13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3" s="2" t="str">
        <f t="shared" si="0"/>
        <v/>
      </c>
      <c r="Z1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3">
        <f ca="1">+Tableau5[[#This Row],[NBRE PRELEVEMENTS DU A CE JOUR]]-Tableau5[[#This Row],[NBRE PRELEVEMENTS IMPAYES]]</f>
        <v>0</v>
      </c>
      <c r="AD13" t="s">
        <v>695</v>
      </c>
    </row>
    <row r="14" spans="1:32">
      <c r="A14">
        <f>+COUNTIF($J$2:J14,"="&amp;Tableau5[[#This Row],[POSTE BUDGETAIRE]])</f>
        <v>4</v>
      </c>
      <c r="B14" t="s">
        <v>55</v>
      </c>
      <c r="C14" t="s">
        <v>353</v>
      </c>
      <c r="F14" t="s">
        <v>759</v>
      </c>
      <c r="G14" t="s">
        <v>354</v>
      </c>
      <c r="J14" t="s">
        <v>354</v>
      </c>
      <c r="K14" s="3">
        <v>150000</v>
      </c>
      <c r="L14" s="60"/>
      <c r="M14" s="3">
        <f>+Tableau5[[#This Row],[MONTANT HT]]*Tableau5[[#This Row],[TAUX TVA]]</f>
        <v>0</v>
      </c>
      <c r="N14" s="3">
        <f>+Tableau5[[#This Row],[MONTANT HT]]+Tableau5[[#This Row],[TVA]]</f>
        <v>150000</v>
      </c>
      <c r="O14" s="3"/>
      <c r="P14" s="3"/>
      <c r="Q14" s="3"/>
      <c r="R14" s="54"/>
      <c r="U14" s="55"/>
      <c r="V1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4" s="2" t="str">
        <f t="shared" si="0"/>
        <v/>
      </c>
      <c r="Z1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4">
        <f ca="1">+Tableau5[[#This Row],[NBRE PRELEVEMENTS DU A CE JOUR]]-Tableau5[[#This Row],[NBRE PRELEVEMENTS IMPAYES]]</f>
        <v>0</v>
      </c>
      <c r="AD14" t="s">
        <v>695</v>
      </c>
    </row>
    <row r="15" spans="1:32">
      <c r="A15">
        <f>+COUNTIF($J$2:J15,"="&amp;Tableau5[[#This Row],[POSTE BUDGETAIRE]])</f>
        <v>5</v>
      </c>
      <c r="B15" t="s">
        <v>165</v>
      </c>
      <c r="F15" t="s">
        <v>759</v>
      </c>
      <c r="G15" t="s">
        <v>354</v>
      </c>
      <c r="J15" t="s">
        <v>354</v>
      </c>
      <c r="K15" s="3"/>
      <c r="L15" s="60"/>
      <c r="M15" s="3">
        <f>+Tableau5[[#This Row],[MONTANT HT]]*Tableau5[[#This Row],[TAUX TVA]]</f>
        <v>0</v>
      </c>
      <c r="N15" s="3">
        <f>+Tableau5[[#This Row],[MONTANT HT]]+Tableau5[[#This Row],[TVA]]</f>
        <v>0</v>
      </c>
      <c r="O15" s="3"/>
      <c r="P15" s="3"/>
      <c r="Q15" s="3"/>
      <c r="R15" s="54"/>
      <c r="U15" s="55"/>
      <c r="V1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5" s="2" t="str">
        <f t="shared" si="0"/>
        <v/>
      </c>
      <c r="Z1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5">
        <f ca="1">+Tableau5[[#This Row],[NBRE PRELEVEMENTS DU A CE JOUR]]-Tableau5[[#This Row],[NBRE PRELEVEMENTS IMPAYES]]</f>
        <v>0</v>
      </c>
      <c r="AD15" t="s">
        <v>695</v>
      </c>
    </row>
    <row r="16" spans="1:32">
      <c r="A16">
        <f>+COUNTIF($J$2:J16,"="&amp;Tableau5[[#This Row],[POSTE BUDGETAIRE]])</f>
        <v>6</v>
      </c>
      <c r="B16" t="s">
        <v>51</v>
      </c>
      <c r="F16" t="s">
        <v>759</v>
      </c>
      <c r="G16" t="s">
        <v>354</v>
      </c>
      <c r="J16" t="s">
        <v>354</v>
      </c>
      <c r="K16" s="3"/>
      <c r="L16" s="60"/>
      <c r="M16" s="3">
        <f>+Tableau5[[#This Row],[MONTANT HT]]*Tableau5[[#This Row],[TAUX TVA]]</f>
        <v>0</v>
      </c>
      <c r="N16" s="3">
        <f>+Tableau5[[#This Row],[MONTANT HT]]+Tableau5[[#This Row],[TVA]]</f>
        <v>0</v>
      </c>
      <c r="O16" s="3"/>
      <c r="P16" s="3"/>
      <c r="Q16" s="3"/>
      <c r="R16" s="54"/>
      <c r="U16" s="55"/>
      <c r="V1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6" s="2" t="str">
        <f t="shared" si="0"/>
        <v/>
      </c>
      <c r="Z1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6">
        <f ca="1">+Tableau5[[#This Row],[NBRE PRELEVEMENTS DU A CE JOUR]]-Tableau5[[#This Row],[NBRE PRELEVEMENTS IMPAYES]]</f>
        <v>0</v>
      </c>
      <c r="AD16" t="s">
        <v>695</v>
      </c>
    </row>
    <row r="17" spans="1:30">
      <c r="A17">
        <f>+COUNTIF($J$2:J17,"="&amp;Tableau5[[#This Row],[POSTE BUDGETAIRE]])</f>
        <v>7</v>
      </c>
      <c r="B17" t="s">
        <v>55</v>
      </c>
      <c r="C17" t="s">
        <v>352</v>
      </c>
      <c r="F17" t="s">
        <v>759</v>
      </c>
      <c r="G17" t="s">
        <v>354</v>
      </c>
      <c r="J17" t="s">
        <v>354</v>
      </c>
      <c r="K17" s="3">
        <v>100000</v>
      </c>
      <c r="L17" s="60"/>
      <c r="M17" s="3">
        <f>+Tableau5[[#This Row],[MONTANT HT]]*Tableau5[[#This Row],[TAUX TVA]]</f>
        <v>0</v>
      </c>
      <c r="N17" s="3">
        <f>+Tableau5[[#This Row],[MONTANT HT]]+Tableau5[[#This Row],[TVA]]</f>
        <v>100000</v>
      </c>
      <c r="O17" s="3"/>
      <c r="P17" s="3"/>
      <c r="Q17" s="3"/>
      <c r="R17" s="54"/>
      <c r="U17" s="55"/>
      <c r="V1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7" s="2" t="str">
        <f t="shared" si="0"/>
        <v/>
      </c>
      <c r="Z1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7">
        <f ca="1">+Tableau5[[#This Row],[NBRE PRELEVEMENTS DU A CE JOUR]]-Tableau5[[#This Row],[NBRE PRELEVEMENTS IMPAYES]]</f>
        <v>0</v>
      </c>
      <c r="AD17" t="s">
        <v>695</v>
      </c>
    </row>
    <row r="18" spans="1:30">
      <c r="A18">
        <f>+COUNTIF($J$2:J18,"="&amp;Tableau5[[#This Row],[POSTE BUDGETAIRE]])</f>
        <v>8</v>
      </c>
      <c r="B18" t="s">
        <v>55</v>
      </c>
      <c r="C18" t="s">
        <v>352</v>
      </c>
      <c r="F18" t="s">
        <v>759</v>
      </c>
      <c r="G18" t="s">
        <v>354</v>
      </c>
      <c r="J18" t="s">
        <v>354</v>
      </c>
      <c r="K18" s="3"/>
      <c r="L18" s="60"/>
      <c r="M18" s="3">
        <f>+Tableau5[[#This Row],[MONTANT HT]]*Tableau5[[#This Row],[TAUX TVA]]</f>
        <v>0</v>
      </c>
      <c r="N18" s="3">
        <f>+Tableau5[[#This Row],[MONTANT HT]]+Tableau5[[#This Row],[TVA]]</f>
        <v>0</v>
      </c>
      <c r="O18" s="3"/>
      <c r="P18" s="3"/>
      <c r="Q18" s="3"/>
      <c r="R18" s="54"/>
      <c r="U18" s="55"/>
      <c r="V18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8" s="2" t="str">
        <f t="shared" si="0"/>
        <v/>
      </c>
      <c r="Z1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8">
        <f ca="1">+Tableau5[[#This Row],[NBRE PRELEVEMENTS DU A CE JOUR]]-Tableau5[[#This Row],[NBRE PRELEVEMENTS IMPAYES]]</f>
        <v>0</v>
      </c>
      <c r="AD18" t="s">
        <v>695</v>
      </c>
    </row>
    <row r="19" spans="1:30">
      <c r="A19">
        <f>+COUNTIF($J$2:J19,"="&amp;Tableau5[[#This Row],[POSTE BUDGETAIRE]])</f>
        <v>1</v>
      </c>
      <c r="B19" t="s">
        <v>50</v>
      </c>
      <c r="F19" t="s">
        <v>759</v>
      </c>
      <c r="G19" t="s">
        <v>355</v>
      </c>
      <c r="J19" t="s">
        <v>355</v>
      </c>
      <c r="K19" s="3">
        <v>50000</v>
      </c>
      <c r="L19" s="60"/>
      <c r="M19" s="3">
        <f>+Tableau5[[#This Row],[MONTANT HT]]*Tableau5[[#This Row],[TAUX TVA]]</f>
        <v>0</v>
      </c>
      <c r="N19" s="3">
        <f>+Tableau5[[#This Row],[MONTANT HT]]+Tableau5[[#This Row],[TVA]]</f>
        <v>50000</v>
      </c>
      <c r="O19" s="3"/>
      <c r="P19" s="3"/>
      <c r="Q19" s="3"/>
      <c r="R19" s="54"/>
      <c r="U19" s="55"/>
      <c r="V19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19" s="2" t="str">
        <f t="shared" si="0"/>
        <v/>
      </c>
      <c r="Z19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19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19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19">
        <f ca="1">+Tableau5[[#This Row],[NBRE PRELEVEMENTS DU A CE JOUR]]-Tableau5[[#This Row],[NBRE PRELEVEMENTS IMPAYES]]</f>
        <v>0</v>
      </c>
      <c r="AD19" t="s">
        <v>695</v>
      </c>
    </row>
    <row r="20" spans="1:30">
      <c r="A20">
        <f>+COUNTIF($J$2:J20,"="&amp;Tableau5[[#This Row],[POSTE BUDGETAIRE]])</f>
        <v>2</v>
      </c>
      <c r="B20" t="s">
        <v>348</v>
      </c>
      <c r="F20" t="s">
        <v>759</v>
      </c>
      <c r="G20" t="s">
        <v>355</v>
      </c>
      <c r="J20" t="s">
        <v>355</v>
      </c>
      <c r="K20" s="3"/>
      <c r="L20" s="60"/>
      <c r="M20" s="3">
        <f>+Tableau5[[#This Row],[MONTANT HT]]*Tableau5[[#This Row],[TAUX TVA]]</f>
        <v>0</v>
      </c>
      <c r="N20" s="3">
        <f>+Tableau5[[#This Row],[MONTANT HT]]+Tableau5[[#This Row],[TVA]]</f>
        <v>0</v>
      </c>
      <c r="O20" s="3"/>
      <c r="P20" s="3"/>
      <c r="Q20" s="3"/>
      <c r="R20" s="54"/>
      <c r="U20" s="55"/>
      <c r="V20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0" s="2" t="str">
        <f t="shared" si="0"/>
        <v/>
      </c>
      <c r="Z20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0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0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0">
        <f ca="1">+Tableau5[[#This Row],[NBRE PRELEVEMENTS DU A CE JOUR]]-Tableau5[[#This Row],[NBRE PRELEVEMENTS IMPAYES]]</f>
        <v>0</v>
      </c>
      <c r="AD20" t="s">
        <v>695</v>
      </c>
    </row>
    <row r="21" spans="1:30">
      <c r="A21">
        <f>+COUNTIF($J$2:J21,"="&amp;Tableau5[[#This Row],[POSTE BUDGETAIRE]])</f>
        <v>3</v>
      </c>
      <c r="B21" t="s">
        <v>54</v>
      </c>
      <c r="F21" t="s">
        <v>759</v>
      </c>
      <c r="G21" t="s">
        <v>355</v>
      </c>
      <c r="J21" t="s">
        <v>355</v>
      </c>
      <c r="K21" s="3"/>
      <c r="L21" s="60"/>
      <c r="M21" s="3">
        <f>+Tableau5[[#This Row],[MONTANT HT]]*Tableau5[[#This Row],[TAUX TVA]]</f>
        <v>0</v>
      </c>
      <c r="N21" s="3">
        <f>+Tableau5[[#This Row],[MONTANT HT]]+Tableau5[[#This Row],[TVA]]</f>
        <v>0</v>
      </c>
      <c r="O21" s="3"/>
      <c r="P21" s="3"/>
      <c r="Q21" s="3"/>
      <c r="R21" s="54"/>
      <c r="U21" s="55"/>
      <c r="V21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1" s="2" t="str">
        <f t="shared" si="0"/>
        <v/>
      </c>
      <c r="Z21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1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1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1">
        <f ca="1">+Tableau5[[#This Row],[NBRE PRELEVEMENTS DU A CE JOUR]]-Tableau5[[#This Row],[NBRE PRELEVEMENTS IMPAYES]]</f>
        <v>0</v>
      </c>
      <c r="AD21" t="s">
        <v>695</v>
      </c>
    </row>
    <row r="22" spans="1:30">
      <c r="A22">
        <f>+COUNTIF($J$2:J22,"="&amp;Tableau5[[#This Row],[POSTE BUDGETAIRE]])</f>
        <v>4</v>
      </c>
      <c r="B22" t="s">
        <v>55</v>
      </c>
      <c r="F22" t="s">
        <v>759</v>
      </c>
      <c r="G22" t="s">
        <v>355</v>
      </c>
      <c r="J22" t="s">
        <v>355</v>
      </c>
      <c r="K22" s="3"/>
      <c r="L22" s="60"/>
      <c r="M22" s="3">
        <f>+Tableau5[[#This Row],[MONTANT HT]]*Tableau5[[#This Row],[TAUX TVA]]</f>
        <v>0</v>
      </c>
      <c r="N22" s="3">
        <f>+Tableau5[[#This Row],[MONTANT HT]]+Tableau5[[#This Row],[TVA]]</f>
        <v>0</v>
      </c>
      <c r="O22" s="3"/>
      <c r="P22" s="3"/>
      <c r="Q22" s="3"/>
      <c r="R22" s="54"/>
      <c r="U22" s="55"/>
      <c r="V22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2" s="2" t="str">
        <f t="shared" si="0"/>
        <v/>
      </c>
      <c r="Z22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2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2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2">
        <f ca="1">+Tableau5[[#This Row],[NBRE PRELEVEMENTS DU A CE JOUR]]-Tableau5[[#This Row],[NBRE PRELEVEMENTS IMPAYES]]</f>
        <v>0</v>
      </c>
      <c r="AD22" t="s">
        <v>695</v>
      </c>
    </row>
    <row r="23" spans="1:30">
      <c r="A23">
        <f>+COUNTIF($J$2:J23,"="&amp;Tableau5[[#This Row],[POSTE BUDGETAIRE]])</f>
        <v>5</v>
      </c>
      <c r="B23" t="s">
        <v>165</v>
      </c>
      <c r="F23" t="s">
        <v>759</v>
      </c>
      <c r="G23" t="s">
        <v>355</v>
      </c>
      <c r="J23" t="s">
        <v>355</v>
      </c>
      <c r="K23" s="3"/>
      <c r="L23" s="60"/>
      <c r="M23" s="3">
        <f>+Tableau5[[#This Row],[MONTANT HT]]*Tableau5[[#This Row],[TAUX TVA]]</f>
        <v>0</v>
      </c>
      <c r="N23" s="3">
        <f>+Tableau5[[#This Row],[MONTANT HT]]+Tableau5[[#This Row],[TVA]]</f>
        <v>0</v>
      </c>
      <c r="O23" s="3"/>
      <c r="P23" s="3"/>
      <c r="Q23" s="3"/>
      <c r="R23" s="54"/>
      <c r="U23" s="55"/>
      <c r="V23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3" s="2" t="str">
        <f t="shared" si="0"/>
        <v/>
      </c>
      <c r="Z2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3">
        <f ca="1">+Tableau5[[#This Row],[NBRE PRELEVEMENTS DU A CE JOUR]]-Tableau5[[#This Row],[NBRE PRELEVEMENTS IMPAYES]]</f>
        <v>0</v>
      </c>
      <c r="AD23" t="s">
        <v>695</v>
      </c>
    </row>
    <row r="24" spans="1:30">
      <c r="A24">
        <f>+COUNTIF($J$2:J24,"="&amp;Tableau5[[#This Row],[POSTE BUDGETAIRE]])</f>
        <v>6</v>
      </c>
      <c r="B24" t="s">
        <v>51</v>
      </c>
      <c r="F24" t="s">
        <v>759</v>
      </c>
      <c r="G24" t="s">
        <v>355</v>
      </c>
      <c r="J24" t="s">
        <v>355</v>
      </c>
      <c r="K24" s="3"/>
      <c r="L24" s="60"/>
      <c r="M24" s="3">
        <f>+Tableau5[[#This Row],[MONTANT HT]]*Tableau5[[#This Row],[TAUX TVA]]</f>
        <v>0</v>
      </c>
      <c r="N24" s="3">
        <f>+Tableau5[[#This Row],[MONTANT HT]]+Tableau5[[#This Row],[TVA]]</f>
        <v>0</v>
      </c>
      <c r="O24" s="3"/>
      <c r="P24" s="3"/>
      <c r="Q24" s="3"/>
      <c r="R24" s="54"/>
      <c r="U24" s="55"/>
      <c r="V2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4" s="2" t="str">
        <f t="shared" si="0"/>
        <v/>
      </c>
      <c r="Z2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4">
        <f ca="1">+Tableau5[[#This Row],[NBRE PRELEVEMENTS DU A CE JOUR]]-Tableau5[[#This Row],[NBRE PRELEVEMENTS IMPAYES]]</f>
        <v>0</v>
      </c>
      <c r="AD24" t="s">
        <v>695</v>
      </c>
    </row>
    <row r="25" spans="1:30">
      <c r="A25">
        <f>+COUNTIF($J$2:J25,"="&amp;Tableau5[[#This Row],[POSTE BUDGETAIRE]])</f>
        <v>7</v>
      </c>
      <c r="B25" t="s">
        <v>55</v>
      </c>
      <c r="J25" t="s">
        <v>355</v>
      </c>
      <c r="K25" s="3"/>
      <c r="L25" s="60"/>
      <c r="M25" s="3">
        <f>+Tableau5[[#This Row],[MONTANT HT]]*Tableau5[[#This Row],[TAUX TVA]]</f>
        <v>0</v>
      </c>
      <c r="N25" s="3">
        <f>+Tableau5[[#This Row],[MONTANT HT]]+Tableau5[[#This Row],[TVA]]</f>
        <v>0</v>
      </c>
      <c r="O25" s="3"/>
      <c r="P25" s="3"/>
      <c r="Q25" s="3"/>
      <c r="R25" s="54"/>
      <c r="U25" s="55"/>
      <c r="V2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5" s="2" t="str">
        <f t="shared" si="0"/>
        <v/>
      </c>
      <c r="Z2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2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5">
        <f ca="1">+Tableau5[[#This Row],[NBRE PRELEVEMENTS DU A CE JOUR]]-Tableau5[[#This Row],[NBRE PRELEVEMENTS IMPAYES]]</f>
        <v>0</v>
      </c>
    </row>
    <row r="26" spans="1:30">
      <c r="A26">
        <f>+COUNTIF($J$2:J26,"="&amp;Tableau5[[#This Row],[POSTE BUDGETAIRE]])</f>
        <v>8</v>
      </c>
      <c r="B26" t="s">
        <v>55</v>
      </c>
      <c r="J26" t="s">
        <v>355</v>
      </c>
      <c r="K26" s="3"/>
      <c r="L26" s="60"/>
      <c r="M26" s="3">
        <f>+Tableau5[[#This Row],[MONTANT HT]]*Tableau5[[#This Row],[TAUX TVA]]</f>
        <v>0</v>
      </c>
      <c r="N26" s="3">
        <f>+Tableau5[[#This Row],[MONTANT HT]]+Tableau5[[#This Row],[TVA]]</f>
        <v>0</v>
      </c>
      <c r="O26" s="3"/>
      <c r="P26" s="3"/>
      <c r="Q26" s="3"/>
      <c r="R26" s="54"/>
      <c r="U26" s="55"/>
      <c r="V2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6" s="2" t="str">
        <f t="shared" si="0"/>
        <v/>
      </c>
      <c r="Z2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2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6">
        <f ca="1">+Tableau5[[#This Row],[NBRE PRELEVEMENTS DU A CE JOUR]]-Tableau5[[#This Row],[NBRE PRELEVEMENTS IMPAYES]]</f>
        <v>0</v>
      </c>
    </row>
    <row r="27" spans="1:30">
      <c r="A27">
        <f>+COUNTIF($J$2:J27,"="&amp;Tableau5[[#This Row],[POSTE BUDGETAIRE]])</f>
        <v>1</v>
      </c>
      <c r="B27" t="s">
        <v>50</v>
      </c>
      <c r="F27" t="s">
        <v>759</v>
      </c>
      <c r="G27" t="s">
        <v>356</v>
      </c>
      <c r="J27" t="s">
        <v>356</v>
      </c>
      <c r="K27" s="3">
        <v>65000</v>
      </c>
      <c r="L27" s="60"/>
      <c r="M27" s="3">
        <f>+Tableau5[[#This Row],[MONTANT HT]]*Tableau5[[#This Row],[TAUX TVA]]</f>
        <v>0</v>
      </c>
      <c r="N27" s="3">
        <f>+Tableau5[[#This Row],[MONTANT HT]]+Tableau5[[#This Row],[TVA]]</f>
        <v>65000</v>
      </c>
      <c r="O27" s="3"/>
      <c r="P27" s="3"/>
      <c r="Q27" s="3"/>
      <c r="R27" s="54"/>
      <c r="U27" s="55"/>
      <c r="V2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7" s="2" t="str">
        <f t="shared" si="0"/>
        <v/>
      </c>
      <c r="Z2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7">
        <f ca="1">+Tableau5[[#This Row],[NBRE PRELEVEMENTS DU A CE JOUR]]-Tableau5[[#This Row],[NBRE PRELEVEMENTS IMPAYES]]</f>
        <v>0</v>
      </c>
      <c r="AD27" t="s">
        <v>695</v>
      </c>
    </row>
    <row r="28" spans="1:30">
      <c r="A28">
        <f>+COUNTIF($J$2:J28,"="&amp;Tableau5[[#This Row],[POSTE BUDGETAIRE]])</f>
        <v>2</v>
      </c>
      <c r="B28" t="s">
        <v>51</v>
      </c>
      <c r="F28" t="s">
        <v>759</v>
      </c>
      <c r="G28" t="s">
        <v>356</v>
      </c>
      <c r="J28" t="s">
        <v>356</v>
      </c>
      <c r="K28" s="3"/>
      <c r="L28" s="60"/>
      <c r="M28" s="3">
        <f>+Tableau5[[#This Row],[MONTANT HT]]*Tableau5[[#This Row],[TAUX TVA]]</f>
        <v>0</v>
      </c>
      <c r="N28" s="3">
        <f>+Tableau5[[#This Row],[MONTANT HT]]+Tableau5[[#This Row],[TVA]]</f>
        <v>0</v>
      </c>
      <c r="O28" s="3"/>
      <c r="P28" s="3"/>
      <c r="Q28" s="3"/>
      <c r="R28" s="54"/>
      <c r="U28" s="55"/>
      <c r="V28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8" s="2" t="str">
        <f t="shared" si="0"/>
        <v/>
      </c>
      <c r="Z2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2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8">
        <f ca="1">+Tableau5[[#This Row],[NBRE PRELEVEMENTS DU A CE JOUR]]-Tableau5[[#This Row],[NBRE PRELEVEMENTS IMPAYES]]</f>
        <v>0</v>
      </c>
      <c r="AD28" t="s">
        <v>695</v>
      </c>
    </row>
    <row r="29" spans="1:30">
      <c r="A29">
        <f>+COUNTIF($J$2:J29,"="&amp;Tableau5[[#This Row],[POSTE BUDGETAIRE]])</f>
        <v>3</v>
      </c>
      <c r="B29" t="s">
        <v>55</v>
      </c>
      <c r="J29" t="s">
        <v>356</v>
      </c>
      <c r="K29" s="3"/>
      <c r="L29" s="60"/>
      <c r="M29" s="3">
        <f>+Tableau5[[#This Row],[MONTANT HT]]*Tableau5[[#This Row],[TAUX TVA]]</f>
        <v>0</v>
      </c>
      <c r="N29" s="3">
        <f>+Tableau5[[#This Row],[MONTANT HT]]+Tableau5[[#This Row],[TVA]]</f>
        <v>0</v>
      </c>
      <c r="O29" s="3"/>
      <c r="P29" s="3"/>
      <c r="Q29" s="3"/>
      <c r="R29" s="54"/>
      <c r="U29" s="55"/>
      <c r="V29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29" s="2" t="str">
        <f t="shared" si="0"/>
        <v/>
      </c>
      <c r="Z29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29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29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29">
        <f ca="1">+Tableau5[[#This Row],[NBRE PRELEVEMENTS DU A CE JOUR]]-Tableau5[[#This Row],[NBRE PRELEVEMENTS IMPAYES]]</f>
        <v>0</v>
      </c>
    </row>
    <row r="30" spans="1:30">
      <c r="A30">
        <f>+COUNTIF($J$2:J30,"="&amp;Tableau5[[#This Row],[POSTE BUDGETAIRE]])</f>
        <v>1</v>
      </c>
      <c r="B30" t="s">
        <v>50</v>
      </c>
      <c r="F30" t="s">
        <v>759</v>
      </c>
      <c r="G30" t="s">
        <v>357</v>
      </c>
      <c r="J30" t="s">
        <v>357</v>
      </c>
      <c r="K30" s="3"/>
      <c r="L30" s="60"/>
      <c r="M30" s="3">
        <f>+Tableau5[[#This Row],[MONTANT HT]]*Tableau5[[#This Row],[TAUX TVA]]</f>
        <v>0</v>
      </c>
      <c r="N30" s="3">
        <f>+Tableau5[[#This Row],[MONTANT HT]]+Tableau5[[#This Row],[TVA]]</f>
        <v>0</v>
      </c>
      <c r="O30" s="3"/>
      <c r="P30" s="3"/>
      <c r="Q30" s="3"/>
      <c r="R30" s="54"/>
      <c r="U30" s="55"/>
      <c r="V30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0" s="2" t="str">
        <f t="shared" si="0"/>
        <v/>
      </c>
      <c r="Z30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30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0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0">
        <f ca="1">+Tableau5[[#This Row],[NBRE PRELEVEMENTS DU A CE JOUR]]-Tableau5[[#This Row],[NBRE PRELEVEMENTS IMPAYES]]</f>
        <v>0</v>
      </c>
    </row>
    <row r="31" spans="1:30">
      <c r="A31">
        <f>+COUNTIF($J$2:J31,"="&amp;Tableau5[[#This Row],[POSTE BUDGETAIRE]])</f>
        <v>2</v>
      </c>
      <c r="B31" t="s">
        <v>348</v>
      </c>
      <c r="J31" t="s">
        <v>357</v>
      </c>
      <c r="K31" s="3"/>
      <c r="L31" s="60"/>
      <c r="M31" s="3">
        <f>+Tableau5[[#This Row],[MONTANT HT]]*Tableau5[[#This Row],[TAUX TVA]]</f>
        <v>0</v>
      </c>
      <c r="N31" s="3">
        <f>+Tableau5[[#This Row],[MONTANT HT]]+Tableau5[[#This Row],[TVA]]</f>
        <v>0</v>
      </c>
      <c r="O31" s="3"/>
      <c r="P31" s="3"/>
      <c r="Q31" s="3"/>
      <c r="R31" s="54"/>
      <c r="U31" s="55"/>
      <c r="V31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1" s="2" t="str">
        <f t="shared" si="0"/>
        <v/>
      </c>
      <c r="Z31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1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1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1">
        <f ca="1">+Tableau5[[#This Row],[NBRE PRELEVEMENTS DU A CE JOUR]]-Tableau5[[#This Row],[NBRE PRELEVEMENTS IMPAYES]]</f>
        <v>0</v>
      </c>
    </row>
    <row r="32" spans="1:30">
      <c r="A32">
        <f>+COUNTIF($J$2:J32,"="&amp;Tableau5[[#This Row],[POSTE BUDGETAIRE]])</f>
        <v>3</v>
      </c>
      <c r="B32" t="s">
        <v>54</v>
      </c>
      <c r="J32" t="s">
        <v>357</v>
      </c>
      <c r="K32" s="3"/>
      <c r="L32" s="60"/>
      <c r="M32" s="3">
        <f>+Tableau5[[#This Row],[MONTANT HT]]*Tableau5[[#This Row],[TAUX TVA]]</f>
        <v>0</v>
      </c>
      <c r="N32" s="3">
        <f>+Tableau5[[#This Row],[MONTANT HT]]+Tableau5[[#This Row],[TVA]]</f>
        <v>0</v>
      </c>
      <c r="O32" s="3"/>
      <c r="P32" s="3"/>
      <c r="Q32" s="3"/>
      <c r="R32" s="54"/>
      <c r="U32" s="55"/>
      <c r="V32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2" s="2" t="str">
        <f t="shared" si="0"/>
        <v/>
      </c>
      <c r="Z32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2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2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2">
        <f ca="1">+Tableau5[[#This Row],[NBRE PRELEVEMENTS DU A CE JOUR]]-Tableau5[[#This Row],[NBRE PRELEVEMENTS IMPAYES]]</f>
        <v>0</v>
      </c>
    </row>
    <row r="33" spans="1:30">
      <c r="A33">
        <f>+COUNTIF($J$2:J33,"="&amp;Tableau5[[#This Row],[POSTE BUDGETAIRE]])</f>
        <v>4</v>
      </c>
      <c r="B33" t="s">
        <v>55</v>
      </c>
      <c r="J33" t="s">
        <v>357</v>
      </c>
      <c r="K33" s="3"/>
      <c r="L33" s="60"/>
      <c r="M33" s="3">
        <f>+Tableau5[[#This Row],[MONTANT HT]]*Tableau5[[#This Row],[TAUX TVA]]</f>
        <v>0</v>
      </c>
      <c r="N33" s="3">
        <f>+Tableau5[[#This Row],[MONTANT HT]]+Tableau5[[#This Row],[TVA]]</f>
        <v>0</v>
      </c>
      <c r="O33" s="3"/>
      <c r="P33" s="3"/>
      <c r="Q33" s="3"/>
      <c r="R33" s="54"/>
      <c r="U33" s="55"/>
      <c r="V33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3" s="2" t="str">
        <f t="shared" si="0"/>
        <v/>
      </c>
      <c r="Z3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3">
        <f ca="1">+Tableau5[[#This Row],[NBRE PRELEVEMENTS DU A CE JOUR]]-Tableau5[[#This Row],[NBRE PRELEVEMENTS IMPAYES]]</f>
        <v>0</v>
      </c>
    </row>
    <row r="34" spans="1:30">
      <c r="A34">
        <f>+COUNTIF($J$2:J34,"="&amp;Tableau5[[#This Row],[POSTE BUDGETAIRE]])</f>
        <v>5</v>
      </c>
      <c r="B34" t="s">
        <v>165</v>
      </c>
      <c r="J34" t="s">
        <v>357</v>
      </c>
      <c r="K34" s="3"/>
      <c r="L34" s="60"/>
      <c r="M34" s="3">
        <f>+Tableau5[[#This Row],[MONTANT HT]]*Tableau5[[#This Row],[TAUX TVA]]</f>
        <v>0</v>
      </c>
      <c r="N34" s="3">
        <f>+Tableau5[[#This Row],[MONTANT HT]]+Tableau5[[#This Row],[TVA]]</f>
        <v>0</v>
      </c>
      <c r="O34" s="3"/>
      <c r="P34" s="3"/>
      <c r="Q34" s="3"/>
      <c r="R34" s="54"/>
      <c r="U34" s="55"/>
      <c r="V3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4" s="2" t="str">
        <f t="shared" si="0"/>
        <v/>
      </c>
      <c r="Z3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4">
        <f ca="1">+Tableau5[[#This Row],[NBRE PRELEVEMENTS DU A CE JOUR]]-Tableau5[[#This Row],[NBRE PRELEVEMENTS IMPAYES]]</f>
        <v>0</v>
      </c>
    </row>
    <row r="35" spans="1:30">
      <c r="A35">
        <f>+COUNTIF($J$2:J35,"="&amp;Tableau5[[#This Row],[POSTE BUDGETAIRE]])</f>
        <v>6</v>
      </c>
      <c r="B35" t="s">
        <v>55</v>
      </c>
      <c r="J35" t="s">
        <v>357</v>
      </c>
      <c r="K35" s="3"/>
      <c r="L35" s="60"/>
      <c r="M35" s="3">
        <f>+Tableau5[[#This Row],[MONTANT HT]]*Tableau5[[#This Row],[TAUX TVA]]</f>
        <v>0</v>
      </c>
      <c r="N35" s="3">
        <f>+Tableau5[[#This Row],[MONTANT HT]]+Tableau5[[#This Row],[TVA]]</f>
        <v>0</v>
      </c>
      <c r="O35" s="3"/>
      <c r="P35" s="3"/>
      <c r="Q35" s="3"/>
      <c r="R35" s="54"/>
      <c r="U35" s="55"/>
      <c r="V3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5" s="2" t="str">
        <f t="shared" ref="Y35:Y58" si="1">IF(W35="mensuelle",DATE(YEAR(X35)+INT((MONTH(X35)+T35-1)/12),MOD(MONTH(X35)+T35-1,12)+1,S35),IF(W35="BIMESTRIelle",DATE(YEAR(X35)+INT((MONTH(X35)+T35-1)/12),MOD(MONTH(X35)+T35*2-1,12)+1,S35),
IF(W35="trimestrielle",DATE(YEAR(X35)+INT((MONTH(X35)+T35*3-1)/12),MOD(MONTH(X35)+T35*3-1,12)+1,S35),
IF(W35="semestrielle",DATE(YEAR(X35)+INT((MONTH(X35)+T35*6-1)/12),MOD(MONTH(X35)+T35*6-1,12)+1,S35),
IF(W35="annuelle",DATE(YEAR(X35)+INT((MONTH(X35)+T35*12-1)/12),MOD(MONTH(X35)+T35*12-1,12)+1,S35),
IF(W35="hebdomadaire",X35+T35*7,
IF(W35="quinzaine",X35+T35*14,
"")))))))</f>
        <v/>
      </c>
      <c r="Z3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5">
        <f ca="1">+Tableau5[[#This Row],[NBRE PRELEVEMENTS DU A CE JOUR]]-Tableau5[[#This Row],[NBRE PRELEVEMENTS IMPAYES]]</f>
        <v>0</v>
      </c>
    </row>
    <row r="36" spans="1:30">
      <c r="A36">
        <f>+COUNTIF($J$2:J36,"="&amp;Tableau5[[#This Row],[POSTE BUDGETAIRE]])</f>
        <v>7</v>
      </c>
      <c r="B36" t="s">
        <v>55</v>
      </c>
      <c r="J36" t="s">
        <v>357</v>
      </c>
      <c r="K36" s="3"/>
      <c r="L36" s="60"/>
      <c r="M36" s="3">
        <f>+Tableau5[[#This Row],[MONTANT HT]]*Tableau5[[#This Row],[TAUX TVA]]</f>
        <v>0</v>
      </c>
      <c r="N36" s="3">
        <f>+Tableau5[[#This Row],[MONTANT HT]]+Tableau5[[#This Row],[TVA]]</f>
        <v>0</v>
      </c>
      <c r="O36" s="3"/>
      <c r="P36" s="3"/>
      <c r="Q36" s="3"/>
      <c r="R36" s="54"/>
      <c r="U36" s="55"/>
      <c r="V3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6" s="2" t="str">
        <f t="shared" si="1"/>
        <v/>
      </c>
      <c r="Z3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6">
        <f ca="1">+Tableau5[[#This Row],[NBRE PRELEVEMENTS DU A CE JOUR]]-Tableau5[[#This Row],[NBRE PRELEVEMENTS IMPAYES]]</f>
        <v>0</v>
      </c>
    </row>
    <row r="37" spans="1:30">
      <c r="A37">
        <f>+COUNTIF($J$2:J37,"="&amp;Tableau5[[#This Row],[POSTE BUDGETAIRE]])</f>
        <v>1</v>
      </c>
      <c r="B37" t="s">
        <v>50</v>
      </c>
      <c r="F37" t="s">
        <v>759</v>
      </c>
      <c r="G37" t="s">
        <v>358</v>
      </c>
      <c r="J37" t="s">
        <v>358</v>
      </c>
      <c r="K37" s="3"/>
      <c r="L37" s="60"/>
      <c r="M37" s="3">
        <f>+Tableau5[[#This Row],[MONTANT HT]]*Tableau5[[#This Row],[TAUX TVA]]</f>
        <v>0</v>
      </c>
      <c r="N37" s="3">
        <f>+Tableau5[[#This Row],[MONTANT HT]]+Tableau5[[#This Row],[TVA]]</f>
        <v>0</v>
      </c>
      <c r="O37" s="3"/>
      <c r="P37" s="3"/>
      <c r="Q37" s="3"/>
      <c r="R37" s="54"/>
      <c r="U37" s="55"/>
      <c r="V3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7" s="2" t="str">
        <f t="shared" si="1"/>
        <v/>
      </c>
      <c r="Z3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À JOUR</v>
      </c>
      <c r="AA3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7">
        <f ca="1">+Tableau5[[#This Row],[NBRE PRELEVEMENTS DU A CE JOUR]]-Tableau5[[#This Row],[NBRE PRELEVEMENTS IMPAYES]]</f>
        <v>0</v>
      </c>
      <c r="AD37" t="s">
        <v>695</v>
      </c>
    </row>
    <row r="38" spans="1:30">
      <c r="A38">
        <f>+COUNTIF($J$2:J38,"="&amp;Tableau5[[#This Row],[POSTE BUDGETAIRE]])</f>
        <v>2</v>
      </c>
      <c r="B38" t="s">
        <v>348</v>
      </c>
      <c r="J38" t="s">
        <v>358</v>
      </c>
      <c r="K38" s="3">
        <v>30000</v>
      </c>
      <c r="L38" s="60"/>
      <c r="M38" s="3">
        <f>+Tableau5[[#This Row],[MONTANT HT]]*Tableau5[[#This Row],[TAUX TVA]]</f>
        <v>0</v>
      </c>
      <c r="N38" s="3">
        <f>+Tableau5[[#This Row],[MONTANT HT]]+Tableau5[[#This Row],[TVA]]</f>
        <v>30000</v>
      </c>
      <c r="O38" s="3"/>
      <c r="P38" s="3"/>
      <c r="Q38" s="3"/>
      <c r="R38" s="54"/>
      <c r="U38" s="55"/>
      <c r="V38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8" s="2" t="str">
        <f t="shared" si="1"/>
        <v/>
      </c>
      <c r="Z3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8">
        <f ca="1">+Tableau5[[#This Row],[NBRE PRELEVEMENTS DU A CE JOUR]]-Tableau5[[#This Row],[NBRE PRELEVEMENTS IMPAYES]]</f>
        <v>0</v>
      </c>
    </row>
    <row r="39" spans="1:30">
      <c r="A39">
        <f>+COUNTIF($J$2:J39,"="&amp;Tableau5[[#This Row],[POSTE BUDGETAIRE]])</f>
        <v>3</v>
      </c>
      <c r="B39" t="s">
        <v>54</v>
      </c>
      <c r="J39" t="s">
        <v>358</v>
      </c>
      <c r="K39" s="3">
        <v>15000</v>
      </c>
      <c r="L39" s="60"/>
      <c r="M39" s="3">
        <f>+Tableau5[[#This Row],[MONTANT HT]]*Tableau5[[#This Row],[TAUX TVA]]</f>
        <v>0</v>
      </c>
      <c r="N39" s="3">
        <f>+Tableau5[[#This Row],[MONTANT HT]]+Tableau5[[#This Row],[TVA]]</f>
        <v>15000</v>
      </c>
      <c r="O39" s="3"/>
      <c r="P39" s="3"/>
      <c r="Q39" s="3"/>
      <c r="R39" s="54"/>
      <c r="U39" s="55"/>
      <c r="V39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39" s="2" t="str">
        <f t="shared" si="1"/>
        <v/>
      </c>
      <c r="Z39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39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39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39">
        <f ca="1">+Tableau5[[#This Row],[NBRE PRELEVEMENTS DU A CE JOUR]]-Tableau5[[#This Row],[NBRE PRELEVEMENTS IMPAYES]]</f>
        <v>0</v>
      </c>
    </row>
    <row r="40" spans="1:30">
      <c r="A40">
        <f>+COUNTIF($J$2:J40,"="&amp;Tableau5[[#This Row],[POSTE BUDGETAIRE]])</f>
        <v>4</v>
      </c>
      <c r="B40" t="s">
        <v>55</v>
      </c>
      <c r="J40" t="s">
        <v>358</v>
      </c>
      <c r="K40" s="3">
        <v>15000</v>
      </c>
      <c r="L40" s="60"/>
      <c r="M40" s="3">
        <f>+Tableau5[[#This Row],[MONTANT HT]]*Tableau5[[#This Row],[TAUX TVA]]</f>
        <v>0</v>
      </c>
      <c r="N40" s="3">
        <f>+Tableau5[[#This Row],[MONTANT HT]]+Tableau5[[#This Row],[TVA]]</f>
        <v>15000</v>
      </c>
      <c r="O40" s="3"/>
      <c r="P40" s="3"/>
      <c r="Q40" s="3"/>
      <c r="R40" s="54"/>
      <c r="U40" s="55"/>
      <c r="V40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0" s="2" t="str">
        <f t="shared" si="1"/>
        <v/>
      </c>
      <c r="Z40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0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0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0">
        <f ca="1">+Tableau5[[#This Row],[NBRE PRELEVEMENTS DU A CE JOUR]]-Tableau5[[#This Row],[NBRE PRELEVEMENTS IMPAYES]]</f>
        <v>0</v>
      </c>
    </row>
    <row r="41" spans="1:30">
      <c r="A41">
        <f>+COUNTIF($J$2:J41,"="&amp;Tableau5[[#This Row],[POSTE BUDGETAIRE]])</f>
        <v>5</v>
      </c>
      <c r="B41" t="s">
        <v>165</v>
      </c>
      <c r="J41" t="s">
        <v>358</v>
      </c>
      <c r="K41" s="3">
        <v>25000</v>
      </c>
      <c r="L41" s="60"/>
      <c r="M41" s="3">
        <f>+Tableau5[[#This Row],[MONTANT HT]]*Tableau5[[#This Row],[TAUX TVA]]</f>
        <v>0</v>
      </c>
      <c r="N41" s="3">
        <f>+Tableau5[[#This Row],[MONTANT HT]]+Tableau5[[#This Row],[TVA]]</f>
        <v>25000</v>
      </c>
      <c r="O41" s="3"/>
      <c r="P41" s="3"/>
      <c r="Q41" s="3"/>
      <c r="R41" s="54"/>
      <c r="U41" s="55"/>
      <c r="V41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1" s="2" t="str">
        <f t="shared" si="1"/>
        <v/>
      </c>
      <c r="Z41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1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1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1">
        <f ca="1">+Tableau5[[#This Row],[NBRE PRELEVEMENTS DU A CE JOUR]]-Tableau5[[#This Row],[NBRE PRELEVEMENTS IMPAYES]]</f>
        <v>0</v>
      </c>
    </row>
    <row r="42" spans="1:30">
      <c r="A42">
        <f>+COUNTIF($J$2:J42,"="&amp;Tableau5[[#This Row],[POSTE BUDGETAIRE]])</f>
        <v>6</v>
      </c>
      <c r="B42" t="s">
        <v>51</v>
      </c>
      <c r="J42" t="s">
        <v>358</v>
      </c>
      <c r="K42" s="3"/>
      <c r="L42" s="60"/>
      <c r="M42" s="3">
        <f>+Tableau5[[#This Row],[MONTANT HT]]*Tableau5[[#This Row],[TAUX TVA]]</f>
        <v>0</v>
      </c>
      <c r="N42" s="3">
        <f>+Tableau5[[#This Row],[MONTANT HT]]+Tableau5[[#This Row],[TVA]]</f>
        <v>0</v>
      </c>
      <c r="O42" s="3"/>
      <c r="P42" s="3"/>
      <c r="Q42" s="3"/>
      <c r="R42" s="54"/>
      <c r="U42" s="55"/>
      <c r="V42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2" s="2" t="str">
        <f t="shared" si="1"/>
        <v/>
      </c>
      <c r="Z42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2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2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2">
        <f ca="1">+Tableau5[[#This Row],[NBRE PRELEVEMENTS DU A CE JOUR]]-Tableau5[[#This Row],[NBRE PRELEVEMENTS IMPAYES]]</f>
        <v>0</v>
      </c>
    </row>
    <row r="43" spans="1:30">
      <c r="A43">
        <f>+COUNTIF($J$2:J43,"="&amp;Tableau5[[#This Row],[POSTE BUDGETAIRE]])</f>
        <v>7</v>
      </c>
      <c r="B43" t="s">
        <v>55</v>
      </c>
      <c r="J43" t="s">
        <v>358</v>
      </c>
      <c r="K43" s="3">
        <v>60000</v>
      </c>
      <c r="L43" s="60"/>
      <c r="M43" s="3">
        <f>+Tableau5[[#This Row],[MONTANT HT]]*Tableau5[[#This Row],[TAUX TVA]]</f>
        <v>0</v>
      </c>
      <c r="N43" s="3">
        <f>+Tableau5[[#This Row],[MONTANT HT]]+Tableau5[[#This Row],[TVA]]</f>
        <v>60000</v>
      </c>
      <c r="O43" s="3"/>
      <c r="P43" s="3"/>
      <c r="Q43" s="3"/>
      <c r="R43" s="54"/>
      <c r="U43" s="55"/>
      <c r="V43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3" s="2" t="str">
        <f t="shared" si="1"/>
        <v/>
      </c>
      <c r="Z4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3">
        <f ca="1">+Tableau5[[#This Row],[NBRE PRELEVEMENTS DU A CE JOUR]]-Tableau5[[#This Row],[NBRE PRELEVEMENTS IMPAYES]]</f>
        <v>0</v>
      </c>
    </row>
    <row r="44" spans="1:30">
      <c r="A44">
        <f>+COUNTIF($J$2:J44,"="&amp;Tableau5[[#This Row],[POSTE BUDGETAIRE]])</f>
        <v>8</v>
      </c>
      <c r="B44" t="s">
        <v>55</v>
      </c>
      <c r="J44" t="s">
        <v>358</v>
      </c>
      <c r="K44" s="3"/>
      <c r="L44" s="60"/>
      <c r="M44" s="3">
        <f>+Tableau5[[#This Row],[MONTANT HT]]*Tableau5[[#This Row],[TAUX TVA]]</f>
        <v>0</v>
      </c>
      <c r="N44" s="3">
        <f>+Tableau5[[#This Row],[MONTANT HT]]+Tableau5[[#This Row],[TVA]]</f>
        <v>0</v>
      </c>
      <c r="O44" s="3"/>
      <c r="P44" s="3"/>
      <c r="Q44" s="3"/>
      <c r="R44" s="54"/>
      <c r="U44" s="55"/>
      <c r="V4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4" s="2" t="str">
        <f t="shared" si="1"/>
        <v/>
      </c>
      <c r="Z4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4">
        <f ca="1">+Tableau5[[#This Row],[NBRE PRELEVEMENTS DU A CE JOUR]]-Tableau5[[#This Row],[NBRE PRELEVEMENTS IMPAYES]]</f>
        <v>0</v>
      </c>
    </row>
    <row r="45" spans="1:30">
      <c r="A45">
        <f>+COUNTIF($J$2:J45,"="&amp;Tableau5[[#This Row],[POSTE BUDGETAIRE]])</f>
        <v>1</v>
      </c>
      <c r="B45" t="s">
        <v>348</v>
      </c>
      <c r="J45" t="s">
        <v>359</v>
      </c>
      <c r="K45" s="3"/>
      <c r="L45" s="60"/>
      <c r="M45" s="3">
        <f>+Tableau5[[#This Row],[MONTANT HT]]*Tableau5[[#This Row],[TAUX TVA]]</f>
        <v>0</v>
      </c>
      <c r="N45" s="3">
        <f>+Tableau5[[#This Row],[MONTANT HT]]+Tableau5[[#This Row],[TVA]]</f>
        <v>0</v>
      </c>
      <c r="O45" s="3"/>
      <c r="P45" s="3"/>
      <c r="Q45" s="3"/>
      <c r="R45" s="54"/>
      <c r="U45" s="55"/>
      <c r="V4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5" s="2" t="str">
        <f t="shared" si="1"/>
        <v/>
      </c>
      <c r="Z4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5">
        <f ca="1">+Tableau5[[#This Row],[NBRE PRELEVEMENTS DU A CE JOUR]]-Tableau5[[#This Row],[NBRE PRELEVEMENTS IMPAYES]]</f>
        <v>0</v>
      </c>
    </row>
    <row r="46" spans="1:30">
      <c r="A46">
        <f>+COUNTIF($J$2:J46,"="&amp;Tableau5[[#This Row],[POSTE BUDGETAIRE]])</f>
        <v>2</v>
      </c>
      <c r="B46" t="s">
        <v>55</v>
      </c>
      <c r="J46" t="s">
        <v>359</v>
      </c>
      <c r="K46" s="3"/>
      <c r="L46" s="60"/>
      <c r="M46" s="3">
        <f>+Tableau5[[#This Row],[MONTANT HT]]*Tableau5[[#This Row],[TAUX TVA]]</f>
        <v>0</v>
      </c>
      <c r="N46" s="3">
        <f>+Tableau5[[#This Row],[MONTANT HT]]+Tableau5[[#This Row],[TVA]]</f>
        <v>0</v>
      </c>
      <c r="O46" s="3"/>
      <c r="P46" s="3"/>
      <c r="Q46" s="3"/>
      <c r="R46" s="54"/>
      <c r="U46" s="55"/>
      <c r="V4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6" s="2" t="str">
        <f t="shared" si="1"/>
        <v/>
      </c>
      <c r="Z4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6">
        <f ca="1">+Tableau5[[#This Row],[NBRE PRELEVEMENTS DU A CE JOUR]]-Tableau5[[#This Row],[NBRE PRELEVEMENTS IMPAYES]]</f>
        <v>0</v>
      </c>
    </row>
    <row r="47" spans="1:30">
      <c r="A47">
        <f>+COUNTIF($J$2:J47,"="&amp;Tableau5[[#This Row],[POSTE BUDGETAIRE]])</f>
        <v>3</v>
      </c>
      <c r="B47" t="s">
        <v>51</v>
      </c>
      <c r="J47" t="s">
        <v>359</v>
      </c>
      <c r="K47" s="3"/>
      <c r="L47" s="60"/>
      <c r="M47" s="3">
        <f>+Tableau5[[#This Row],[MONTANT HT]]*Tableau5[[#This Row],[TAUX TVA]]</f>
        <v>0</v>
      </c>
      <c r="N47" s="3">
        <f>+Tableau5[[#This Row],[MONTANT HT]]+Tableau5[[#This Row],[TVA]]</f>
        <v>0</v>
      </c>
      <c r="O47" s="3"/>
      <c r="P47" s="3"/>
      <c r="Q47" s="3"/>
      <c r="R47" s="54"/>
      <c r="U47" s="55"/>
      <c r="V4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7" s="2" t="str">
        <f t="shared" si="1"/>
        <v/>
      </c>
      <c r="Z4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7">
        <f ca="1">+Tableau5[[#This Row],[NBRE PRELEVEMENTS DU A CE JOUR]]-Tableau5[[#This Row],[NBRE PRELEVEMENTS IMPAYES]]</f>
        <v>0</v>
      </c>
    </row>
    <row r="48" spans="1:30">
      <c r="A48">
        <f>+COUNTIF($J$2:J48,"="&amp;Tableau5[[#This Row],[POSTE BUDGETAIRE]])</f>
        <v>4</v>
      </c>
      <c r="B48" t="s">
        <v>55</v>
      </c>
      <c r="J48" t="s">
        <v>359</v>
      </c>
      <c r="K48" s="3"/>
      <c r="L48" s="60"/>
      <c r="M48" s="3">
        <f>+Tableau5[[#This Row],[MONTANT HT]]*Tableau5[[#This Row],[TAUX TVA]]</f>
        <v>0</v>
      </c>
      <c r="N48" s="3">
        <f>+Tableau5[[#This Row],[MONTANT HT]]+Tableau5[[#This Row],[TVA]]</f>
        <v>0</v>
      </c>
      <c r="O48" s="3"/>
      <c r="P48" s="3"/>
      <c r="Q48" s="3"/>
      <c r="R48" s="54"/>
      <c r="U48" s="55"/>
      <c r="V48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8" s="2" t="str">
        <f t="shared" si="1"/>
        <v/>
      </c>
      <c r="Z4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8">
        <f ca="1">+Tableau5[[#This Row],[NBRE PRELEVEMENTS DU A CE JOUR]]-Tableau5[[#This Row],[NBRE PRELEVEMENTS IMPAYES]]</f>
        <v>0</v>
      </c>
    </row>
    <row r="49" spans="1:31">
      <c r="A49">
        <f>+COUNTIF($J$2:J49,"="&amp;Tableau5[[#This Row],[POSTE BUDGETAIRE]])</f>
        <v>5</v>
      </c>
      <c r="B49" t="s">
        <v>55</v>
      </c>
      <c r="J49" t="s">
        <v>359</v>
      </c>
      <c r="K49" s="3"/>
      <c r="L49" s="60"/>
      <c r="M49" s="3">
        <f>+Tableau5[[#This Row],[MONTANT HT]]*Tableau5[[#This Row],[TAUX TVA]]</f>
        <v>0</v>
      </c>
      <c r="N49" s="3">
        <f>+Tableau5[[#This Row],[MONTANT HT]]+Tableau5[[#This Row],[TVA]]</f>
        <v>0</v>
      </c>
      <c r="O49" s="3"/>
      <c r="P49" s="3"/>
      <c r="Q49" s="3"/>
      <c r="R49" s="54"/>
      <c r="U49" s="55"/>
      <c r="V49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49" s="2" t="str">
        <f t="shared" si="1"/>
        <v/>
      </c>
      <c r="Z49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49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49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49">
        <f ca="1">+Tableau5[[#This Row],[NBRE PRELEVEMENTS DU A CE JOUR]]-Tableau5[[#This Row],[NBRE PRELEVEMENTS IMPAYES]]</f>
        <v>0</v>
      </c>
    </row>
    <row r="50" spans="1:31">
      <c r="A50">
        <f>+COUNTIF($J$2:J50,"="&amp;Tableau5[[#This Row],[POSTE BUDGETAIRE]])</f>
        <v>1</v>
      </c>
      <c r="B50" t="s">
        <v>50</v>
      </c>
      <c r="G50" t="s">
        <v>360</v>
      </c>
      <c r="J50" t="s">
        <v>360</v>
      </c>
      <c r="K50" s="3"/>
      <c r="L50" s="60"/>
      <c r="M50" s="3">
        <f>+Tableau5[[#This Row],[MONTANT HT]]*Tableau5[[#This Row],[TAUX TVA]]</f>
        <v>0</v>
      </c>
      <c r="N50" s="3">
        <f>+Tableau5[[#This Row],[MONTANT HT]]+Tableau5[[#This Row],[TVA]]</f>
        <v>0</v>
      </c>
      <c r="O50" s="3"/>
      <c r="P50" s="3"/>
      <c r="Q50" s="3"/>
      <c r="R50" s="54"/>
      <c r="U50" s="55"/>
      <c r="V50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0" s="2" t="str">
        <f t="shared" si="1"/>
        <v/>
      </c>
      <c r="Z50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0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0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0">
        <f ca="1">+Tableau5[[#This Row],[NBRE PRELEVEMENTS DU A CE JOUR]]-Tableau5[[#This Row],[NBRE PRELEVEMENTS IMPAYES]]</f>
        <v>0</v>
      </c>
    </row>
    <row r="51" spans="1:31">
      <c r="A51">
        <f>+COUNTIF($J$2:J51,"="&amp;Tableau5[[#This Row],[POSTE BUDGETAIRE]])</f>
        <v>2</v>
      </c>
      <c r="B51" t="s">
        <v>348</v>
      </c>
      <c r="J51" t="s">
        <v>360</v>
      </c>
      <c r="K51" s="3"/>
      <c r="L51" s="60"/>
      <c r="M51" s="3">
        <f>+Tableau5[[#This Row],[MONTANT HT]]*Tableau5[[#This Row],[TAUX TVA]]</f>
        <v>0</v>
      </c>
      <c r="N51" s="3">
        <f>+Tableau5[[#This Row],[MONTANT HT]]+Tableau5[[#This Row],[TVA]]</f>
        <v>0</v>
      </c>
      <c r="O51" s="3"/>
      <c r="P51" s="3"/>
      <c r="Q51" s="3"/>
      <c r="R51" s="54"/>
      <c r="U51" s="55"/>
      <c r="V51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1" s="2" t="str">
        <f t="shared" si="1"/>
        <v/>
      </c>
      <c r="Z51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1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1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1">
        <f ca="1">+Tableau5[[#This Row],[NBRE PRELEVEMENTS DU A CE JOUR]]-Tableau5[[#This Row],[NBRE PRELEVEMENTS IMPAYES]]</f>
        <v>0</v>
      </c>
    </row>
    <row r="52" spans="1:31">
      <c r="A52">
        <f>+COUNTIF($J$2:J52,"="&amp;Tableau5[[#This Row],[POSTE BUDGETAIRE]])</f>
        <v>3</v>
      </c>
      <c r="B52" t="s">
        <v>54</v>
      </c>
      <c r="J52" t="s">
        <v>360</v>
      </c>
      <c r="K52" s="3"/>
      <c r="L52" s="60"/>
      <c r="M52" s="3">
        <f>+Tableau5[[#This Row],[MONTANT HT]]*Tableau5[[#This Row],[TAUX TVA]]</f>
        <v>0</v>
      </c>
      <c r="N52" s="3">
        <f>+Tableau5[[#This Row],[MONTANT HT]]+Tableau5[[#This Row],[TVA]]</f>
        <v>0</v>
      </c>
      <c r="O52" s="3"/>
      <c r="P52" s="3"/>
      <c r="Q52" s="3"/>
      <c r="R52" s="54"/>
      <c r="U52" s="55"/>
      <c r="V52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2" s="2" t="str">
        <f t="shared" si="1"/>
        <v/>
      </c>
      <c r="Z52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2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2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2">
        <f ca="1">+Tableau5[[#This Row],[NBRE PRELEVEMENTS DU A CE JOUR]]-Tableau5[[#This Row],[NBRE PRELEVEMENTS IMPAYES]]</f>
        <v>0</v>
      </c>
    </row>
    <row r="53" spans="1:31">
      <c r="A53">
        <f>+COUNTIF($J$2:J53,"="&amp;Tableau5[[#This Row],[POSTE BUDGETAIRE]])</f>
        <v>4</v>
      </c>
      <c r="B53" t="s">
        <v>55</v>
      </c>
      <c r="J53" t="s">
        <v>360</v>
      </c>
      <c r="K53" s="3"/>
      <c r="L53" s="60"/>
      <c r="M53" s="3">
        <f>+Tableau5[[#This Row],[MONTANT HT]]*Tableau5[[#This Row],[TAUX TVA]]</f>
        <v>0</v>
      </c>
      <c r="N53" s="3">
        <f>+Tableau5[[#This Row],[MONTANT HT]]+Tableau5[[#This Row],[TVA]]</f>
        <v>0</v>
      </c>
      <c r="O53" s="3"/>
      <c r="P53" s="3"/>
      <c r="Q53" s="3"/>
      <c r="R53" s="54"/>
      <c r="U53" s="55"/>
      <c r="V53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3" s="2" t="str">
        <f t="shared" si="1"/>
        <v/>
      </c>
      <c r="Z53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3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3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3">
        <f ca="1">+Tableau5[[#This Row],[NBRE PRELEVEMENTS DU A CE JOUR]]-Tableau5[[#This Row],[NBRE PRELEVEMENTS IMPAYES]]</f>
        <v>0</v>
      </c>
    </row>
    <row r="54" spans="1:31">
      <c r="A54">
        <f>+COUNTIF($J$2:J54,"="&amp;Tableau5[[#This Row],[POSTE BUDGETAIRE]])</f>
        <v>5</v>
      </c>
      <c r="B54" t="s">
        <v>165</v>
      </c>
      <c r="J54" t="s">
        <v>360</v>
      </c>
      <c r="K54" s="3"/>
      <c r="L54" s="60"/>
      <c r="M54" s="3">
        <f>+Tableau5[[#This Row],[MONTANT HT]]*Tableau5[[#This Row],[TAUX TVA]]</f>
        <v>0</v>
      </c>
      <c r="N54" s="3">
        <f>+Tableau5[[#This Row],[MONTANT HT]]+Tableau5[[#This Row],[TVA]]</f>
        <v>0</v>
      </c>
      <c r="O54" s="3"/>
      <c r="P54" s="3"/>
      <c r="Q54" s="3"/>
      <c r="R54" s="54"/>
      <c r="U54" s="55"/>
      <c r="V54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4" s="2" t="str">
        <f t="shared" si="1"/>
        <v/>
      </c>
      <c r="Z54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4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4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4">
        <f ca="1">+Tableau5[[#This Row],[NBRE PRELEVEMENTS DU A CE JOUR]]-Tableau5[[#This Row],[NBRE PRELEVEMENTS IMPAYES]]</f>
        <v>0</v>
      </c>
    </row>
    <row r="55" spans="1:31">
      <c r="A55">
        <f>+COUNTIF($J$2:J55,"="&amp;Tableau5[[#This Row],[POSTE BUDGETAIRE]])</f>
        <v>6</v>
      </c>
      <c r="B55" t="s">
        <v>51</v>
      </c>
      <c r="J55" t="s">
        <v>360</v>
      </c>
      <c r="K55" s="3"/>
      <c r="L55" s="60"/>
      <c r="M55" s="3">
        <f>+Tableau5[[#This Row],[MONTANT HT]]*Tableau5[[#This Row],[TAUX TVA]]</f>
        <v>0</v>
      </c>
      <c r="N55" s="3">
        <f>+Tableau5[[#This Row],[MONTANT HT]]+Tableau5[[#This Row],[TVA]]</f>
        <v>0</v>
      </c>
      <c r="O55" s="3"/>
      <c r="P55" s="3"/>
      <c r="Q55" s="3"/>
      <c r="R55" s="54"/>
      <c r="U55" s="55"/>
      <c r="V55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5" s="2" t="str">
        <f t="shared" si="1"/>
        <v/>
      </c>
      <c r="Z55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5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5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5">
        <f ca="1">+Tableau5[[#This Row],[NBRE PRELEVEMENTS DU A CE JOUR]]-Tableau5[[#This Row],[NBRE PRELEVEMENTS IMPAYES]]</f>
        <v>0</v>
      </c>
    </row>
    <row r="56" spans="1:31">
      <c r="A56">
        <f>+COUNTIF($J$2:J56,"="&amp;Tableau5[[#This Row],[POSTE BUDGETAIRE]])</f>
        <v>7</v>
      </c>
      <c r="B56" t="s">
        <v>55</v>
      </c>
      <c r="J56" t="s">
        <v>360</v>
      </c>
      <c r="K56" s="3"/>
      <c r="L56" s="60"/>
      <c r="M56" s="3">
        <f>+Tableau5[[#This Row],[MONTANT HT]]*Tableau5[[#This Row],[TAUX TVA]]</f>
        <v>0</v>
      </c>
      <c r="N56" s="3">
        <f>+Tableau5[[#This Row],[MONTANT HT]]+Tableau5[[#This Row],[TVA]]</f>
        <v>0</v>
      </c>
      <c r="O56" s="3"/>
      <c r="P56" s="3"/>
      <c r="Q56" s="3"/>
      <c r="R56" s="54"/>
      <c r="U56" s="55"/>
      <c r="V56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6" s="2" t="str">
        <f t="shared" si="1"/>
        <v/>
      </c>
      <c r="Z56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6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6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6">
        <f ca="1">+Tableau5[[#This Row],[NBRE PRELEVEMENTS DU A CE JOUR]]-Tableau5[[#This Row],[NBRE PRELEVEMENTS IMPAYES]]</f>
        <v>0</v>
      </c>
    </row>
    <row r="57" spans="1:31">
      <c r="A57">
        <f>+COUNTIF($J$2:J57,"="&amp;Tableau5[[#This Row],[POSTE BUDGETAIRE]])</f>
        <v>8</v>
      </c>
      <c r="B57" t="s">
        <v>55</v>
      </c>
      <c r="J57" t="s">
        <v>360</v>
      </c>
      <c r="K57" s="3"/>
      <c r="L57" s="60"/>
      <c r="M57" s="3">
        <f>+Tableau5[[#This Row],[MONTANT HT]]*Tableau5[[#This Row],[TAUX TVA]]</f>
        <v>0</v>
      </c>
      <c r="N57" s="3">
        <f>+Tableau5[[#This Row],[MONTANT HT]]+Tableau5[[#This Row],[TVA]]</f>
        <v>0</v>
      </c>
      <c r="O57" s="3"/>
      <c r="P57" s="3"/>
      <c r="Q57" s="3"/>
      <c r="R57" s="54"/>
      <c r="U57" s="55"/>
      <c r="V57" s="2" t="str">
        <f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/>
      </c>
      <c r="Y57" s="2" t="str">
        <f t="shared" si="1"/>
        <v/>
      </c>
      <c r="Z57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PAYÉ</v>
      </c>
      <c r="AA57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0</v>
      </c>
      <c r="AB57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0</v>
      </c>
      <c r="AC57">
        <f ca="1">+Tableau5[[#This Row],[NBRE PRELEVEMENTS DU A CE JOUR]]-Tableau5[[#This Row],[NBRE PRELEVEMENTS IMPAYES]]</f>
        <v>0</v>
      </c>
    </row>
    <row r="58" spans="1:31">
      <c r="A58">
        <f>+COUNTIF($J$2:J58,"="&amp;Tableau5[[#This Row],[POSTE BUDGETAIRE]])</f>
        <v>1</v>
      </c>
      <c r="B58" t="s">
        <v>51</v>
      </c>
      <c r="D58" t="s">
        <v>689</v>
      </c>
      <c r="E58" t="s">
        <v>696</v>
      </c>
      <c r="F58" t="s">
        <v>758</v>
      </c>
      <c r="G58" t="s">
        <v>697</v>
      </c>
      <c r="H58" t="s">
        <v>698</v>
      </c>
      <c r="J58" t="s">
        <v>700</v>
      </c>
      <c r="K58" s="3">
        <v>17796610</v>
      </c>
      <c r="L58" s="60">
        <v>0.18</v>
      </c>
      <c r="M58" s="3">
        <f>+Tableau5[[#This Row],[MONTANT HT]]*Tableau5[[#This Row],[TAUX TVA]]</f>
        <v>3203389.8</v>
      </c>
      <c r="N58" s="3">
        <f>+Tableau5[[#This Row],[MONTANT HT]]+Tableau5[[#This Row],[TVA]]</f>
        <v>20999999.800000001</v>
      </c>
      <c r="O58" s="3">
        <v>1000000</v>
      </c>
      <c r="P58" s="3">
        <v>20</v>
      </c>
      <c r="Q58" s="3" t="s">
        <v>747</v>
      </c>
      <c r="R58" s="54">
        <v>45581</v>
      </c>
      <c r="S58">
        <v>10</v>
      </c>
      <c r="T58">
        <v>3</v>
      </c>
      <c r="U58" s="54">
        <f>IFERROR(EDATE(
    DATE(YEAR(Tableau5[[#This Row],[DATE DE DEBUT]]), MONTH(Tableau5[[#This Row],[DATE DE DEBUT]]), Tableau5[[#This Row],[JOUR DE PRELEVEMENT]]),
    Tableau5[[#This Row],[MOIS COUVERTS PAR VERSEMENT INITIAL]]
),"")</f>
        <v>45667</v>
      </c>
      <c r="V58" s="2">
        <f ca="1">IF(Tableau5[[#This Row],[PREMIERE DATE ECHEANCE OU PREMIER PAIEMENT ABONNEMENT]]="","",EDATE(Tableau5[[#This Row],[PREMIERE DATE ECHEANCE OU PREMIER PAIEMENT ABONNEMENT]],1)+COUNTIFS(Tableau5[[#This Row],[STATUT (PAYÉ/IMPAYÉ)]],"Impayé")*CHOOSE(MATCH(Tableau5[[#This Row],[PÉRIODICITÉ]],{"hebdomadaire";"quinzaine";"mensuelle";"bimestrielle";"trimestrielle";"semestrielle";"annuelle"},0),7,15,30,60,90,180,365))</f>
        <v>45698</v>
      </c>
      <c r="W58" t="s">
        <v>346</v>
      </c>
      <c r="X58" s="54">
        <v>45581</v>
      </c>
      <c r="Y58" s="2">
        <f t="shared" si="1"/>
        <v>45667</v>
      </c>
      <c r="Z58" t="str">
        <f ca="1">IF(Tableau5[[#This Row],[TYPE DE CONTRAT]]="ABONNEMENT",
   IF(TODAY()&gt;Tableau5[[#This Row],[DATE PROCHAIN PRELEVEMENT]],"EN RETARD","À JOUR"),
IF(Tableau5[[#This Row],[NBRE PRELEVEMENTS DU A CE JOUR]]&gt;=Tableau5[[#This Row],[DUREE]],"PAYÉ",
   IF(TODAY()&gt;Tableau5[[#This Row],[DATE PROCHAIN PRELEVEMENT]],"IMPAYÉ EN RETARD","IMPAYÉ")))</f>
        <v>IMPAYÉ EN RETARD</v>
      </c>
      <c r="AA58">
        <f ca="1">IF(Tableau5[[#This Row],[TYPE DE CONTRAT]]="ABONNEMENT",
   IF(Tableau5[[#This Row],[PREMIERE DATE ECHEANCE OU PREMIER PAIEMENT ABONNEMENT]]="",0,
IF(Tableau5[[#This Row],[PÉRIODICITÉ]]="mensuelle",DATEDIF(Tableau5[[#This Row],[PREMIERE DATE ECHEANCE OU PREMIER PAIEMENT ABONNEMENT]],TODAY(),"m"),
IF(Tableau5[[#This Row],[PÉRIODICITÉ]]="bimestrielle",INT(DATEDIF(Tableau5[[#This Row],[PREMIERE DATE ECHEANCE OU PREMIER PAIEMENT ABONNEMENT]],TODAY(),"m")/2),
IF(Tableau5[[#This Row],[PÉRIODICITÉ]]="trimestrielle",INT(DATEDIF(Tableau5[[#This Row],[PREMIERE DATE ECHEANCE OU PREMIER PAIEMENT ABONNEMENT]],TODAY(),"m")/3),
IF(Tableau5[[#This Row],[PÉRIODICITÉ]]="semestrielle",INT(DATEDIF(Tableau5[[#This Row],[PREMIERE DATE ECHEANCE OU PREMIER PAIEMENT ABONNEMENT]],TODAY(),"m")/6),
IF(Tableau5[[#This Row],[PÉRIODICITÉ]]="annuelle",INT(DATEDIF(Tableau5[[#This Row],[PREMIERE DATE ECHEANCE OU PREMIER PAIEMENT ABONNEMENT]],TODAY(),"m")/12),
IF(Tableau5[[#This Row],[PÉRIODICITÉ]]="hebdomadaire",INT((TODAY()-Tableau5[[#This Row],[PREMIERE DATE ECHEANCE OU PREMIER PAIEMENT ABONNEMENT]])/7),
IF(Tableau5[[#This Row],[PÉRIODICITÉ]]="quinzaine",INT((TODAY()-Tableau5[[#This Row],[PREMIERE DATE ECHEANCE OU PREMIER PAIEMENT ABONNEMENT]])/14),
0)))))))),
IF(Tableau5[[#This Row],[TYPE DE CONTRAT]]="PAIEMENT ECHELONNE",
   IF(Tableau5[[#This Row],[DATE DE DEBUT]]&lt;&gt;"",
      IF(Tableau5[[#This Row],[PÉRIODICITÉ]]="mensuelle",DATEDIF(Tableau5[[#This Row],[DATE DE DEBUT]],TODAY(),"m"),
      IF(Tableau5[[#This Row],[PÉRIODICITÉ]]="bimestrielle",INT(DATEDIF(Tableau5[[#This Row],[DATE DE DEBUT]],TODAY(),"m")/2),
      IF(Tableau5[[#This Row],[PÉRIODICITÉ]]="trimestrielle",INT(DATEDIF(Tableau5[[#This Row],[DATE DE DEBUT]],TODAY(),"m")/3),
      IF(Tableau5[[#This Row],[PÉRIODICITÉ]]="semestrielle",INT(DATEDIF(Tableau5[[#This Row],[DATE DE DEBUT]],TODAY(),"m")/6),
      IF(Tableau5[[#This Row],[PÉRIODICITÉ]]="annuelle",INT(DATEDIF(Tableau5[[#This Row],[DATE DE DEBUT]],TODAY(),"m")/12),
      IF(Tableau5[[#This Row],[PÉRIODICITÉ]]="hebdomadaire",INT((TODAY()-Tableau5[[#This Row],[DATE DE DEBUT]])/7),
      IF(Tableau5[[#This Row],[PÉRIODICITÉ]]="quinzaine",INT((TODAY()-Tableau5[[#This Row],[DATE DE DEBUT]])/14),
0))))))), 0),
0))</f>
        <v>17</v>
      </c>
      <c r="AB58">
        <f ca="1">IF(Tableau5[[#This Row],[TYPE DE CONTRAT]]="ABONNEMENT",MAX(0,Tableau5[[#This Row],[NBRE PRELEVEMENTS DU A CE JOUR]]-Tableau5[[#This Row],[MOIS COUVERTS PAR VERSEMENT INITIAL]]),
MAX(0,MIN(Tableau5[[#This Row],[DUREE]],Tableau5[[#This Row],[NBRE PRELEVEMENTS DU A CE JOUR]])-Tableau5[[#This Row],[MOIS COUVERTS PAR VERSEMENT INITIAL]]))</f>
        <v>14</v>
      </c>
      <c r="AC58">
        <f ca="1">+Tableau5[[#This Row],[NBRE PRELEVEMENTS DU A CE JOUR]]-Tableau5[[#This Row],[NBRE PRELEVEMENTS IMPAYES]]</f>
        <v>3</v>
      </c>
      <c r="AD58" t="s">
        <v>694</v>
      </c>
      <c r="AE58" t="s">
        <v>699</v>
      </c>
    </row>
    <row r="60" spans="1:31">
      <c r="N60" s="19"/>
    </row>
    <row r="62" spans="1:31">
      <c r="AA62" t="e">
        <f>IF(TYPE_DE_CONTRAT="ABONNEMENT",MAX(0,X2-Z2),MAX(0,MIN(DUREE,X2)-Z2))</f>
        <v>#NAME?</v>
      </c>
    </row>
  </sheetData>
  <dataValidations count="3">
    <dataValidation type="list" allowBlank="1" showInputMessage="1" showErrorMessage="1" sqref="B3:B58" xr:uid="{00000000-0002-0000-0900-000000000000}">
      <formula1>ENTITÉ</formula1>
    </dataValidation>
    <dataValidation type="list" allowBlank="1" showInputMessage="1" showErrorMessage="1" sqref="Q3:Q58" xr:uid="{00000000-0002-0000-0900-000001000000}">
      <formula1>"JOUR,MOIS"</formula1>
    </dataValidation>
    <dataValidation type="list" allowBlank="1" showInputMessage="1" showErrorMessage="1" sqref="L3:L58" xr:uid="{00000000-0002-0000-0900-000002000000}">
      <formula1>"0%,9%,18%"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DONNEES!$D$18:$D$24</xm:f>
          </x14:formula1>
          <xm:sqref>W3:W58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K44"/>
  <sheetViews>
    <sheetView topLeftCell="F25" workbookViewId="0">
      <selection activeCell="AA4" sqref="AA4"/>
    </sheetView>
  </sheetViews>
  <sheetFormatPr baseColWidth="10" defaultColWidth="8.77734375" defaultRowHeight="13.8"/>
  <cols>
    <col min="1" max="1" width="17.33203125" style="4" bestFit="1" customWidth="1"/>
    <col min="2" max="2" width="22.77734375" style="4" bestFit="1" customWidth="1"/>
    <col min="3" max="3" width="25.21875" style="4" bestFit="1" customWidth="1"/>
    <col min="4" max="4" width="19.109375" style="4" bestFit="1" customWidth="1"/>
    <col min="5" max="5" width="64.77734375" style="4" bestFit="1" customWidth="1"/>
    <col min="6" max="6" width="27.33203125" style="4" bestFit="1" customWidth="1"/>
    <col min="7" max="7" width="21.21875" style="4" bestFit="1" customWidth="1"/>
    <col min="8" max="8" width="23.88671875" style="4" bestFit="1" customWidth="1"/>
    <col min="9" max="9" width="23.88671875" style="4" customWidth="1"/>
    <col min="10" max="10" width="25.6640625" style="4" bestFit="1" customWidth="1"/>
    <col min="11" max="11" width="19.77734375" style="4" bestFit="1" customWidth="1"/>
    <col min="12" max="16384" width="8.77734375" style="4"/>
  </cols>
  <sheetData>
    <row r="2" spans="1:11">
      <c r="A2" s="4" t="s">
        <v>3</v>
      </c>
      <c r="B2" s="26" t="s">
        <v>19</v>
      </c>
      <c r="C2" s="26" t="s">
        <v>231</v>
      </c>
      <c r="D2" s="26" t="s">
        <v>237</v>
      </c>
      <c r="E2" s="26" t="s">
        <v>271</v>
      </c>
      <c r="F2" s="26" t="s">
        <v>243</v>
      </c>
      <c r="G2" s="26" t="s">
        <v>639</v>
      </c>
      <c r="H2" s="26" t="s">
        <v>287</v>
      </c>
      <c r="I2" s="26" t="s">
        <v>618</v>
      </c>
      <c r="J2" s="26" t="s">
        <v>288</v>
      </c>
      <c r="K2" s="77" t="s">
        <v>620</v>
      </c>
    </row>
    <row r="3" spans="1:11">
      <c r="A3" s="4" t="s">
        <v>52</v>
      </c>
      <c r="B3" s="43">
        <v>45796</v>
      </c>
      <c r="D3" s="4" t="s">
        <v>17</v>
      </c>
      <c r="E3" s="4" t="s">
        <v>614</v>
      </c>
      <c r="F3" s="44">
        <v>1250000</v>
      </c>
      <c r="G3" s="80"/>
      <c r="H3" s="4" t="s">
        <v>617</v>
      </c>
      <c r="I3" s="4" t="s">
        <v>36</v>
      </c>
      <c r="J3" s="10" t="s">
        <v>622</v>
      </c>
      <c r="K3" s="67"/>
    </row>
    <row r="4" spans="1:11">
      <c r="A4" s="4" t="s">
        <v>52</v>
      </c>
      <c r="B4" s="43">
        <v>45821</v>
      </c>
      <c r="D4" s="4" t="s">
        <v>17</v>
      </c>
      <c r="E4" s="4" t="s">
        <v>612</v>
      </c>
      <c r="F4" s="44">
        <v>68000</v>
      </c>
      <c r="G4" s="80"/>
      <c r="H4" s="4" t="s">
        <v>619</v>
      </c>
      <c r="I4" s="4" t="s">
        <v>678</v>
      </c>
      <c r="J4" s="10"/>
      <c r="K4" s="67"/>
    </row>
    <row r="5" spans="1:11">
      <c r="A5" s="4" t="s">
        <v>55</v>
      </c>
      <c r="D5" s="4" t="s">
        <v>17</v>
      </c>
      <c r="E5" s="4" t="s">
        <v>165</v>
      </c>
      <c r="F5" s="44">
        <v>4656000</v>
      </c>
      <c r="G5" s="80"/>
      <c r="H5" s="4" t="s">
        <v>623</v>
      </c>
      <c r="J5" s="10" t="s">
        <v>624</v>
      </c>
    </row>
    <row r="6" spans="1:11">
      <c r="A6" s="4" t="s">
        <v>55</v>
      </c>
      <c r="D6" s="4" t="s">
        <v>17</v>
      </c>
      <c r="E6" s="4" t="s">
        <v>165</v>
      </c>
      <c r="F6" s="44">
        <v>550000</v>
      </c>
      <c r="G6" s="80"/>
      <c r="H6" s="4" t="s">
        <v>623</v>
      </c>
      <c r="J6" s="10" t="s">
        <v>624</v>
      </c>
    </row>
    <row r="7" spans="1:11">
      <c r="A7" s="4" t="s">
        <v>55</v>
      </c>
      <c r="D7" s="4" t="s">
        <v>17</v>
      </c>
      <c r="E7" s="4" t="s">
        <v>165</v>
      </c>
      <c r="F7" s="44">
        <v>2351237</v>
      </c>
      <c r="G7" s="80"/>
      <c r="H7" s="4" t="s">
        <v>623</v>
      </c>
      <c r="J7" s="10" t="s">
        <v>624</v>
      </c>
    </row>
    <row r="8" spans="1:11">
      <c r="A8" s="4" t="s">
        <v>50</v>
      </c>
      <c r="B8" s="43">
        <v>45539</v>
      </c>
      <c r="D8" s="4" t="s">
        <v>626</v>
      </c>
      <c r="E8" s="4" t="s">
        <v>625</v>
      </c>
      <c r="F8" s="44">
        <v>3000000</v>
      </c>
      <c r="G8" s="80"/>
      <c r="H8" s="4" t="s">
        <v>617</v>
      </c>
      <c r="J8" s="10" t="s">
        <v>628</v>
      </c>
    </row>
    <row r="9" spans="1:11">
      <c r="A9" s="4" t="s">
        <v>50</v>
      </c>
      <c r="B9" s="43">
        <v>45539</v>
      </c>
      <c r="D9" s="4" t="s">
        <v>626</v>
      </c>
      <c r="E9" s="4" t="s">
        <v>627</v>
      </c>
      <c r="F9" s="44">
        <v>2500000</v>
      </c>
      <c r="G9" s="80"/>
      <c r="H9" s="4" t="s">
        <v>617</v>
      </c>
      <c r="J9" s="10" t="s">
        <v>629</v>
      </c>
    </row>
    <row r="10" spans="1:11">
      <c r="A10" s="4" t="s">
        <v>50</v>
      </c>
      <c r="B10" s="43">
        <v>45539</v>
      </c>
      <c r="D10" s="4" t="s">
        <v>17</v>
      </c>
      <c r="E10" s="4" t="s">
        <v>636</v>
      </c>
      <c r="F10" s="44">
        <v>2000000</v>
      </c>
      <c r="G10" s="80"/>
      <c r="H10" s="4" t="s">
        <v>617</v>
      </c>
      <c r="J10" s="10" t="s">
        <v>637</v>
      </c>
    </row>
    <row r="11" spans="1:11">
      <c r="A11" s="4" t="s">
        <v>52</v>
      </c>
      <c r="B11" s="43">
        <v>45812</v>
      </c>
      <c r="D11" s="4" t="s">
        <v>17</v>
      </c>
      <c r="E11" s="4" t="s">
        <v>638</v>
      </c>
      <c r="F11" s="44">
        <v>500000</v>
      </c>
      <c r="G11" s="80"/>
      <c r="H11" s="4" t="s">
        <v>623</v>
      </c>
      <c r="J11" s="10"/>
    </row>
    <row r="12" spans="1:11">
      <c r="A12" s="4" t="s">
        <v>52</v>
      </c>
      <c r="B12" s="43">
        <v>45836</v>
      </c>
      <c r="D12" s="4" t="s">
        <v>17</v>
      </c>
      <c r="E12" s="4" t="s">
        <v>648</v>
      </c>
      <c r="F12" s="44">
        <v>252500</v>
      </c>
      <c r="G12" s="80"/>
      <c r="H12" s="4" t="s">
        <v>619</v>
      </c>
      <c r="I12" s="4" t="s">
        <v>678</v>
      </c>
      <c r="J12" s="10"/>
      <c r="K12" s="4" t="s">
        <v>95</v>
      </c>
    </row>
    <row r="13" spans="1:11">
      <c r="A13" s="4" t="s">
        <v>55</v>
      </c>
      <c r="B13" s="43">
        <v>45840</v>
      </c>
      <c r="D13" s="4" t="s">
        <v>17</v>
      </c>
      <c r="E13" s="4" t="s">
        <v>650</v>
      </c>
      <c r="F13" s="44">
        <v>303000</v>
      </c>
      <c r="G13" s="80"/>
      <c r="H13" s="4" t="s">
        <v>619</v>
      </c>
      <c r="I13" s="4" t="s">
        <v>678</v>
      </c>
      <c r="J13" s="10"/>
    </row>
    <row r="14" spans="1:11">
      <c r="A14" s="67" t="s">
        <v>55</v>
      </c>
      <c r="B14" s="71">
        <v>45644</v>
      </c>
      <c r="C14" s="67"/>
      <c r="D14" s="4" t="s">
        <v>17</v>
      </c>
      <c r="E14" s="67" t="s">
        <v>651</v>
      </c>
      <c r="F14" s="70">
        <v>2000000</v>
      </c>
      <c r="G14" s="81"/>
      <c r="H14" s="67" t="s">
        <v>617</v>
      </c>
      <c r="I14" s="67" t="s">
        <v>36</v>
      </c>
      <c r="J14" s="69" t="s">
        <v>652</v>
      </c>
      <c r="K14" s="67"/>
    </row>
    <row r="15" spans="1:11">
      <c r="A15" s="67" t="s">
        <v>55</v>
      </c>
      <c r="B15" s="71">
        <v>45799</v>
      </c>
      <c r="C15" s="67"/>
      <c r="D15" s="4" t="s">
        <v>17</v>
      </c>
      <c r="E15" s="67" t="s">
        <v>651</v>
      </c>
      <c r="F15" s="70">
        <v>303000</v>
      </c>
      <c r="G15" s="81"/>
      <c r="H15" s="67" t="s">
        <v>619</v>
      </c>
      <c r="I15" s="4" t="s">
        <v>678</v>
      </c>
      <c r="J15" s="69"/>
      <c r="K15" s="67"/>
    </row>
    <row r="16" spans="1:11">
      <c r="A16" s="67" t="s">
        <v>52</v>
      </c>
      <c r="B16" s="71">
        <v>45771</v>
      </c>
      <c r="C16" s="67"/>
      <c r="D16" s="4" t="s">
        <v>17</v>
      </c>
      <c r="E16" s="67" t="s">
        <v>653</v>
      </c>
      <c r="F16" s="70">
        <v>690000</v>
      </c>
      <c r="G16" s="81"/>
      <c r="H16" s="67" t="s">
        <v>623</v>
      </c>
      <c r="I16" s="67"/>
      <c r="J16" s="69" t="s">
        <v>654</v>
      </c>
      <c r="K16" s="67"/>
    </row>
    <row r="17" spans="1:11">
      <c r="A17" s="67" t="s">
        <v>52</v>
      </c>
      <c r="B17" s="71">
        <v>45726</v>
      </c>
      <c r="C17" s="67"/>
      <c r="D17" s="67" t="s">
        <v>626</v>
      </c>
      <c r="E17" s="67" t="s">
        <v>56</v>
      </c>
      <c r="F17" s="70">
        <v>100000</v>
      </c>
      <c r="G17" s="81"/>
      <c r="H17" s="67" t="s">
        <v>623</v>
      </c>
      <c r="I17" s="67"/>
      <c r="J17" s="69"/>
      <c r="K17" s="67"/>
    </row>
    <row r="18" spans="1:11">
      <c r="A18" s="67" t="s">
        <v>55</v>
      </c>
      <c r="B18" s="71">
        <v>45840</v>
      </c>
      <c r="C18" s="67"/>
      <c r="D18" s="4" t="s">
        <v>17</v>
      </c>
      <c r="E18" s="67" t="s">
        <v>650</v>
      </c>
      <c r="F18" s="70">
        <v>150000</v>
      </c>
      <c r="G18" s="81"/>
      <c r="H18" s="67" t="s">
        <v>619</v>
      </c>
      <c r="I18" s="4" t="s">
        <v>678</v>
      </c>
      <c r="J18" s="69"/>
      <c r="K18" s="67"/>
    </row>
    <row r="19" spans="1:11">
      <c r="A19" s="67" t="s">
        <v>55</v>
      </c>
      <c r="B19" s="71">
        <v>45840</v>
      </c>
      <c r="C19" s="67"/>
      <c r="D19" s="4" t="s">
        <v>17</v>
      </c>
      <c r="E19" s="67" t="s">
        <v>650</v>
      </c>
      <c r="F19" s="70">
        <v>75000</v>
      </c>
      <c r="G19" s="81"/>
      <c r="H19" s="67" t="s">
        <v>623</v>
      </c>
      <c r="I19" s="67"/>
      <c r="J19" s="69" t="s">
        <v>655</v>
      </c>
      <c r="K19" s="67"/>
    </row>
    <row r="20" spans="1:11">
      <c r="A20" s="67" t="s">
        <v>52</v>
      </c>
      <c r="B20" s="71">
        <v>45782</v>
      </c>
      <c r="C20" s="67"/>
      <c r="D20" s="4" t="s">
        <v>17</v>
      </c>
      <c r="E20" s="67" t="s">
        <v>604</v>
      </c>
      <c r="F20" s="70">
        <v>50000</v>
      </c>
      <c r="G20" s="81"/>
      <c r="H20" s="67" t="s">
        <v>623</v>
      </c>
      <c r="I20" s="67"/>
      <c r="J20" s="69" t="s">
        <v>656</v>
      </c>
      <c r="K20" s="67"/>
    </row>
    <row r="21" spans="1:11">
      <c r="A21" s="67" t="s">
        <v>52</v>
      </c>
      <c r="B21" s="71">
        <v>45792</v>
      </c>
      <c r="C21" s="67"/>
      <c r="D21" s="4" t="s">
        <v>17</v>
      </c>
      <c r="E21" s="67" t="s">
        <v>604</v>
      </c>
      <c r="F21" s="70">
        <v>50000</v>
      </c>
      <c r="G21" s="81"/>
      <c r="H21" s="67" t="s">
        <v>623</v>
      </c>
      <c r="I21" s="67"/>
      <c r="J21" s="69" t="s">
        <v>657</v>
      </c>
      <c r="K21" s="67"/>
    </row>
    <row r="22" spans="1:11">
      <c r="A22" s="67" t="s">
        <v>52</v>
      </c>
      <c r="B22" s="71">
        <v>45793</v>
      </c>
      <c r="C22" s="67"/>
      <c r="D22" s="4" t="s">
        <v>17</v>
      </c>
      <c r="E22" s="67" t="s">
        <v>604</v>
      </c>
      <c r="F22" s="70">
        <v>50500</v>
      </c>
      <c r="G22" s="81"/>
      <c r="H22" s="67" t="s">
        <v>619</v>
      </c>
      <c r="I22" s="4" t="s">
        <v>678</v>
      </c>
      <c r="J22" s="69" t="s">
        <v>658</v>
      </c>
      <c r="K22" s="67"/>
    </row>
    <row r="23" spans="1:11">
      <c r="A23" s="67" t="s">
        <v>95</v>
      </c>
      <c r="B23" s="71">
        <v>45797</v>
      </c>
      <c r="C23" s="67"/>
      <c r="D23" s="4" t="s">
        <v>17</v>
      </c>
      <c r="E23" s="67" t="s">
        <v>598</v>
      </c>
      <c r="F23" s="70">
        <v>505000</v>
      </c>
      <c r="G23" s="81"/>
      <c r="H23" s="67" t="s">
        <v>619</v>
      </c>
      <c r="I23" s="4" t="s">
        <v>678</v>
      </c>
      <c r="J23" s="69" t="s">
        <v>659</v>
      </c>
      <c r="K23" s="67"/>
    </row>
    <row r="24" spans="1:11">
      <c r="A24" s="67" t="s">
        <v>95</v>
      </c>
      <c r="B24" s="71">
        <v>45810</v>
      </c>
      <c r="C24" s="67"/>
      <c r="D24" s="4" t="s">
        <v>17</v>
      </c>
      <c r="E24" s="67" t="s">
        <v>598</v>
      </c>
      <c r="F24" s="70">
        <v>404000</v>
      </c>
      <c r="G24" s="81"/>
      <c r="H24" s="67" t="s">
        <v>619</v>
      </c>
      <c r="I24" s="4" t="s">
        <v>678</v>
      </c>
      <c r="J24" s="69" t="s">
        <v>660</v>
      </c>
      <c r="K24" s="67"/>
    </row>
    <row r="25" spans="1:11">
      <c r="A25" s="67" t="s">
        <v>50</v>
      </c>
      <c r="B25" s="71">
        <v>45730</v>
      </c>
      <c r="C25" s="67"/>
      <c r="D25" s="4" t="s">
        <v>17</v>
      </c>
      <c r="E25" s="67" t="s">
        <v>661</v>
      </c>
      <c r="F25" s="70">
        <v>500000</v>
      </c>
      <c r="G25" s="81"/>
      <c r="H25" s="67" t="s">
        <v>623</v>
      </c>
      <c r="I25" s="67"/>
      <c r="J25" s="69" t="s">
        <v>662</v>
      </c>
      <c r="K25" s="67"/>
    </row>
    <row r="26" spans="1:11">
      <c r="A26" s="67" t="s">
        <v>55</v>
      </c>
      <c r="B26" s="71">
        <v>45640</v>
      </c>
      <c r="C26" s="67"/>
      <c r="D26" s="4" t="s">
        <v>17</v>
      </c>
      <c r="E26" s="67" t="s">
        <v>651</v>
      </c>
      <c r="F26" s="70">
        <v>2000000</v>
      </c>
      <c r="G26" s="81"/>
      <c r="H26" s="67" t="s">
        <v>623</v>
      </c>
      <c r="I26" s="67"/>
      <c r="J26" s="69" t="s">
        <v>663</v>
      </c>
      <c r="K26" s="67"/>
    </row>
    <row r="27" spans="1:11">
      <c r="A27" s="67" t="s">
        <v>55</v>
      </c>
      <c r="B27" s="71">
        <v>45664</v>
      </c>
      <c r="C27" s="67"/>
      <c r="D27" s="4" t="s">
        <v>17</v>
      </c>
      <c r="E27" s="67" t="s">
        <v>651</v>
      </c>
      <c r="F27" s="70">
        <v>4000000</v>
      </c>
      <c r="G27" s="81"/>
      <c r="H27" s="67" t="s">
        <v>617</v>
      </c>
      <c r="I27" s="67" t="s">
        <v>36</v>
      </c>
      <c r="J27" s="69" t="s">
        <v>664</v>
      </c>
      <c r="K27" s="67"/>
    </row>
    <row r="28" spans="1:11">
      <c r="A28" s="67" t="s">
        <v>55</v>
      </c>
      <c r="B28" s="71">
        <v>45741</v>
      </c>
      <c r="C28" s="67"/>
      <c r="D28" s="4" t="s">
        <v>17</v>
      </c>
      <c r="E28" s="67" t="s">
        <v>651</v>
      </c>
      <c r="F28" s="70">
        <v>1000000</v>
      </c>
      <c r="G28" s="81"/>
      <c r="H28" s="67" t="s">
        <v>623</v>
      </c>
      <c r="I28" s="67"/>
      <c r="J28" s="69" t="s">
        <v>665</v>
      </c>
      <c r="K28" s="67"/>
    </row>
    <row r="29" spans="1:11">
      <c r="A29" s="67" t="s">
        <v>50</v>
      </c>
      <c r="B29" s="71">
        <v>45666</v>
      </c>
      <c r="C29" s="67"/>
      <c r="D29" s="4" t="s">
        <v>17</v>
      </c>
      <c r="E29" s="67" t="s">
        <v>668</v>
      </c>
      <c r="F29" s="70">
        <v>1500000</v>
      </c>
      <c r="G29" s="81"/>
      <c r="H29" s="67" t="s">
        <v>617</v>
      </c>
      <c r="I29" s="67" t="s">
        <v>36</v>
      </c>
      <c r="J29" s="69" t="s">
        <v>669</v>
      </c>
      <c r="K29" s="67"/>
    </row>
    <row r="30" spans="1:11">
      <c r="A30" s="67" t="s">
        <v>50</v>
      </c>
      <c r="B30" s="71">
        <v>45664</v>
      </c>
      <c r="C30" s="67"/>
      <c r="D30" s="4" t="s">
        <v>17</v>
      </c>
      <c r="E30" s="4" t="s">
        <v>670</v>
      </c>
      <c r="F30" s="70">
        <v>500000</v>
      </c>
      <c r="G30" s="80" t="s">
        <v>710</v>
      </c>
      <c r="H30" s="4" t="s">
        <v>617</v>
      </c>
      <c r="I30" s="67" t="s">
        <v>36</v>
      </c>
      <c r="J30" s="10" t="s">
        <v>671</v>
      </c>
      <c r="K30" s="67"/>
    </row>
    <row r="31" spans="1:11">
      <c r="A31" s="67" t="s">
        <v>50</v>
      </c>
      <c r="B31" s="43">
        <v>45679</v>
      </c>
      <c r="D31" s="4" t="s">
        <v>17</v>
      </c>
      <c r="E31" s="4" t="s">
        <v>672</v>
      </c>
      <c r="F31" s="44">
        <v>1000000</v>
      </c>
      <c r="G31" s="80"/>
      <c r="H31" s="4" t="s">
        <v>617</v>
      </c>
      <c r="I31" s="67" t="s">
        <v>36</v>
      </c>
      <c r="J31" s="10" t="s">
        <v>673</v>
      </c>
    </row>
    <row r="32" spans="1:11">
      <c r="A32" s="67" t="s">
        <v>50</v>
      </c>
      <c r="B32" s="43">
        <v>45679</v>
      </c>
      <c r="D32" s="4" t="s">
        <v>17</v>
      </c>
      <c r="E32" s="4" t="s">
        <v>680</v>
      </c>
      <c r="F32" s="44">
        <v>900000</v>
      </c>
      <c r="G32" s="80"/>
      <c r="H32" s="4" t="s">
        <v>617</v>
      </c>
      <c r="I32" s="67" t="s">
        <v>36</v>
      </c>
      <c r="J32" s="10" t="s">
        <v>677</v>
      </c>
    </row>
    <row r="33" spans="1:11">
      <c r="A33" s="67" t="s">
        <v>50</v>
      </c>
      <c r="B33" s="43">
        <v>45741</v>
      </c>
      <c r="D33" s="4" t="s">
        <v>17</v>
      </c>
      <c r="E33" s="4" t="s">
        <v>680</v>
      </c>
      <c r="F33" s="44">
        <v>400000</v>
      </c>
      <c r="G33" s="80"/>
      <c r="H33" s="4" t="s">
        <v>619</v>
      </c>
      <c r="I33" s="4" t="s">
        <v>678</v>
      </c>
      <c r="J33" s="10" t="s">
        <v>679</v>
      </c>
    </row>
    <row r="34" spans="1:11">
      <c r="A34" s="4" t="s">
        <v>50</v>
      </c>
      <c r="B34" s="43">
        <v>45541</v>
      </c>
      <c r="D34" s="4" t="s">
        <v>17</v>
      </c>
      <c r="E34" s="4" t="s">
        <v>670</v>
      </c>
      <c r="F34" s="44">
        <v>510000</v>
      </c>
      <c r="G34" s="80">
        <v>544229</v>
      </c>
      <c r="H34" s="4" t="s">
        <v>623</v>
      </c>
      <c r="I34" s="4" t="s">
        <v>685</v>
      </c>
      <c r="J34" s="10"/>
    </row>
    <row r="35" spans="1:11">
      <c r="A35" s="4" t="s">
        <v>51</v>
      </c>
      <c r="B35" s="43">
        <v>45575</v>
      </c>
      <c r="D35" s="4" t="s">
        <v>17</v>
      </c>
      <c r="E35" s="4" t="s">
        <v>689</v>
      </c>
      <c r="F35" s="44">
        <v>3000000</v>
      </c>
      <c r="G35" s="80"/>
      <c r="H35" s="4" t="s">
        <v>617</v>
      </c>
      <c r="I35" s="4" t="s">
        <v>36</v>
      </c>
      <c r="J35" s="10" t="s">
        <v>703</v>
      </c>
    </row>
    <row r="36" spans="1:11">
      <c r="A36" s="4" t="s">
        <v>51</v>
      </c>
      <c r="B36" s="43">
        <v>45477</v>
      </c>
      <c r="D36" s="4" t="s">
        <v>17</v>
      </c>
      <c r="E36" s="4" t="s">
        <v>689</v>
      </c>
      <c r="F36" s="44">
        <v>1000000</v>
      </c>
      <c r="G36" s="80"/>
      <c r="H36" s="4" t="s">
        <v>617</v>
      </c>
      <c r="I36" s="4" t="s">
        <v>704</v>
      </c>
      <c r="J36" s="10" t="s">
        <v>705</v>
      </c>
    </row>
    <row r="37" spans="1:11">
      <c r="A37" s="4" t="s">
        <v>50</v>
      </c>
      <c r="B37" s="43">
        <v>45652</v>
      </c>
      <c r="D37" s="4" t="s">
        <v>17</v>
      </c>
      <c r="E37" s="4" t="s">
        <v>670</v>
      </c>
      <c r="F37" s="44">
        <v>1825000</v>
      </c>
      <c r="G37" s="80" t="s">
        <v>709</v>
      </c>
      <c r="H37" s="4" t="s">
        <v>617</v>
      </c>
      <c r="I37" s="4" t="s">
        <v>36</v>
      </c>
      <c r="J37" s="10" t="s">
        <v>708</v>
      </c>
    </row>
    <row r="38" spans="1:11">
      <c r="A38" s="4" t="s">
        <v>50</v>
      </c>
      <c r="B38" s="43">
        <v>45652</v>
      </c>
      <c r="D38" s="4" t="s">
        <v>17</v>
      </c>
      <c r="E38" s="4" t="s">
        <v>670</v>
      </c>
      <c r="F38" s="44">
        <v>175000</v>
      </c>
      <c r="G38" s="80">
        <v>544229</v>
      </c>
      <c r="H38" s="4" t="s">
        <v>617</v>
      </c>
      <c r="I38" s="4" t="s">
        <v>36</v>
      </c>
      <c r="J38" s="10" t="s">
        <v>708</v>
      </c>
    </row>
    <row r="39" spans="1:11">
      <c r="A39" s="4" t="s">
        <v>52</v>
      </c>
      <c r="B39" s="43">
        <v>45652</v>
      </c>
      <c r="D39" s="4" t="s">
        <v>17</v>
      </c>
      <c r="E39" s="4" t="s">
        <v>731</v>
      </c>
      <c r="F39" s="44">
        <v>250000</v>
      </c>
      <c r="G39" s="80"/>
      <c r="H39" s="4" t="s">
        <v>623</v>
      </c>
      <c r="I39" s="4" t="s">
        <v>685</v>
      </c>
      <c r="J39" s="10"/>
    </row>
    <row r="40" spans="1:11">
      <c r="A40" s="4" t="s">
        <v>52</v>
      </c>
      <c r="B40" s="43">
        <v>45663</v>
      </c>
      <c r="D40" s="4" t="s">
        <v>17</v>
      </c>
      <c r="E40" s="4" t="s">
        <v>731</v>
      </c>
      <c r="F40" s="44">
        <v>400000</v>
      </c>
      <c r="G40" s="80"/>
      <c r="H40" s="4" t="s">
        <v>617</v>
      </c>
      <c r="I40" s="4" t="s">
        <v>36</v>
      </c>
      <c r="J40" s="10" t="s">
        <v>732</v>
      </c>
    </row>
    <row r="41" spans="1:11">
      <c r="A41" s="67" t="s">
        <v>50</v>
      </c>
      <c r="B41" s="71">
        <v>45856</v>
      </c>
      <c r="C41" s="67"/>
      <c r="D41" s="4" t="s">
        <v>17</v>
      </c>
      <c r="E41" s="67" t="s">
        <v>638</v>
      </c>
      <c r="F41" s="70">
        <v>300000</v>
      </c>
      <c r="G41" s="81"/>
      <c r="H41" s="67" t="s">
        <v>623</v>
      </c>
      <c r="I41" s="67" t="s">
        <v>800</v>
      </c>
      <c r="J41" s="69" t="s">
        <v>801</v>
      </c>
      <c r="K41" s="67"/>
    </row>
    <row r="42" spans="1:11">
      <c r="A42" s="67" t="s">
        <v>52</v>
      </c>
      <c r="B42" s="71">
        <v>45856</v>
      </c>
      <c r="C42" s="67"/>
      <c r="D42" s="4" t="s">
        <v>17</v>
      </c>
      <c r="E42" s="67" t="s">
        <v>638</v>
      </c>
      <c r="F42" s="70">
        <v>100000</v>
      </c>
      <c r="G42" s="81"/>
      <c r="H42" s="67" t="s">
        <v>623</v>
      </c>
      <c r="I42" s="67" t="s">
        <v>685</v>
      </c>
      <c r="J42" s="69" t="s">
        <v>802</v>
      </c>
      <c r="K42" s="67"/>
    </row>
    <row r="43" spans="1:11">
      <c r="A43" s="67" t="s">
        <v>55</v>
      </c>
      <c r="B43" s="71">
        <v>45856</v>
      </c>
      <c r="C43" s="67"/>
      <c r="D43" s="4" t="s">
        <v>17</v>
      </c>
      <c r="E43" s="67" t="s">
        <v>721</v>
      </c>
      <c r="F43" s="70">
        <v>501500</v>
      </c>
      <c r="G43" s="81"/>
      <c r="H43" s="67" t="s">
        <v>623</v>
      </c>
      <c r="I43" s="67" t="s">
        <v>803</v>
      </c>
      <c r="J43" s="69" t="s">
        <v>804</v>
      </c>
      <c r="K43" s="67"/>
    </row>
    <row r="44" spans="1:11">
      <c r="A44" s="67" t="s">
        <v>50</v>
      </c>
      <c r="B44" s="71">
        <v>45856</v>
      </c>
      <c r="C44" s="67"/>
      <c r="D44" s="4" t="s">
        <v>17</v>
      </c>
      <c r="E44" s="67" t="s">
        <v>680</v>
      </c>
      <c r="F44" s="70">
        <v>500000</v>
      </c>
      <c r="G44" s="81"/>
      <c r="H44" s="67" t="s">
        <v>623</v>
      </c>
      <c r="I44" s="67" t="s">
        <v>800</v>
      </c>
      <c r="J44" s="69" t="s">
        <v>805</v>
      </c>
      <c r="K44" s="67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79998168889431442"/>
  </sheetPr>
  <dimension ref="A2:L2"/>
  <sheetViews>
    <sheetView workbookViewId="0">
      <selection activeCell="AA4" sqref="AA4"/>
    </sheetView>
  </sheetViews>
  <sheetFormatPr baseColWidth="10" defaultRowHeight="14.4"/>
  <cols>
    <col min="1" max="1" width="8.6640625" customWidth="1"/>
    <col min="2" max="2" width="12.21875" customWidth="1"/>
    <col min="3" max="3" width="25.77734375" customWidth="1"/>
    <col min="4" max="4" width="12.6640625" bestFit="1" customWidth="1"/>
    <col min="5" max="5" width="18.33203125" customWidth="1"/>
    <col min="6" max="6" width="18" customWidth="1"/>
    <col min="7" max="7" width="19.5546875" customWidth="1"/>
    <col min="8" max="8" width="16.44140625" customWidth="1"/>
    <col min="9" max="9" width="20.109375" customWidth="1"/>
    <col min="10" max="10" width="19.21875" customWidth="1"/>
    <col min="11" max="11" width="20.21875" customWidth="1"/>
    <col min="12" max="12" width="15.6640625" customWidth="1"/>
  </cols>
  <sheetData>
    <row r="2" spans="1:12">
      <c r="A2" t="s">
        <v>27</v>
      </c>
      <c r="B2" t="s">
        <v>131</v>
      </c>
      <c r="C2" t="s">
        <v>132</v>
      </c>
      <c r="D2" t="s">
        <v>133</v>
      </c>
      <c r="E2" t="s">
        <v>255</v>
      </c>
      <c r="F2" t="s">
        <v>134</v>
      </c>
      <c r="G2" t="s">
        <v>256</v>
      </c>
      <c r="H2" t="s">
        <v>135</v>
      </c>
      <c r="I2" t="s">
        <v>136</v>
      </c>
      <c r="J2" t="s">
        <v>19</v>
      </c>
      <c r="K2" t="s">
        <v>257</v>
      </c>
      <c r="L2" t="s">
        <v>258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J2"/>
  <sheetViews>
    <sheetView workbookViewId="0">
      <selection activeCell="AA4" sqref="AA4"/>
    </sheetView>
  </sheetViews>
  <sheetFormatPr baseColWidth="10" defaultRowHeight="14.4"/>
  <cols>
    <col min="3" max="3" width="8.6640625" customWidth="1"/>
    <col min="4" max="4" width="21.88671875" customWidth="1"/>
    <col min="5" max="5" width="19.77734375" bestFit="1" customWidth="1"/>
    <col min="6" max="6" width="19.5546875" customWidth="1"/>
    <col min="7" max="7" width="17.21875" customWidth="1"/>
    <col min="8" max="8" width="19.21875" customWidth="1"/>
    <col min="10" max="10" width="13.88671875" customWidth="1"/>
  </cols>
  <sheetData>
    <row r="2" spans="3:10"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19</v>
      </c>
      <c r="I2" t="s">
        <v>32</v>
      </c>
      <c r="J2" t="s">
        <v>33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B1:K37"/>
  <sheetViews>
    <sheetView workbookViewId="0">
      <selection activeCell="AA4" sqref="AA4"/>
    </sheetView>
  </sheetViews>
  <sheetFormatPr baseColWidth="10" defaultRowHeight="14.4"/>
  <cols>
    <col min="3" max="3" width="18.33203125" bestFit="1" customWidth="1"/>
    <col min="4" max="6" width="21.109375" customWidth="1"/>
    <col min="7" max="7" width="22.77734375" customWidth="1"/>
    <col min="8" max="8" width="21.109375" customWidth="1"/>
    <col min="9" max="9" width="24.77734375" customWidth="1"/>
    <col min="10" max="10" width="13.6640625" bestFit="1" customWidth="1"/>
  </cols>
  <sheetData>
    <row r="1" spans="2:11">
      <c r="C1" t="s">
        <v>10</v>
      </c>
      <c r="D1" s="39">
        <v>45682</v>
      </c>
      <c r="E1" s="2"/>
    </row>
    <row r="2" spans="2:11">
      <c r="C2" t="s">
        <v>3</v>
      </c>
      <c r="D2" s="40">
        <v>0</v>
      </c>
    </row>
    <row r="3" spans="2:11">
      <c r="C3" t="s">
        <v>7</v>
      </c>
      <c r="D3" s="41">
        <v>100000</v>
      </c>
      <c r="E3" s="42"/>
    </row>
    <row r="4" spans="2:11">
      <c r="C4" t="s">
        <v>25</v>
      </c>
      <c r="D4" s="41">
        <v>100000</v>
      </c>
      <c r="E4" s="42"/>
      <c r="F4" t="s">
        <v>289</v>
      </c>
    </row>
    <row r="5" spans="2:11">
      <c r="E5" s="23" t="s">
        <v>283</v>
      </c>
      <c r="F5" s="23"/>
      <c r="G5" s="24" t="s">
        <v>285</v>
      </c>
      <c r="H5" s="25" t="s">
        <v>284</v>
      </c>
      <c r="I5" s="24" t="s">
        <v>285</v>
      </c>
    </row>
    <row r="6" spans="2:11">
      <c r="B6" s="28" t="s">
        <v>16</v>
      </c>
      <c r="C6" s="28" t="s">
        <v>8</v>
      </c>
      <c r="D6" s="28" t="s">
        <v>5</v>
      </c>
      <c r="E6" s="28" t="s">
        <v>282</v>
      </c>
      <c r="F6" s="28" t="s">
        <v>279</v>
      </c>
      <c r="G6" s="28" t="s">
        <v>280</v>
      </c>
      <c r="H6" s="28" t="s">
        <v>281</v>
      </c>
      <c r="I6" s="28" t="s">
        <v>286</v>
      </c>
      <c r="J6" s="28" t="s">
        <v>9</v>
      </c>
      <c r="K6" s="29" t="s">
        <v>25</v>
      </c>
    </row>
    <row r="7" spans="2:11">
      <c r="B7" s="30">
        <f>COUNTIF($C$6:C7,"&lt;&gt;"&amp;C7)</f>
        <v>1</v>
      </c>
      <c r="C7" s="31">
        <f>+$D$1</f>
        <v>45682</v>
      </c>
      <c r="D7" s="32">
        <f>+IF($D$2=0,SUMIFS(Tableau3[MONTANT TTC],Tableau3[ECHEANCE],"&lt;="&amp;'PROJECTIONS TRESORERIE'!C$7,Tableau3[PAYE],""),SUMIFS(Tableau3[MONTANT TTC],Tableau3[ECHEANCE],"&lt;="&amp;'PROJECTIONS TRESORERIE'!C$7,Tableau3[PAYE],"",Tableau3[ENTITE],'PROJECTIONS TRESORERIE'!$D$2))</f>
        <v>200000</v>
      </c>
      <c r="E7" s="32">
        <f>IF($D$2=0,SUMIFS(Tableau222[MONTANT TTC],Tableau222[DATE ÉCHÉANCE_
ENGAGEMENT],"&lt;="&amp;'PROJECTIONS TRESORERIE'!C$7,Tableau222[ÉTAT],""),SUMIFS(Tableau222[MONTANT TTC],Tableau222[DATE ÉCHÉANCE_
ENGAGEMENT],"&lt;="&amp;'PROJECTIONS TRESORERIE'!C$7,Tableau222[ÉTAT],"",Tableau3[ENTITE],'PROJECTIONS TRESORERIE'!$D$2))</f>
        <v>104867139</v>
      </c>
      <c r="F7" s="32">
        <f>IF($D$2=0,SUMIFS(Tableau222[MONTANT TTC],Tableau222[DATE ÉCHÉANCE_
ENGAGEMENT],"&lt;="&amp;'PROJECTIONS TRESORERIE'!C$7,Tableau222[ÉTAT],""),SUMIFS(Tableau222[MONTANT TTC],Tableau222[DATE ÉCHÉANCE_
ENGAGEMENT],"&lt;="&amp;'PROJECTIONS TRESORERIE'!C$7,Tableau222[ÉTAT],"",Tableau3[ENTITE],'PROJECTIONS TRESORERIE'!$D$2))</f>
        <v>104867139</v>
      </c>
      <c r="G7" s="30">
        <f>IF($D$2=0,SUMIFS(Tableau5[MONTANT TTC],Tableau5[JOUR DE PRELEVEMENT],DAY('PROJECTIONS TRESORERIE'!$C7)),SUMIFS(Tableau5[MONTANT TTC],Tableau5[JOUR DE PRELEVEMENT],DAY('PROJECTIONS TRESORERIE'!$C7),Tableau5[ENTITE],'PROJECTIONS TRESORERIE'!$D$2))</f>
        <v>0</v>
      </c>
      <c r="H7" s="30">
        <f>IF($D$2=0,SUMIFS(Tableau5[MONTANT TTC],Tableau5[JOUR DE PRELEVEMENT],DAY('PROJECTIONS TRESORERIE'!$C7)),SUMIFS(Tableau5[MONTANT TTC],Tableau5[JOUR DE PRELEVEMENT],DAY('PROJECTIONS TRESORERIE'!$C7),Tableau5[ENTITE],'PROJECTIONS TRESORERIE'!$D$2))</f>
        <v>0</v>
      </c>
      <c r="I7" s="30">
        <f ca="1">IF($D$2=0,SUMIFS(Tableau6[MONTANT DÉCLARÉ],Tableau6[DATE DE PAIEMENT],DAY('PROJECTIONS TRESORERIE'!$C7),Tableau6[[ STATUT]],""),SUMIFS(Tableau6[MONTANT DÉCLARÉ],Tableau6[DATE DE PAIEMENT],DAY('PROJECTIONS TRESORERIE'!$C7),Tableau6[[ STATUT]],"",Tableau6[ENTITÉ],'PROJECTIONS TRESORERIE'!$D$2))</f>
        <v>0</v>
      </c>
      <c r="J7" s="33">
        <f ca="1">+$D$3+SUM($D$6:D7)-SUM($F$6:F7)-SUM($G$6:G7)-SUM($I$6:I7)</f>
        <v>-104567139</v>
      </c>
      <c r="K7" s="33">
        <f>+$D$4</f>
        <v>100000</v>
      </c>
    </row>
    <row r="8" spans="2:11">
      <c r="B8" s="34">
        <f>COUNTIF($C$6:C8,"&lt;&gt;"&amp;C8)</f>
        <v>2</v>
      </c>
      <c r="C8" s="35">
        <f t="shared" ref="C8:C36" si="0">+C7+1</f>
        <v>45683</v>
      </c>
      <c r="D8" s="34">
        <f>+IF($D$2=0,SUMIFS(Tableau3[MONTANT TTC],Tableau3[ECHEANCE],'PROJECTIONS TRESORERIE'!C8,Tableau3[PAYE],""),SUMIFS(Tableau3[MONTANT TTC],Tableau3[ECHEANCE],'PROJECTIONS TRESORERIE'!C8,Tableau3[PAYE],"",Tableau3[ENTITE],'PROJECTIONS TRESORERIE'!$D$2))</f>
        <v>0</v>
      </c>
      <c r="E8" s="34">
        <f>+IF($D$2=0,SUMIFS(Tableau222[MONTANT TTC],Tableau222[DATE ÉCHÉANCE_
ENGAGEMENT],'PROJECTIONS TRESORERIE'!C8,Tableau222[ÉTAT],""),SUMIFS(Tableau222[MONTANT TTC],Tableau222[DATE ÉCHÉANCE_
ENGAGEMENT],'PROJECTIONS TRESORERIE'!C8,Tableau222[ÉTAT],"",Tableau3[ENTITE],'PROJECTIONS TRESORERIE'!$D$2))</f>
        <v>0</v>
      </c>
      <c r="F8" s="34">
        <f>+IF($D$2=0,SUMIFS(Tableau222[MONTANT TTC],Tableau222[DATE ÉCHÉANCE_
ENGAGEMENT],'PROJECTIONS TRESORERIE'!C8,Tableau222[ÉTAT],""),SUMIFS(Tableau222[MONTANT TTC],Tableau222[DATE ÉCHÉANCE_
ENGAGEMENT],'PROJECTIONS TRESORERIE'!C8,Tableau222[ÉTAT],"",Tableau3[ENTITE],'PROJECTIONS TRESORERIE'!$D$2))</f>
        <v>0</v>
      </c>
      <c r="G8" s="34">
        <f>IF($D$2=0,SUMIFS(Tableau5[MONTANT TTC],Tableau5[JOUR DE PRELEVEMENT],DAY('PROJECTIONS TRESORERIE'!$C8)),SUMIFS(Tableau5[MONTANT TTC],Tableau5[JOUR DE PRELEVEMENT],DAY('PROJECTIONS TRESORERIE'!$C8),Tableau5[ENTITE],'PROJECTIONS TRESORERIE'!$D$2))</f>
        <v>0</v>
      </c>
      <c r="H8" s="34">
        <f>IF($D$2=0,SUMIFS(Tableau5[MONTANT TTC],Tableau5[JOUR DE PRELEVEMENT],DAY('PROJECTIONS TRESORERIE'!$C8)),SUMIFS(Tableau5[MONTANT TTC],Tableau5[JOUR DE PRELEVEMENT],DAY('PROJECTIONS TRESORERIE'!$C8),Tableau5[ENTITE],'PROJECTIONS TRESORERIE'!$D$2))</f>
        <v>0</v>
      </c>
      <c r="I8" s="34">
        <f ca="1">IF($D$2=0,SUMIFS(Tableau6[MONTANT DÉCLARÉ],Tableau6[DATE DE PAIEMENT],DAY('PROJECTIONS TRESORERIE'!$C8),Tableau6[[ STATUT]],""),SUMIFS(Tableau6[MONTANT DÉCLARÉ],Tableau6[DATE DE PAIEMENT],DAY('PROJECTIONS TRESORERIE'!$C8),Tableau6[[ STATUT]],"",Tableau6[ENTITÉ],'PROJECTIONS TRESORERIE'!$D$2))</f>
        <v>0</v>
      </c>
      <c r="J8" s="36">
        <f ca="1">+$D$3+SUM($D$6:D8)-SUM($F$6:F8)-SUM($G$6:G8)-SUM($I$6:I8)</f>
        <v>-104567139</v>
      </c>
      <c r="K8" s="36">
        <f t="shared" ref="K8:K37" si="1">+$D$4</f>
        <v>100000</v>
      </c>
    </row>
    <row r="9" spans="2:11">
      <c r="B9" s="30">
        <f>COUNTIF($C$6:C9,"&lt;&gt;"&amp;C9)</f>
        <v>3</v>
      </c>
      <c r="C9" s="31">
        <f t="shared" si="0"/>
        <v>45684</v>
      </c>
      <c r="D9" s="30">
        <f>+IF($D$2=0,SUMIFS(Tableau3[MONTANT TTC],Tableau3[ECHEANCE],'PROJECTIONS TRESORERIE'!C9,Tableau3[PAYE],""),SUMIFS(Tableau3[MONTANT TTC],Tableau3[ECHEANCE],'PROJECTIONS TRESORERIE'!C9,Tableau3[PAYE],"",Tableau3[ENTITE],'PROJECTIONS TRESORERIE'!$D$2))</f>
        <v>0</v>
      </c>
      <c r="E9" s="30">
        <f>+IF($D$2=0,SUMIFS(Tableau222[MONTANT TTC],Tableau222[DATE ÉCHÉANCE_
ENGAGEMENT],'PROJECTIONS TRESORERIE'!C9,Tableau222[ÉTAT],""),SUMIFS(Tableau222[MONTANT TTC],Tableau222[DATE ÉCHÉANCE_
ENGAGEMENT],'PROJECTIONS TRESORERIE'!C9,Tableau222[ÉTAT],"",Tableau3[ENTITE],'PROJECTIONS TRESORERIE'!$D$2))</f>
        <v>5731250</v>
      </c>
      <c r="F9" s="30">
        <f>+IF($D$2=0,SUMIFS(Tableau222[MONTANT TTC],Tableau222[DATE ÉCHÉANCE_
ENGAGEMENT],'PROJECTIONS TRESORERIE'!C9,Tableau222[ÉTAT],""),SUMIFS(Tableau222[MONTANT TTC],Tableau222[DATE ÉCHÉANCE_
ENGAGEMENT],'PROJECTIONS TRESORERIE'!C9,Tableau222[ÉTAT],"",Tableau3[ENTITE],'PROJECTIONS TRESORERIE'!$D$2))</f>
        <v>5731250</v>
      </c>
      <c r="G9" s="30">
        <f>IF($D$2=0,SUMIFS(Tableau5[MONTANT TTC],Tableau5[JOUR DE PRELEVEMENT],DAY('PROJECTIONS TRESORERIE'!$C9)),SUMIFS(Tableau5[MONTANT TTC],Tableau5[JOUR DE PRELEVEMENT],DAY('PROJECTIONS TRESORERIE'!$C9),Tableau5[ENTITE],'PROJECTIONS TRESORERIE'!$D$2))</f>
        <v>0</v>
      </c>
      <c r="H9" s="30">
        <f>IF($D$2=0,SUMIFS(Tableau5[MONTANT TTC],Tableau5[JOUR DE PRELEVEMENT],DAY('PROJECTIONS TRESORERIE'!$C9)),SUMIFS(Tableau5[MONTANT TTC],Tableau5[JOUR DE PRELEVEMENT],DAY('PROJECTIONS TRESORERIE'!$C9),Tableau5[ENTITE],'PROJECTIONS TRESORERIE'!$D$2))</f>
        <v>0</v>
      </c>
      <c r="I9" s="30">
        <f ca="1">IF($D$2=0,SUMIFS(Tableau6[MONTANT DÉCLARÉ],Tableau6[DATE DE PAIEMENT],DAY('PROJECTIONS TRESORERIE'!$C9),Tableau6[[ STATUT]],""),SUMIFS(Tableau6[MONTANT DÉCLARÉ],Tableau6[DATE DE PAIEMENT],DAY('PROJECTIONS TRESORERIE'!$C9),Tableau6[[ STATUT]],"",Tableau6[ENTITÉ],'PROJECTIONS TRESORERIE'!$D$2))</f>
        <v>0</v>
      </c>
      <c r="J9" s="33">
        <f ca="1">+$D$3+SUM($D$6:D9)-SUM($F$6:F9)-SUM($G$6:G9)-SUM($I$6:I9)</f>
        <v>-110298389</v>
      </c>
      <c r="K9" s="33">
        <f t="shared" si="1"/>
        <v>100000</v>
      </c>
    </row>
    <row r="10" spans="2:11">
      <c r="B10" s="34">
        <f>COUNTIF($C$6:C10,"&lt;&gt;"&amp;C10)</f>
        <v>4</v>
      </c>
      <c r="C10" s="35">
        <f t="shared" si="0"/>
        <v>45685</v>
      </c>
      <c r="D10" s="34">
        <f>+IF($D$2=0,SUMIFS(Tableau3[MONTANT TTC],Tableau3[ECHEANCE],'PROJECTIONS TRESORERIE'!C10,Tableau3[PAYE],""),SUMIFS(Tableau3[MONTANT TTC],Tableau3[ECHEANCE],'PROJECTIONS TRESORERIE'!C10,Tableau3[PAYE],"",Tableau3[ENTITE],'PROJECTIONS TRESORERIE'!$D$2))</f>
        <v>0</v>
      </c>
      <c r="E10" s="34">
        <f>+IF($D$2=0,SUMIFS(Tableau222[MONTANT TTC],Tableau222[DATE ÉCHÉANCE_
ENGAGEMENT],'PROJECTIONS TRESORERIE'!C10,Tableau222[ÉTAT],""),SUMIFS(Tableau222[MONTANT TTC],Tableau222[DATE ÉCHÉANCE_
ENGAGEMENT],'PROJECTIONS TRESORERIE'!C10,Tableau222[ÉTAT],"",Tableau3[ENTITE],'PROJECTIONS TRESORERIE'!$D$2))</f>
        <v>0</v>
      </c>
      <c r="F10" s="34">
        <f>+IF($D$2=0,SUMIFS(Tableau222[MONTANT TTC],Tableau222[DATE ÉCHÉANCE_
ENGAGEMENT],'PROJECTIONS TRESORERIE'!C10,Tableau222[ÉTAT],""),SUMIFS(Tableau222[MONTANT TTC],Tableau222[DATE ÉCHÉANCE_
ENGAGEMENT],'PROJECTIONS TRESORERIE'!C10,Tableau222[ÉTAT],"",Tableau3[ENTITE],'PROJECTIONS TRESORERIE'!$D$2))</f>
        <v>0</v>
      </c>
      <c r="G10" s="34">
        <f>IF($D$2=0,SUMIFS(Tableau5[MONTANT TTC],Tableau5[JOUR DE PRELEVEMENT],DAY('PROJECTIONS TRESORERIE'!$C10)),SUMIFS(Tableau5[MONTANT TTC],Tableau5[JOUR DE PRELEVEMENT],DAY('PROJECTIONS TRESORERIE'!$C10),Tableau5[ENTITE],'PROJECTIONS TRESORERIE'!$D$2))</f>
        <v>0</v>
      </c>
      <c r="H10" s="34">
        <f>IF($D$2=0,SUMIFS(Tableau5[MONTANT TTC],Tableau5[JOUR DE PRELEVEMENT],DAY('PROJECTIONS TRESORERIE'!$C10)),SUMIFS(Tableau5[MONTANT TTC],Tableau5[JOUR DE PRELEVEMENT],DAY('PROJECTIONS TRESORERIE'!$C10),Tableau5[ENTITE],'PROJECTIONS TRESORERIE'!$D$2))</f>
        <v>0</v>
      </c>
      <c r="I10" s="34">
        <f ca="1">IF($D$2=0,SUMIFS(Tableau6[MONTANT DÉCLARÉ],Tableau6[DATE DE PAIEMENT],DAY('PROJECTIONS TRESORERIE'!$C10),Tableau6[[ STATUT]],""),SUMIFS(Tableau6[MONTANT DÉCLARÉ],Tableau6[DATE DE PAIEMENT],DAY('PROJECTIONS TRESORERIE'!$C10),Tableau6[[ STATUT]],"",Tableau6[ENTITÉ],'PROJECTIONS TRESORERIE'!$D$2))</f>
        <v>0</v>
      </c>
      <c r="J10" s="36">
        <f ca="1">+$D$3+SUM($D$6:D10)-SUM($F$6:F10)-SUM($G$6:G10)-SUM($I$6:I10)</f>
        <v>-110298389</v>
      </c>
      <c r="K10" s="36">
        <f t="shared" si="1"/>
        <v>100000</v>
      </c>
    </row>
    <row r="11" spans="2:11">
      <c r="B11" s="30">
        <f>COUNTIF($C$6:C11,"&lt;&gt;"&amp;C11)</f>
        <v>5</v>
      </c>
      <c r="C11" s="31">
        <f t="shared" si="0"/>
        <v>45686</v>
      </c>
      <c r="D11" s="30">
        <f>+IF($D$2=0,SUMIFS(Tableau3[MONTANT TTC],Tableau3[ECHEANCE],'PROJECTIONS TRESORERIE'!C11,Tableau3[PAYE],""),SUMIFS(Tableau3[MONTANT TTC],Tableau3[ECHEANCE],'PROJECTIONS TRESORERIE'!C11,Tableau3[PAYE],"",Tableau3[ENTITE],'PROJECTIONS TRESORERIE'!$D$2))</f>
        <v>0</v>
      </c>
      <c r="E11" s="30">
        <f>+IF($D$2=0,SUMIFS(Tableau222[MONTANT TTC],Tableau222[DATE ÉCHÉANCE_
ENGAGEMENT],'PROJECTIONS TRESORERIE'!C11,Tableau222[ÉTAT],""),SUMIFS(Tableau222[MONTANT TTC],Tableau222[DATE ÉCHÉANCE_
ENGAGEMENT],'PROJECTIONS TRESORERIE'!C11,Tableau222[ÉTAT],"",Tableau3[ENTITE],'PROJECTIONS TRESORERIE'!$D$2))</f>
        <v>0</v>
      </c>
      <c r="F11" s="30">
        <f>+IF($D$2=0,SUMIFS(Tableau222[MONTANT TTC],Tableau222[DATE ÉCHÉANCE_
ENGAGEMENT],'PROJECTIONS TRESORERIE'!C11,Tableau222[ÉTAT],""),SUMIFS(Tableau222[MONTANT TTC],Tableau222[DATE ÉCHÉANCE_
ENGAGEMENT],'PROJECTIONS TRESORERIE'!C11,Tableau222[ÉTAT],"",Tableau3[ENTITE],'PROJECTIONS TRESORERIE'!$D$2))</f>
        <v>0</v>
      </c>
      <c r="G11" s="30">
        <f>IF($D$2=0,SUMIFS(Tableau5[MONTANT TTC],Tableau5[JOUR DE PRELEVEMENT],DAY('PROJECTIONS TRESORERIE'!$C11)),SUMIFS(Tableau5[MONTANT TTC],Tableau5[JOUR DE PRELEVEMENT],DAY('PROJECTIONS TRESORERIE'!$C11),Tableau5[ENTITE],'PROJECTIONS TRESORERIE'!$D$2))</f>
        <v>0</v>
      </c>
      <c r="H11" s="30">
        <f>IF($D$2=0,SUMIFS(Tableau5[MONTANT TTC],Tableau5[JOUR DE PRELEVEMENT],DAY('PROJECTIONS TRESORERIE'!$C11)),SUMIFS(Tableau5[MONTANT TTC],Tableau5[JOUR DE PRELEVEMENT],DAY('PROJECTIONS TRESORERIE'!$C11),Tableau5[ENTITE],'PROJECTIONS TRESORERIE'!$D$2))</f>
        <v>0</v>
      </c>
      <c r="I11" s="30">
        <f ca="1">IF($D$2=0,SUMIFS(Tableau6[MONTANT DÉCLARÉ],Tableau6[DATE DE PAIEMENT],DAY('PROJECTIONS TRESORERIE'!$C11),Tableau6[[ STATUT]],""),SUMIFS(Tableau6[MONTANT DÉCLARÉ],Tableau6[DATE DE PAIEMENT],DAY('PROJECTIONS TRESORERIE'!$C11),Tableau6[[ STATUT]],"",Tableau6[ENTITÉ],'PROJECTIONS TRESORERIE'!$D$2))</f>
        <v>0</v>
      </c>
      <c r="J11" s="33">
        <f ca="1">+$D$3+SUM($D$6:D11)-SUM($F$6:F11)-SUM($G$6:G11)-SUM($I$6:I11)</f>
        <v>-110298389</v>
      </c>
      <c r="K11" s="33">
        <f t="shared" si="1"/>
        <v>100000</v>
      </c>
    </row>
    <row r="12" spans="2:11">
      <c r="B12" s="34">
        <f>COUNTIF($C$6:C12,"&lt;&gt;"&amp;C12)</f>
        <v>6</v>
      </c>
      <c r="C12" s="35">
        <f t="shared" si="0"/>
        <v>45687</v>
      </c>
      <c r="D12" s="34">
        <f>+IF($D$2=0,SUMIFS(Tableau3[MONTANT TTC],Tableau3[ECHEANCE],'PROJECTIONS TRESORERIE'!C12,Tableau3[PAYE],""),SUMIFS(Tableau3[MONTANT TTC],Tableau3[ECHEANCE],'PROJECTIONS TRESORERIE'!C12,Tableau3[PAYE],"",Tableau3[ENTITE],'PROJECTIONS TRESORERIE'!$D$2))</f>
        <v>0</v>
      </c>
      <c r="E12" s="34">
        <f>+IF($D$2=0,SUMIFS(Tableau222[MONTANT TTC],Tableau222[DATE ÉCHÉANCE_
ENGAGEMENT],'PROJECTIONS TRESORERIE'!C12,Tableau222[ÉTAT],""),SUMIFS(Tableau222[MONTANT TTC],Tableau222[DATE ÉCHÉANCE_
ENGAGEMENT],'PROJECTIONS TRESORERIE'!C12,Tableau222[ÉTAT],"",Tableau3[ENTITE],'PROJECTIONS TRESORERIE'!$D$2))</f>
        <v>0</v>
      </c>
      <c r="F12" s="34">
        <f>+IF($D$2=0,SUMIFS(Tableau222[MONTANT TTC],Tableau222[DATE ÉCHÉANCE_
ENGAGEMENT],'PROJECTIONS TRESORERIE'!C12,Tableau222[ÉTAT],""),SUMIFS(Tableau222[MONTANT TTC],Tableau222[DATE ÉCHÉANCE_
ENGAGEMENT],'PROJECTIONS TRESORERIE'!C12,Tableau222[ÉTAT],"",Tableau3[ENTITE],'PROJECTIONS TRESORERIE'!$D$2))</f>
        <v>0</v>
      </c>
      <c r="G12" s="34">
        <f>IF($D$2=0,SUMIFS(Tableau5[MONTANT TTC],Tableau5[JOUR DE PRELEVEMENT],DAY('PROJECTIONS TRESORERIE'!$C12)),SUMIFS(Tableau5[MONTANT TTC],Tableau5[JOUR DE PRELEVEMENT],DAY('PROJECTIONS TRESORERIE'!$C12),Tableau5[ENTITE],'PROJECTIONS TRESORERIE'!$D$2))</f>
        <v>0</v>
      </c>
      <c r="H12" s="34">
        <f>IF($D$2=0,SUMIFS(Tableau5[MONTANT TTC],Tableau5[JOUR DE PRELEVEMENT],DAY('PROJECTIONS TRESORERIE'!$C12)),SUMIFS(Tableau5[MONTANT TTC],Tableau5[JOUR DE PRELEVEMENT],DAY('PROJECTIONS TRESORERIE'!$C12),Tableau5[ENTITE],'PROJECTIONS TRESORERIE'!$D$2))</f>
        <v>0</v>
      </c>
      <c r="I12" s="34">
        <f ca="1">IF($D$2=0,SUMIFS(Tableau6[MONTANT DÉCLARÉ],Tableau6[DATE DE PAIEMENT],DAY('PROJECTIONS TRESORERIE'!$C12),Tableau6[[ STATUT]],""),SUMIFS(Tableau6[MONTANT DÉCLARÉ],Tableau6[DATE DE PAIEMENT],DAY('PROJECTIONS TRESORERIE'!$C12),Tableau6[[ STATUT]],"",Tableau6[ENTITÉ],'PROJECTIONS TRESORERIE'!$D$2))</f>
        <v>0</v>
      </c>
      <c r="J12" s="36">
        <f ca="1">+$D$3+SUM($D$6:D12)-SUM($F$6:F12)-SUM($G$6:G12)-SUM($I$6:I12)</f>
        <v>-110298389</v>
      </c>
      <c r="K12" s="36">
        <f t="shared" si="1"/>
        <v>100000</v>
      </c>
    </row>
    <row r="13" spans="2:11">
      <c r="B13" s="30">
        <f>COUNTIF($C$6:C13,"&lt;&gt;"&amp;C13)</f>
        <v>7</v>
      </c>
      <c r="C13" s="31">
        <f t="shared" si="0"/>
        <v>45688</v>
      </c>
      <c r="D13" s="30">
        <f>+IF($D$2=0,SUMIFS(Tableau3[MONTANT TTC],Tableau3[ECHEANCE],'PROJECTIONS TRESORERIE'!C13,Tableau3[PAYE],""),SUMIFS(Tableau3[MONTANT TTC],Tableau3[ECHEANCE],'PROJECTIONS TRESORERIE'!C13,Tableau3[PAYE],"",Tableau3[ENTITE],'PROJECTIONS TRESORERIE'!$D$2))</f>
        <v>0</v>
      </c>
      <c r="E13" s="30">
        <f>+IF($D$2=0,SUMIFS(Tableau222[MONTANT TTC],Tableau222[DATE ÉCHÉANCE_
ENGAGEMENT],'PROJECTIONS TRESORERIE'!C13,Tableau222[ÉTAT],""),SUMIFS(Tableau222[MONTANT TTC],Tableau222[DATE ÉCHÉANCE_
ENGAGEMENT],'PROJECTIONS TRESORERIE'!C13,Tableau222[ÉTAT],"",Tableau3[ENTITE],'PROJECTIONS TRESORERIE'!$D$2))</f>
        <v>0</v>
      </c>
      <c r="F13" s="30">
        <f>+IF($D$2=0,SUMIFS(Tableau222[MONTANT TTC],Tableau222[DATE ÉCHÉANCE_
ENGAGEMENT],'PROJECTIONS TRESORERIE'!C13,Tableau222[ÉTAT],""),SUMIFS(Tableau222[MONTANT TTC],Tableau222[DATE ÉCHÉANCE_
ENGAGEMENT],'PROJECTIONS TRESORERIE'!C13,Tableau222[ÉTAT],"",Tableau3[ENTITE],'PROJECTIONS TRESORERIE'!$D$2))</f>
        <v>0</v>
      </c>
      <c r="G13" s="30">
        <f>IF($D$2=0,SUMIFS(Tableau5[MONTANT TTC],Tableau5[JOUR DE PRELEVEMENT],DAY('PROJECTIONS TRESORERIE'!$C13)),SUMIFS(Tableau5[MONTANT TTC],Tableau5[JOUR DE PRELEVEMENT],DAY('PROJECTIONS TRESORERIE'!$C13),Tableau5[ENTITE],'PROJECTIONS TRESORERIE'!$D$2))</f>
        <v>0</v>
      </c>
      <c r="H13" s="30">
        <f>IF($D$2=0,SUMIFS(Tableau5[MONTANT TTC],Tableau5[JOUR DE PRELEVEMENT],DAY('PROJECTIONS TRESORERIE'!$C13)),SUMIFS(Tableau5[MONTANT TTC],Tableau5[JOUR DE PRELEVEMENT],DAY('PROJECTIONS TRESORERIE'!$C13),Tableau5[ENTITE],'PROJECTIONS TRESORERIE'!$D$2))</f>
        <v>0</v>
      </c>
      <c r="I13" s="30">
        <f ca="1">IF($D$2=0,SUMIFS(Tableau6[MONTANT DÉCLARÉ],Tableau6[DATE DE PAIEMENT],DAY('PROJECTIONS TRESORERIE'!$C13),Tableau6[[ STATUT]],""),SUMIFS(Tableau6[MONTANT DÉCLARÉ],Tableau6[DATE DE PAIEMENT],DAY('PROJECTIONS TRESORERIE'!$C13),Tableau6[[ STATUT]],"",Tableau6[ENTITÉ],'PROJECTIONS TRESORERIE'!$D$2))</f>
        <v>0</v>
      </c>
      <c r="J13" s="33">
        <f ca="1">+$D$3+SUM($D$6:D13)-SUM($F$6:F13)-SUM($G$6:G13)-SUM($I$6:I13)</f>
        <v>-110298389</v>
      </c>
      <c r="K13" s="33">
        <f t="shared" si="1"/>
        <v>100000</v>
      </c>
    </row>
    <row r="14" spans="2:11">
      <c r="B14" s="34">
        <f>COUNTIF($C$6:C14,"&lt;&gt;"&amp;C14)</f>
        <v>8</v>
      </c>
      <c r="C14" s="35">
        <f t="shared" si="0"/>
        <v>45689</v>
      </c>
      <c r="D14" s="34">
        <f>+IF($D$2=0,SUMIFS(Tableau3[MONTANT TTC],Tableau3[ECHEANCE],'PROJECTIONS TRESORERIE'!C14,Tableau3[PAYE],""),SUMIFS(Tableau3[MONTANT TTC],Tableau3[ECHEANCE],'PROJECTIONS TRESORERIE'!C14,Tableau3[PAYE],"",Tableau3[ENTITE],'PROJECTIONS TRESORERIE'!$D$2))</f>
        <v>0</v>
      </c>
      <c r="E14" s="34">
        <f>+IF($D$2=0,SUMIFS(Tableau222[MONTANT TTC],Tableau222[DATE ÉCHÉANCE_
ENGAGEMENT],'PROJECTIONS TRESORERIE'!C14,Tableau222[ÉTAT],""),SUMIFS(Tableau222[MONTANT TTC],Tableau222[DATE ÉCHÉANCE_
ENGAGEMENT],'PROJECTIONS TRESORERIE'!C14,Tableau222[ÉTAT],"",Tableau3[ENTITE],'PROJECTIONS TRESORERIE'!$D$2))</f>
        <v>0</v>
      </c>
      <c r="F14" s="34">
        <f>+IF($D$2=0,SUMIFS(Tableau222[MONTANT TTC],Tableau222[DATE ÉCHÉANCE_
ENGAGEMENT],'PROJECTIONS TRESORERIE'!C14,Tableau222[ÉTAT],""),SUMIFS(Tableau222[MONTANT TTC],Tableau222[DATE ÉCHÉANCE_
ENGAGEMENT],'PROJECTIONS TRESORERIE'!C14,Tableau222[ÉTAT],"",Tableau3[ENTITE],'PROJECTIONS TRESORERIE'!$D$2))</f>
        <v>0</v>
      </c>
      <c r="G14" s="34">
        <f>IF($D$2=0,SUMIFS(Tableau5[MONTANT TTC],Tableau5[JOUR DE PRELEVEMENT],DAY('PROJECTIONS TRESORERIE'!$C14)),SUMIFS(Tableau5[MONTANT TTC],Tableau5[JOUR DE PRELEVEMENT],DAY('PROJECTIONS TRESORERIE'!$C14),Tableau5[ENTITE],'PROJECTIONS TRESORERIE'!$D$2))</f>
        <v>0</v>
      </c>
      <c r="H14" s="34">
        <f>IF($D$2=0,SUMIFS(Tableau5[MONTANT TTC],Tableau5[JOUR DE PRELEVEMENT],DAY('PROJECTIONS TRESORERIE'!$C14)),SUMIFS(Tableau5[MONTANT TTC],Tableau5[JOUR DE PRELEVEMENT],DAY('PROJECTIONS TRESORERIE'!$C14),Tableau5[ENTITE],'PROJECTIONS TRESORERIE'!$D$2))</f>
        <v>0</v>
      </c>
      <c r="I14" s="34">
        <f ca="1">IF($D$2=0,SUMIFS(Tableau6[MONTANT DÉCLARÉ],Tableau6[DATE DE PAIEMENT],DAY('PROJECTIONS TRESORERIE'!$C14),Tableau6[[ STATUT]],""),SUMIFS(Tableau6[MONTANT DÉCLARÉ],Tableau6[DATE DE PAIEMENT],DAY('PROJECTIONS TRESORERIE'!$C14),Tableau6[[ STATUT]],"",Tableau6[ENTITÉ],'PROJECTIONS TRESORERIE'!$D$2))</f>
        <v>0</v>
      </c>
      <c r="J14" s="36">
        <f ca="1">+$D$3+SUM($D$6:D14)-SUM($F$6:F14)-SUM($G$6:G14)-SUM($I$6:I14)</f>
        <v>-110298389</v>
      </c>
      <c r="K14" s="36">
        <f t="shared" si="1"/>
        <v>100000</v>
      </c>
    </row>
    <row r="15" spans="2:11">
      <c r="B15" s="30">
        <f>COUNTIF($C$6:C15,"&lt;&gt;"&amp;C15)</f>
        <v>9</v>
      </c>
      <c r="C15" s="31">
        <f t="shared" si="0"/>
        <v>45690</v>
      </c>
      <c r="D15" s="30">
        <f>+IF($D$2=0,SUMIFS(Tableau3[MONTANT TTC],Tableau3[ECHEANCE],'PROJECTIONS TRESORERIE'!C15,Tableau3[PAYE],""),SUMIFS(Tableau3[MONTANT TTC],Tableau3[ECHEANCE],'PROJECTIONS TRESORERIE'!C15,Tableau3[PAYE],"",Tableau3[ENTITE],'PROJECTIONS TRESORERIE'!$D$2))</f>
        <v>0</v>
      </c>
      <c r="E15" s="30">
        <f>+IF($D$2=0,SUMIFS(Tableau222[MONTANT TTC],Tableau222[DATE ÉCHÉANCE_
ENGAGEMENT],'PROJECTIONS TRESORERIE'!C15,Tableau222[ÉTAT],""),SUMIFS(Tableau222[MONTANT TTC],Tableau222[DATE ÉCHÉANCE_
ENGAGEMENT],'PROJECTIONS TRESORERIE'!C15,Tableau222[ÉTAT],"",Tableau3[ENTITE],'PROJECTIONS TRESORERIE'!$D$2))</f>
        <v>0</v>
      </c>
      <c r="F15" s="30">
        <f>+IF($D$2=0,SUMIFS(Tableau222[MONTANT TTC],Tableau222[DATE ÉCHÉANCE_
ENGAGEMENT],'PROJECTIONS TRESORERIE'!C15,Tableau222[ÉTAT],""),SUMIFS(Tableau222[MONTANT TTC],Tableau222[DATE ÉCHÉANCE_
ENGAGEMENT],'PROJECTIONS TRESORERIE'!C15,Tableau222[ÉTAT],"",Tableau3[ENTITE],'PROJECTIONS TRESORERIE'!$D$2))</f>
        <v>0</v>
      </c>
      <c r="G15" s="30">
        <f>IF($D$2=0,SUMIFS(Tableau5[MONTANT TTC],Tableau5[JOUR DE PRELEVEMENT],DAY('PROJECTIONS TRESORERIE'!$C15)),SUMIFS(Tableau5[MONTANT TTC],Tableau5[JOUR DE PRELEVEMENT],DAY('PROJECTIONS TRESORERIE'!$C15),Tableau5[ENTITE],'PROJECTIONS TRESORERIE'!$D$2))</f>
        <v>0</v>
      </c>
      <c r="H15" s="30">
        <f>IF($D$2=0,SUMIFS(Tableau5[MONTANT TTC],Tableau5[JOUR DE PRELEVEMENT],DAY('PROJECTIONS TRESORERIE'!$C15)),SUMIFS(Tableau5[MONTANT TTC],Tableau5[JOUR DE PRELEVEMENT],DAY('PROJECTIONS TRESORERIE'!$C15),Tableau5[ENTITE],'PROJECTIONS TRESORERIE'!$D$2))</f>
        <v>0</v>
      </c>
      <c r="I15" s="30">
        <f ca="1">IF($D$2=0,SUMIFS(Tableau6[MONTANT DÉCLARÉ],Tableau6[DATE DE PAIEMENT],DAY('PROJECTIONS TRESORERIE'!$C15),Tableau6[[ STATUT]],""),SUMIFS(Tableau6[MONTANT DÉCLARÉ],Tableau6[DATE DE PAIEMENT],DAY('PROJECTIONS TRESORERIE'!$C15),Tableau6[[ STATUT]],"",Tableau6[ENTITÉ],'PROJECTIONS TRESORERIE'!$D$2))</f>
        <v>0</v>
      </c>
      <c r="J15" s="33">
        <f ca="1">+$D$3+SUM($D$6:D15)-SUM($F$6:F15)-SUM($G$6:G15)-SUM($I$6:I15)</f>
        <v>-110298389</v>
      </c>
      <c r="K15" s="33">
        <f t="shared" si="1"/>
        <v>100000</v>
      </c>
    </row>
    <row r="16" spans="2:11">
      <c r="B16" s="34">
        <f>COUNTIF($C$6:C16,"&lt;&gt;"&amp;C16)</f>
        <v>10</v>
      </c>
      <c r="C16" s="35">
        <f t="shared" si="0"/>
        <v>45691</v>
      </c>
      <c r="D16" s="34">
        <f>+IF($D$2=0,SUMIFS(Tableau3[MONTANT TTC],Tableau3[ECHEANCE],'PROJECTIONS TRESORERIE'!C16,Tableau3[PAYE],""),SUMIFS(Tableau3[MONTANT TTC],Tableau3[ECHEANCE],'PROJECTIONS TRESORERIE'!C16,Tableau3[PAYE],"",Tableau3[ENTITE],'PROJECTIONS TRESORERIE'!$D$2))</f>
        <v>0</v>
      </c>
      <c r="E16" s="34">
        <f>+IF($D$2=0,SUMIFS(Tableau222[MONTANT TTC],Tableau222[DATE ÉCHÉANCE_
ENGAGEMENT],'PROJECTIONS TRESORERIE'!C16,Tableau222[ÉTAT],""),SUMIFS(Tableau222[MONTANT TTC],Tableau222[DATE ÉCHÉANCE_
ENGAGEMENT],'PROJECTIONS TRESORERIE'!C16,Tableau222[ÉTAT],"",Tableau3[ENTITE],'PROJECTIONS TRESORERIE'!$D$2))</f>
        <v>0</v>
      </c>
      <c r="F16" s="34">
        <f>+IF($D$2=0,SUMIFS(Tableau222[MONTANT TTC],Tableau222[DATE ÉCHÉANCE_
ENGAGEMENT],'PROJECTIONS TRESORERIE'!C16,Tableau222[ÉTAT],""),SUMIFS(Tableau222[MONTANT TTC],Tableau222[DATE ÉCHÉANCE_
ENGAGEMENT],'PROJECTIONS TRESORERIE'!C16,Tableau222[ÉTAT],"",Tableau3[ENTITE],'PROJECTIONS TRESORERIE'!$D$2))</f>
        <v>0</v>
      </c>
      <c r="G16" s="34">
        <f>IF($D$2=0,SUMIFS(Tableau5[MONTANT TTC],Tableau5[JOUR DE PRELEVEMENT],DAY('PROJECTIONS TRESORERIE'!$C16)),SUMIFS(Tableau5[MONTANT TTC],Tableau5[JOUR DE PRELEVEMENT],DAY('PROJECTIONS TRESORERIE'!$C16),Tableau5[ENTITE],'PROJECTIONS TRESORERIE'!$D$2))</f>
        <v>0</v>
      </c>
      <c r="H16" s="34">
        <f>IF($D$2=0,SUMIFS(Tableau5[MONTANT TTC],Tableau5[JOUR DE PRELEVEMENT],DAY('PROJECTIONS TRESORERIE'!$C16)),SUMIFS(Tableau5[MONTANT TTC],Tableau5[JOUR DE PRELEVEMENT],DAY('PROJECTIONS TRESORERIE'!$C16),Tableau5[ENTITE],'PROJECTIONS TRESORERIE'!$D$2))</f>
        <v>0</v>
      </c>
      <c r="I16" s="34">
        <f ca="1">IF($D$2=0,SUMIFS(Tableau6[MONTANT DÉCLARÉ],Tableau6[DATE DE PAIEMENT],DAY('PROJECTIONS TRESORERIE'!$C16),Tableau6[[ STATUT]],""),SUMIFS(Tableau6[MONTANT DÉCLARÉ],Tableau6[DATE DE PAIEMENT],DAY('PROJECTIONS TRESORERIE'!$C16),Tableau6[[ STATUT]],"",Tableau6[ENTITÉ],'PROJECTIONS TRESORERIE'!$D$2))</f>
        <v>0</v>
      </c>
      <c r="J16" s="36">
        <f ca="1">+$D$3+SUM($D$6:D16)-SUM($F$6:F16)-SUM($G$6:G16)-SUM($I$6:I16)</f>
        <v>-110298389</v>
      </c>
      <c r="K16" s="36">
        <f t="shared" si="1"/>
        <v>100000</v>
      </c>
    </row>
    <row r="17" spans="2:11">
      <c r="B17" s="30">
        <f>COUNTIF($C$6:C17,"&lt;&gt;"&amp;C17)</f>
        <v>11</v>
      </c>
      <c r="C17" s="31">
        <f t="shared" si="0"/>
        <v>45692</v>
      </c>
      <c r="D17" s="30">
        <f>+IF($D$2=0,SUMIFS(Tableau3[MONTANT TTC],Tableau3[ECHEANCE],'PROJECTIONS TRESORERIE'!C17,Tableau3[PAYE],""),SUMIFS(Tableau3[MONTANT TTC],Tableau3[ECHEANCE],'PROJECTIONS TRESORERIE'!C17,Tableau3[PAYE],"",Tableau3[ENTITE],'PROJECTIONS TRESORERIE'!$D$2))</f>
        <v>0</v>
      </c>
      <c r="E17" s="30">
        <f>+IF($D$2=0,SUMIFS(Tableau222[MONTANT TTC],Tableau222[DATE ÉCHÉANCE_
ENGAGEMENT],'PROJECTIONS TRESORERIE'!C17,Tableau222[ÉTAT],""),SUMIFS(Tableau222[MONTANT TTC],Tableau222[DATE ÉCHÉANCE_
ENGAGEMENT],'PROJECTIONS TRESORERIE'!C17,Tableau222[ÉTAT],"",Tableau3[ENTITE],'PROJECTIONS TRESORERIE'!$D$2))</f>
        <v>0</v>
      </c>
      <c r="F17" s="30">
        <f>+IF($D$2=0,SUMIFS(Tableau222[MONTANT TTC],Tableau222[DATE ÉCHÉANCE_
ENGAGEMENT],'PROJECTIONS TRESORERIE'!C17,Tableau222[ÉTAT],""),SUMIFS(Tableau222[MONTANT TTC],Tableau222[DATE ÉCHÉANCE_
ENGAGEMENT],'PROJECTIONS TRESORERIE'!C17,Tableau222[ÉTAT],"",Tableau3[ENTITE],'PROJECTIONS TRESORERIE'!$D$2))</f>
        <v>0</v>
      </c>
      <c r="G17" s="30">
        <f>IF($D$2=0,SUMIFS(Tableau5[MONTANT TTC],Tableau5[JOUR DE PRELEVEMENT],DAY('PROJECTIONS TRESORERIE'!$C17)),SUMIFS(Tableau5[MONTANT TTC],Tableau5[JOUR DE PRELEVEMENT],DAY('PROJECTIONS TRESORERIE'!$C17),Tableau5[ENTITE],'PROJECTIONS TRESORERIE'!$D$2))</f>
        <v>0</v>
      </c>
      <c r="H17" s="30">
        <f>IF($D$2=0,SUMIFS(Tableau5[MONTANT TTC],Tableau5[JOUR DE PRELEVEMENT],DAY('PROJECTIONS TRESORERIE'!$C17)),SUMIFS(Tableau5[MONTANT TTC],Tableau5[JOUR DE PRELEVEMENT],DAY('PROJECTIONS TRESORERIE'!$C17),Tableau5[ENTITE],'PROJECTIONS TRESORERIE'!$D$2))</f>
        <v>0</v>
      </c>
      <c r="I17" s="30">
        <f ca="1">IF($D$2=0,SUMIFS(Tableau6[MONTANT DÉCLARÉ],Tableau6[DATE DE PAIEMENT],DAY('PROJECTIONS TRESORERIE'!$C17),Tableau6[[ STATUT]],""),SUMIFS(Tableau6[MONTANT DÉCLARÉ],Tableau6[DATE DE PAIEMENT],DAY('PROJECTIONS TRESORERIE'!$C17),Tableau6[[ STATUT]],"",Tableau6[ENTITÉ],'PROJECTIONS TRESORERIE'!$D$2))</f>
        <v>0</v>
      </c>
      <c r="J17" s="33">
        <f ca="1">+$D$3+SUM($D$6:D17)-SUM($F$6:F17)-SUM($G$6:G17)-SUM($I$6:I17)</f>
        <v>-110298389</v>
      </c>
      <c r="K17" s="33">
        <f t="shared" si="1"/>
        <v>100000</v>
      </c>
    </row>
    <row r="18" spans="2:11">
      <c r="B18" s="34">
        <f>COUNTIF($C$6:C18,"&lt;&gt;"&amp;C18)</f>
        <v>12</v>
      </c>
      <c r="C18" s="35">
        <f t="shared" si="0"/>
        <v>45693</v>
      </c>
      <c r="D18" s="34">
        <f>+IF($D$2=0,SUMIFS(Tableau3[MONTANT TTC],Tableau3[ECHEANCE],'PROJECTIONS TRESORERIE'!C18,Tableau3[PAYE],""),SUMIFS(Tableau3[MONTANT TTC],Tableau3[ECHEANCE],'PROJECTIONS TRESORERIE'!C18,Tableau3[PAYE],"",Tableau3[ENTITE],'PROJECTIONS TRESORERIE'!$D$2))</f>
        <v>0</v>
      </c>
      <c r="E18" s="34">
        <f>+IF($D$2=0,SUMIFS(Tableau222[MONTANT TTC],Tableau222[DATE ÉCHÉANCE_
ENGAGEMENT],'PROJECTIONS TRESORERIE'!C18,Tableau222[ÉTAT],""),SUMIFS(Tableau222[MONTANT TTC],Tableau222[DATE ÉCHÉANCE_
ENGAGEMENT],'PROJECTIONS TRESORERIE'!C18,Tableau222[ÉTAT],"",Tableau3[ENTITE],'PROJECTIONS TRESORERIE'!$D$2))</f>
        <v>0</v>
      </c>
      <c r="F18" s="34">
        <f>+IF($D$2=0,SUMIFS(Tableau222[MONTANT TTC],Tableau222[DATE ÉCHÉANCE_
ENGAGEMENT],'PROJECTIONS TRESORERIE'!C18,Tableau222[ÉTAT],""),SUMIFS(Tableau222[MONTANT TTC],Tableau222[DATE ÉCHÉANCE_
ENGAGEMENT],'PROJECTIONS TRESORERIE'!C18,Tableau222[ÉTAT],"",Tableau3[ENTITE],'PROJECTIONS TRESORERIE'!$D$2))</f>
        <v>0</v>
      </c>
      <c r="G18" s="34">
        <f>IF($D$2=0,SUMIFS(Tableau5[MONTANT TTC],Tableau5[JOUR DE PRELEVEMENT],DAY('PROJECTIONS TRESORERIE'!$C18)),SUMIFS(Tableau5[MONTANT TTC],Tableau5[JOUR DE PRELEVEMENT],DAY('PROJECTIONS TRESORERIE'!$C18),Tableau5[ENTITE],'PROJECTIONS TRESORERIE'!$D$2))</f>
        <v>2830000</v>
      </c>
      <c r="H18" s="34">
        <f>IF($D$2=0,SUMIFS(Tableau5[MONTANT TTC],Tableau5[JOUR DE PRELEVEMENT],DAY('PROJECTIONS TRESORERIE'!$C18)),SUMIFS(Tableau5[MONTANT TTC],Tableau5[JOUR DE PRELEVEMENT],DAY('PROJECTIONS TRESORERIE'!$C18),Tableau5[ENTITE],'PROJECTIONS TRESORERIE'!$D$2))</f>
        <v>2830000</v>
      </c>
      <c r="I18" s="34">
        <f ca="1">IF($D$2=0,SUMIFS(Tableau6[MONTANT DÉCLARÉ],Tableau6[DATE DE PAIEMENT],DAY('PROJECTIONS TRESORERIE'!$C18),Tableau6[[ STATUT]],""),SUMIFS(Tableau6[MONTANT DÉCLARÉ],Tableau6[DATE DE PAIEMENT],DAY('PROJECTIONS TRESORERIE'!$C18),Tableau6[[ STATUT]],"",Tableau6[ENTITÉ],'PROJECTIONS TRESORERIE'!$D$2))</f>
        <v>0</v>
      </c>
      <c r="J18" s="36">
        <f ca="1">+$D$3+SUM($D$6:D18)-SUM($F$6:F18)-SUM($G$6:G18)-SUM($I$6:I18)</f>
        <v>-113128389</v>
      </c>
      <c r="K18" s="36">
        <f t="shared" si="1"/>
        <v>100000</v>
      </c>
    </row>
    <row r="19" spans="2:11">
      <c r="B19" s="30">
        <f>COUNTIF($C$6:C19,"&lt;&gt;"&amp;C19)</f>
        <v>13</v>
      </c>
      <c r="C19" s="31">
        <f t="shared" si="0"/>
        <v>45694</v>
      </c>
      <c r="D19" s="30">
        <f>+IF($D$2=0,SUMIFS(Tableau3[MONTANT TTC],Tableau3[ECHEANCE],'PROJECTIONS TRESORERIE'!C19,Tableau3[PAYE],""),SUMIFS(Tableau3[MONTANT TTC],Tableau3[ECHEANCE],'PROJECTIONS TRESORERIE'!C19,Tableau3[PAYE],"",Tableau3[ENTITE],'PROJECTIONS TRESORERIE'!$D$2))</f>
        <v>0</v>
      </c>
      <c r="E19" s="30">
        <f>+IF($D$2=0,SUMIFS(Tableau222[MONTANT TTC],Tableau222[DATE ÉCHÉANCE_
ENGAGEMENT],'PROJECTIONS TRESORERIE'!C19,Tableau222[ÉTAT],""),SUMIFS(Tableau222[MONTANT TTC],Tableau222[DATE ÉCHÉANCE_
ENGAGEMENT],'PROJECTIONS TRESORERIE'!C19,Tableau222[ÉTAT],"",Tableau3[ENTITE],'PROJECTIONS TRESORERIE'!$D$2))</f>
        <v>0</v>
      </c>
      <c r="F19" s="30">
        <f>+IF($D$2=0,SUMIFS(Tableau222[MONTANT TTC],Tableau222[DATE ÉCHÉANCE_
ENGAGEMENT],'PROJECTIONS TRESORERIE'!C19,Tableau222[ÉTAT],""),SUMIFS(Tableau222[MONTANT TTC],Tableau222[DATE ÉCHÉANCE_
ENGAGEMENT],'PROJECTIONS TRESORERIE'!C19,Tableau222[ÉTAT],"",Tableau3[ENTITE],'PROJECTIONS TRESORERIE'!$D$2))</f>
        <v>0</v>
      </c>
      <c r="G19" s="30">
        <f>IF($D$2=0,SUMIFS(Tableau5[MONTANT TTC],Tableau5[JOUR DE PRELEVEMENT],DAY('PROJECTIONS TRESORERIE'!$C19)),SUMIFS(Tableau5[MONTANT TTC],Tableau5[JOUR DE PRELEVEMENT],DAY('PROJECTIONS TRESORERIE'!$C19),Tableau5[ENTITE],'PROJECTIONS TRESORERIE'!$D$2))</f>
        <v>0</v>
      </c>
      <c r="H19" s="30">
        <f>IF($D$2=0,SUMIFS(Tableau5[MONTANT TTC],Tableau5[JOUR DE PRELEVEMENT],DAY('PROJECTIONS TRESORERIE'!$C19)),SUMIFS(Tableau5[MONTANT TTC],Tableau5[JOUR DE PRELEVEMENT],DAY('PROJECTIONS TRESORERIE'!$C19),Tableau5[ENTITE],'PROJECTIONS TRESORERIE'!$D$2))</f>
        <v>0</v>
      </c>
      <c r="I19" s="30">
        <f ca="1">IF($D$2=0,SUMIFS(Tableau6[MONTANT DÉCLARÉ],Tableau6[DATE DE PAIEMENT],DAY('PROJECTIONS TRESORERIE'!$C19),Tableau6[[ STATUT]],""),SUMIFS(Tableau6[MONTANT DÉCLARÉ],Tableau6[DATE DE PAIEMENT],DAY('PROJECTIONS TRESORERIE'!$C19),Tableau6[[ STATUT]],"",Tableau6[ENTITÉ],'PROJECTIONS TRESORERIE'!$D$2))</f>
        <v>0</v>
      </c>
      <c r="J19" s="33">
        <f ca="1">+$D$3+SUM($D$6:D19)-SUM($F$6:F19)-SUM($G$6:G19)-SUM($I$6:I19)</f>
        <v>-113128389</v>
      </c>
      <c r="K19" s="33">
        <f t="shared" si="1"/>
        <v>100000</v>
      </c>
    </row>
    <row r="20" spans="2:11">
      <c r="B20" s="34">
        <f>COUNTIF($C$6:C20,"&lt;&gt;"&amp;C20)</f>
        <v>14</v>
      </c>
      <c r="C20" s="35">
        <f t="shared" si="0"/>
        <v>45695</v>
      </c>
      <c r="D20" s="34">
        <f>+IF($D$2=0,SUMIFS(Tableau3[MONTANT TTC],Tableau3[ECHEANCE],'PROJECTIONS TRESORERIE'!C20,Tableau3[PAYE],""),SUMIFS(Tableau3[MONTANT TTC],Tableau3[ECHEANCE],'PROJECTIONS TRESORERIE'!C20,Tableau3[PAYE],"",Tableau3[ENTITE],'PROJECTIONS TRESORERIE'!$D$2))</f>
        <v>0</v>
      </c>
      <c r="E20" s="34">
        <f>+IF($D$2=0,SUMIFS(Tableau222[MONTANT TTC],Tableau222[DATE ÉCHÉANCE_
ENGAGEMENT],'PROJECTIONS TRESORERIE'!C20,Tableau222[ÉTAT],""),SUMIFS(Tableau222[MONTANT TTC],Tableau222[DATE ÉCHÉANCE_
ENGAGEMENT],'PROJECTIONS TRESORERIE'!C20,Tableau222[ÉTAT],"",Tableau3[ENTITE],'PROJECTIONS TRESORERIE'!$D$2))</f>
        <v>475000</v>
      </c>
      <c r="F20" s="34">
        <f>+IF($D$2=0,SUMIFS(Tableau222[MONTANT TTC],Tableau222[DATE ÉCHÉANCE_
ENGAGEMENT],'PROJECTIONS TRESORERIE'!C20,Tableau222[ÉTAT],""),SUMIFS(Tableau222[MONTANT TTC],Tableau222[DATE ÉCHÉANCE_
ENGAGEMENT],'PROJECTIONS TRESORERIE'!C20,Tableau222[ÉTAT],"",Tableau3[ENTITE],'PROJECTIONS TRESORERIE'!$D$2))</f>
        <v>475000</v>
      </c>
      <c r="G20" s="34">
        <f>IF($D$2=0,SUMIFS(Tableau5[MONTANT TTC],Tableau5[JOUR DE PRELEVEMENT],DAY('PROJECTIONS TRESORERIE'!$C20)),SUMIFS(Tableau5[MONTANT TTC],Tableau5[JOUR DE PRELEVEMENT],DAY('PROJECTIONS TRESORERIE'!$C20),Tableau5[ENTITE],'PROJECTIONS TRESORERIE'!$D$2))</f>
        <v>0</v>
      </c>
      <c r="H20" s="34">
        <f>IF($D$2=0,SUMIFS(Tableau5[MONTANT TTC],Tableau5[JOUR DE PRELEVEMENT],DAY('PROJECTIONS TRESORERIE'!$C20)),SUMIFS(Tableau5[MONTANT TTC],Tableau5[JOUR DE PRELEVEMENT],DAY('PROJECTIONS TRESORERIE'!$C20),Tableau5[ENTITE],'PROJECTIONS TRESORERIE'!$D$2))</f>
        <v>0</v>
      </c>
      <c r="I20" s="34">
        <f ca="1">IF($D$2=0,SUMIFS(Tableau6[MONTANT DÉCLARÉ],Tableau6[DATE DE PAIEMENT],DAY('PROJECTIONS TRESORERIE'!$C20),Tableau6[[ STATUT]],""),SUMIFS(Tableau6[MONTANT DÉCLARÉ],Tableau6[DATE DE PAIEMENT],DAY('PROJECTIONS TRESORERIE'!$C20),Tableau6[[ STATUT]],"",Tableau6[ENTITÉ],'PROJECTIONS TRESORERIE'!$D$2))</f>
        <v>0</v>
      </c>
      <c r="J20" s="36">
        <f ca="1">+$D$3+SUM($D$6:D20)-SUM($F$6:F20)-SUM($G$6:G20)-SUM($I$6:I20)</f>
        <v>-113603389</v>
      </c>
      <c r="K20" s="36">
        <f t="shared" si="1"/>
        <v>100000</v>
      </c>
    </row>
    <row r="21" spans="2:11">
      <c r="B21" s="30">
        <f>COUNTIF($C$6:C21,"&lt;&gt;"&amp;C21)</f>
        <v>15</v>
      </c>
      <c r="C21" s="31">
        <f t="shared" si="0"/>
        <v>45696</v>
      </c>
      <c r="D21" s="30">
        <f>+IF($D$2=0,SUMIFS(Tableau3[MONTANT TTC],Tableau3[ECHEANCE],'PROJECTIONS TRESORERIE'!C21,Tableau3[PAYE],""),SUMIFS(Tableau3[MONTANT TTC],Tableau3[ECHEANCE],'PROJECTIONS TRESORERIE'!C21,Tableau3[PAYE],"",Tableau3[ENTITE],'PROJECTIONS TRESORERIE'!$D$2))</f>
        <v>0</v>
      </c>
      <c r="E21" s="30">
        <f>+IF($D$2=0,SUMIFS(Tableau222[MONTANT TTC],Tableau222[DATE ÉCHÉANCE_
ENGAGEMENT],'PROJECTIONS TRESORERIE'!C21,Tableau222[ÉTAT],""),SUMIFS(Tableau222[MONTANT TTC],Tableau222[DATE ÉCHÉANCE_
ENGAGEMENT],'PROJECTIONS TRESORERIE'!C21,Tableau222[ÉTAT],"",Tableau3[ENTITE],'PROJECTIONS TRESORERIE'!$D$2))</f>
        <v>1272780</v>
      </c>
      <c r="F21" s="30">
        <f>+IF($D$2=0,SUMIFS(Tableau222[MONTANT TTC],Tableau222[DATE ÉCHÉANCE_
ENGAGEMENT],'PROJECTIONS TRESORERIE'!C21,Tableau222[ÉTAT],""),SUMIFS(Tableau222[MONTANT TTC],Tableau222[DATE ÉCHÉANCE_
ENGAGEMENT],'PROJECTIONS TRESORERIE'!C21,Tableau222[ÉTAT],"",Tableau3[ENTITE],'PROJECTIONS TRESORERIE'!$D$2))</f>
        <v>1272780</v>
      </c>
      <c r="G21" s="30">
        <f>IF($D$2=0,SUMIFS(Tableau5[MONTANT TTC],Tableau5[JOUR DE PRELEVEMENT],DAY('PROJECTIONS TRESORERIE'!$C21)),SUMIFS(Tableau5[MONTANT TTC],Tableau5[JOUR DE PRELEVEMENT],DAY('PROJECTIONS TRESORERIE'!$C21),Tableau5[ENTITE],'PROJECTIONS TRESORERIE'!$D$2))</f>
        <v>0</v>
      </c>
      <c r="H21" s="30">
        <f>IF($D$2=0,SUMIFS(Tableau5[MONTANT TTC],Tableau5[JOUR DE PRELEVEMENT],DAY('PROJECTIONS TRESORERIE'!$C21)),SUMIFS(Tableau5[MONTANT TTC],Tableau5[JOUR DE PRELEVEMENT],DAY('PROJECTIONS TRESORERIE'!$C21),Tableau5[ENTITE],'PROJECTIONS TRESORERIE'!$D$2))</f>
        <v>0</v>
      </c>
      <c r="I21" s="30">
        <f ca="1">IF($D$2=0,SUMIFS(Tableau6[MONTANT DÉCLARÉ],Tableau6[DATE DE PAIEMENT],DAY('PROJECTIONS TRESORERIE'!$C21),Tableau6[[ STATUT]],""),SUMIFS(Tableau6[MONTANT DÉCLARÉ],Tableau6[DATE DE PAIEMENT],DAY('PROJECTIONS TRESORERIE'!$C21),Tableau6[[ STATUT]],"",Tableau6[ENTITÉ],'PROJECTIONS TRESORERIE'!$D$2))</f>
        <v>0</v>
      </c>
      <c r="J21" s="33">
        <f ca="1">+$D$3+SUM($D$6:D21)-SUM($F$6:F21)-SUM($G$6:G21)-SUM($I$6:I21)</f>
        <v>-114876169</v>
      </c>
      <c r="K21" s="33">
        <f t="shared" si="1"/>
        <v>100000</v>
      </c>
    </row>
    <row r="22" spans="2:11">
      <c r="B22" s="34">
        <f>COUNTIF($C$6:C22,"&lt;&gt;"&amp;C22)</f>
        <v>16</v>
      </c>
      <c r="C22" s="35">
        <f t="shared" si="0"/>
        <v>45697</v>
      </c>
      <c r="D22" s="34">
        <f>+IF($D$2=0,SUMIFS(Tableau3[MONTANT TTC],Tableau3[ECHEANCE],'PROJECTIONS TRESORERIE'!C22,Tableau3[PAYE],""),SUMIFS(Tableau3[MONTANT TTC],Tableau3[ECHEANCE],'PROJECTIONS TRESORERIE'!C22,Tableau3[PAYE],"",Tableau3[ENTITE],'PROJECTIONS TRESORERIE'!$D$2))</f>
        <v>0</v>
      </c>
      <c r="E22" s="34">
        <f>+IF($D$2=0,SUMIFS(Tableau222[MONTANT TTC],Tableau222[DATE ÉCHÉANCE_
ENGAGEMENT],'PROJECTIONS TRESORERIE'!C22,Tableau222[ÉTAT],""),SUMIFS(Tableau222[MONTANT TTC],Tableau222[DATE ÉCHÉANCE_
ENGAGEMENT],'PROJECTIONS TRESORERIE'!C22,Tableau222[ÉTAT],"",Tableau3[ENTITE],'PROJECTIONS TRESORERIE'!$D$2))</f>
        <v>0</v>
      </c>
      <c r="F22" s="34">
        <f>+IF($D$2=0,SUMIFS(Tableau222[MONTANT TTC],Tableau222[DATE ÉCHÉANCE_
ENGAGEMENT],'PROJECTIONS TRESORERIE'!C22,Tableau222[ÉTAT],""),SUMIFS(Tableau222[MONTANT TTC],Tableau222[DATE ÉCHÉANCE_
ENGAGEMENT],'PROJECTIONS TRESORERIE'!C22,Tableau222[ÉTAT],"",Tableau3[ENTITE],'PROJECTIONS TRESORERIE'!$D$2))</f>
        <v>0</v>
      </c>
      <c r="G22" s="34">
        <f>IF($D$2=0,SUMIFS(Tableau5[MONTANT TTC],Tableau5[JOUR DE PRELEVEMENT],DAY('PROJECTIONS TRESORERIE'!$C22)),SUMIFS(Tableau5[MONTANT TTC],Tableau5[JOUR DE PRELEVEMENT],DAY('PROJECTIONS TRESORERIE'!$C22),Tableau5[ENTITE],'PROJECTIONS TRESORERIE'!$D$2))</f>
        <v>0</v>
      </c>
      <c r="H22" s="34">
        <f>IF($D$2=0,SUMIFS(Tableau5[MONTANT TTC],Tableau5[JOUR DE PRELEVEMENT],DAY('PROJECTIONS TRESORERIE'!$C22)),SUMIFS(Tableau5[MONTANT TTC],Tableau5[JOUR DE PRELEVEMENT],DAY('PROJECTIONS TRESORERIE'!$C22),Tableau5[ENTITE],'PROJECTIONS TRESORERIE'!$D$2))</f>
        <v>0</v>
      </c>
      <c r="I22" s="34">
        <f ca="1">IF($D$2=0,SUMIFS(Tableau6[MONTANT DÉCLARÉ],Tableau6[DATE DE PAIEMENT],DAY('PROJECTIONS TRESORERIE'!$C22),Tableau6[[ STATUT]],""),SUMIFS(Tableau6[MONTANT DÉCLARÉ],Tableau6[DATE DE PAIEMENT],DAY('PROJECTIONS TRESORERIE'!$C22),Tableau6[[ STATUT]],"",Tableau6[ENTITÉ],'PROJECTIONS TRESORERIE'!$D$2))</f>
        <v>0</v>
      </c>
      <c r="J22" s="36">
        <f ca="1">+$D$3+SUM($D$6:D22)-SUM($F$6:F22)-SUM($G$6:G22)-SUM($I$6:I22)</f>
        <v>-114876169</v>
      </c>
      <c r="K22" s="36">
        <f t="shared" si="1"/>
        <v>100000</v>
      </c>
    </row>
    <row r="23" spans="2:11">
      <c r="B23" s="30">
        <f>COUNTIF($C$6:C23,"&lt;&gt;"&amp;C23)</f>
        <v>17</v>
      </c>
      <c r="C23" s="31">
        <f t="shared" si="0"/>
        <v>45698</v>
      </c>
      <c r="D23" s="30">
        <f>+IF($D$2=0,SUMIFS(Tableau3[MONTANT TTC],Tableau3[ECHEANCE],'PROJECTIONS TRESORERIE'!C23,Tableau3[PAYE],""),SUMIFS(Tableau3[MONTANT TTC],Tableau3[ECHEANCE],'PROJECTIONS TRESORERIE'!C23,Tableau3[PAYE],"",Tableau3[ENTITE],'PROJECTIONS TRESORERIE'!$D$2))</f>
        <v>0</v>
      </c>
      <c r="E23" s="30">
        <f>+IF($D$2=0,SUMIFS(Tableau222[MONTANT TTC],Tableau222[DATE ÉCHÉANCE_
ENGAGEMENT],'PROJECTIONS TRESORERIE'!C23,Tableau222[ÉTAT],""),SUMIFS(Tableau222[MONTANT TTC],Tableau222[DATE ÉCHÉANCE_
ENGAGEMENT],'PROJECTIONS TRESORERIE'!C23,Tableau222[ÉTAT],"",Tableau3[ENTITE],'PROJECTIONS TRESORERIE'!$D$2))</f>
        <v>1701850</v>
      </c>
      <c r="F23" s="30">
        <f>+IF($D$2=0,SUMIFS(Tableau222[MONTANT TTC],Tableau222[DATE ÉCHÉANCE_
ENGAGEMENT],'PROJECTIONS TRESORERIE'!C23,Tableau222[ÉTAT],""),SUMIFS(Tableau222[MONTANT TTC],Tableau222[DATE ÉCHÉANCE_
ENGAGEMENT],'PROJECTIONS TRESORERIE'!C23,Tableau222[ÉTAT],"",Tableau3[ENTITE],'PROJECTIONS TRESORERIE'!$D$2))</f>
        <v>1701850</v>
      </c>
      <c r="G23" s="30">
        <f>IF($D$2=0,SUMIFS(Tableau5[MONTANT TTC],Tableau5[JOUR DE PRELEVEMENT],DAY('PROJECTIONS TRESORERIE'!$C23)),SUMIFS(Tableau5[MONTANT TTC],Tableau5[JOUR DE PRELEVEMENT],DAY('PROJECTIONS TRESORERIE'!$C23),Tableau5[ENTITE],'PROJECTIONS TRESORERIE'!$D$2))</f>
        <v>20999999.800000001</v>
      </c>
      <c r="H23" s="30">
        <f>IF($D$2=0,SUMIFS(Tableau5[MONTANT TTC],Tableau5[JOUR DE PRELEVEMENT],DAY('PROJECTIONS TRESORERIE'!$C23)),SUMIFS(Tableau5[MONTANT TTC],Tableau5[JOUR DE PRELEVEMENT],DAY('PROJECTIONS TRESORERIE'!$C23),Tableau5[ENTITE],'PROJECTIONS TRESORERIE'!$D$2))</f>
        <v>20999999.800000001</v>
      </c>
      <c r="I23" s="30">
        <f ca="1">IF($D$2=0,SUMIFS(Tableau6[MONTANT DÉCLARÉ],Tableau6[DATE DE PAIEMENT],DAY('PROJECTIONS TRESORERIE'!$C23),Tableau6[[ STATUT]],""),SUMIFS(Tableau6[MONTANT DÉCLARÉ],Tableau6[DATE DE PAIEMENT],DAY('PROJECTIONS TRESORERIE'!$C23),Tableau6[[ STATUT]],"",Tableau6[ENTITÉ],'PROJECTIONS TRESORERIE'!$D$2))</f>
        <v>0</v>
      </c>
      <c r="J23" s="33">
        <f ca="1">+$D$3+SUM($D$6:D23)-SUM($F$6:F23)-SUM($G$6:G23)-SUM($I$6:I23)</f>
        <v>-137578018.80000001</v>
      </c>
      <c r="K23" s="33">
        <f t="shared" si="1"/>
        <v>100000</v>
      </c>
    </row>
    <row r="24" spans="2:11">
      <c r="B24" s="34">
        <f>COUNTIF($C$6:C24,"&lt;&gt;"&amp;C24)</f>
        <v>18</v>
      </c>
      <c r="C24" s="35">
        <f t="shared" si="0"/>
        <v>45699</v>
      </c>
      <c r="D24" s="34">
        <f>+IF($D$2=0,SUMIFS(Tableau3[MONTANT TTC],Tableau3[ECHEANCE],'PROJECTIONS TRESORERIE'!C24,Tableau3[PAYE],""),SUMIFS(Tableau3[MONTANT TTC],Tableau3[ECHEANCE],'PROJECTIONS TRESORERIE'!C24,Tableau3[PAYE],"",Tableau3[ENTITE],'PROJECTIONS TRESORERIE'!$D$2))</f>
        <v>0</v>
      </c>
      <c r="E24" s="34">
        <f>+IF($D$2=0,SUMIFS(Tableau222[MONTANT TTC],Tableau222[DATE ÉCHÉANCE_
ENGAGEMENT],'PROJECTIONS TRESORERIE'!C24,Tableau222[ÉTAT],""),SUMIFS(Tableau222[MONTANT TTC],Tableau222[DATE ÉCHÉANCE_
ENGAGEMENT],'PROJECTIONS TRESORERIE'!C24,Tableau222[ÉTAT],"",Tableau3[ENTITE],'PROJECTIONS TRESORERIE'!$D$2))</f>
        <v>225000</v>
      </c>
      <c r="F24" s="34">
        <f>+IF($D$2=0,SUMIFS(Tableau222[MONTANT TTC],Tableau222[DATE ÉCHÉANCE_
ENGAGEMENT],'PROJECTIONS TRESORERIE'!C24,Tableau222[ÉTAT],""),SUMIFS(Tableau222[MONTANT TTC],Tableau222[DATE ÉCHÉANCE_
ENGAGEMENT],'PROJECTIONS TRESORERIE'!C24,Tableau222[ÉTAT],"",Tableau3[ENTITE],'PROJECTIONS TRESORERIE'!$D$2))</f>
        <v>225000</v>
      </c>
      <c r="G24" s="34">
        <f>IF($D$2=0,SUMIFS(Tableau5[MONTANT TTC],Tableau5[JOUR DE PRELEVEMENT],DAY('PROJECTIONS TRESORERIE'!$C24)),SUMIFS(Tableau5[MONTANT TTC],Tableau5[JOUR DE PRELEVEMENT],DAY('PROJECTIONS TRESORERIE'!$C24),Tableau5[ENTITE],'PROJECTIONS TRESORERIE'!$D$2))</f>
        <v>0</v>
      </c>
      <c r="H24" s="34">
        <f>IF($D$2=0,SUMIFS(Tableau5[MONTANT TTC],Tableau5[JOUR DE PRELEVEMENT],DAY('PROJECTIONS TRESORERIE'!$C24)),SUMIFS(Tableau5[MONTANT TTC],Tableau5[JOUR DE PRELEVEMENT],DAY('PROJECTIONS TRESORERIE'!$C24),Tableau5[ENTITE],'PROJECTIONS TRESORERIE'!$D$2))</f>
        <v>0</v>
      </c>
      <c r="I24" s="34">
        <f ca="1">IF($D$2=0,SUMIFS(Tableau6[MONTANT DÉCLARÉ],Tableau6[DATE DE PAIEMENT],DAY('PROJECTIONS TRESORERIE'!$C24),Tableau6[[ STATUT]],""),SUMIFS(Tableau6[MONTANT DÉCLARÉ],Tableau6[DATE DE PAIEMENT],DAY('PROJECTIONS TRESORERIE'!$C24),Tableau6[[ STATUT]],"",Tableau6[ENTITÉ],'PROJECTIONS TRESORERIE'!$D$2))</f>
        <v>0</v>
      </c>
      <c r="J24" s="36">
        <f ca="1">+$D$3+SUM($D$6:D24)-SUM($F$6:F24)-SUM($G$6:G24)-SUM($I$6:I24)</f>
        <v>-137803018.80000001</v>
      </c>
      <c r="K24" s="36">
        <f t="shared" si="1"/>
        <v>100000</v>
      </c>
    </row>
    <row r="25" spans="2:11">
      <c r="B25" s="30">
        <f>COUNTIF($C$6:C25,"&lt;&gt;"&amp;C25)</f>
        <v>19</v>
      </c>
      <c r="C25" s="31">
        <f t="shared" si="0"/>
        <v>45700</v>
      </c>
      <c r="D25" s="30">
        <f>+IF($D$2=0,SUMIFS(Tableau3[MONTANT TTC],Tableau3[ECHEANCE],'PROJECTIONS TRESORERIE'!C25,Tableau3[PAYE],""),SUMIFS(Tableau3[MONTANT TTC],Tableau3[ECHEANCE],'PROJECTIONS TRESORERIE'!C25,Tableau3[PAYE],"",Tableau3[ENTITE],'PROJECTIONS TRESORERIE'!$D$2))</f>
        <v>0</v>
      </c>
      <c r="E25" s="30">
        <f>+IF($D$2=0,SUMIFS(Tableau222[MONTANT TTC],Tableau222[DATE ÉCHÉANCE_
ENGAGEMENT],'PROJECTIONS TRESORERIE'!C25,Tableau222[ÉTAT],""),SUMIFS(Tableau222[MONTANT TTC],Tableau222[DATE ÉCHÉANCE_
ENGAGEMENT],'PROJECTIONS TRESORERIE'!C25,Tableau222[ÉTAT],"",Tableau3[ENTITE],'PROJECTIONS TRESORERIE'!$D$2))</f>
        <v>0</v>
      </c>
      <c r="F25" s="30">
        <f>+IF($D$2=0,SUMIFS(Tableau222[MONTANT TTC],Tableau222[DATE ÉCHÉANCE_
ENGAGEMENT],'PROJECTIONS TRESORERIE'!C25,Tableau222[ÉTAT],""),SUMIFS(Tableau222[MONTANT TTC],Tableau222[DATE ÉCHÉANCE_
ENGAGEMENT],'PROJECTIONS TRESORERIE'!C25,Tableau222[ÉTAT],"",Tableau3[ENTITE],'PROJECTIONS TRESORERIE'!$D$2))</f>
        <v>0</v>
      </c>
      <c r="G25" s="30">
        <f>IF($D$2=0,SUMIFS(Tableau5[MONTANT TTC],Tableau5[JOUR DE PRELEVEMENT],DAY('PROJECTIONS TRESORERIE'!$C25)),SUMIFS(Tableau5[MONTANT TTC],Tableau5[JOUR DE PRELEVEMENT],DAY('PROJECTIONS TRESORERIE'!$C25),Tableau5[ENTITE],'PROJECTIONS TRESORERIE'!$D$2))</f>
        <v>0</v>
      </c>
      <c r="H25" s="30">
        <f>IF($D$2=0,SUMIFS(Tableau5[MONTANT TTC],Tableau5[JOUR DE PRELEVEMENT],DAY('PROJECTIONS TRESORERIE'!$C25)),SUMIFS(Tableau5[MONTANT TTC],Tableau5[JOUR DE PRELEVEMENT],DAY('PROJECTIONS TRESORERIE'!$C25),Tableau5[ENTITE],'PROJECTIONS TRESORERIE'!$D$2))</f>
        <v>0</v>
      </c>
      <c r="I25" s="30">
        <f ca="1">IF($D$2=0,SUMIFS(Tableau6[MONTANT DÉCLARÉ],Tableau6[DATE DE PAIEMENT],DAY('PROJECTIONS TRESORERIE'!$C25),Tableau6[[ STATUT]],""),SUMIFS(Tableau6[MONTANT DÉCLARÉ],Tableau6[DATE DE PAIEMENT],DAY('PROJECTIONS TRESORERIE'!$C25),Tableau6[[ STATUT]],"",Tableau6[ENTITÉ],'PROJECTIONS TRESORERIE'!$D$2))</f>
        <v>0</v>
      </c>
      <c r="J25" s="33">
        <f ca="1">+$D$3+SUM($D$6:D25)-SUM($F$6:F25)-SUM($G$6:G25)-SUM($I$6:I25)</f>
        <v>-137803018.80000001</v>
      </c>
      <c r="K25" s="33">
        <f t="shared" si="1"/>
        <v>100000</v>
      </c>
    </row>
    <row r="26" spans="2:11">
      <c r="B26" s="34">
        <f>COUNTIF($C$6:C26,"&lt;&gt;"&amp;C26)</f>
        <v>20</v>
      </c>
      <c r="C26" s="35">
        <f t="shared" si="0"/>
        <v>45701</v>
      </c>
      <c r="D26" s="34">
        <f>+IF($D$2=0,SUMIFS(Tableau3[MONTANT TTC],Tableau3[ECHEANCE],'PROJECTIONS TRESORERIE'!C26,Tableau3[PAYE],""),SUMIFS(Tableau3[MONTANT TTC],Tableau3[ECHEANCE],'PROJECTIONS TRESORERIE'!C26,Tableau3[PAYE],"",Tableau3[ENTITE],'PROJECTIONS TRESORERIE'!$D$2))</f>
        <v>0</v>
      </c>
      <c r="E26" s="34">
        <f>+IF($D$2=0,SUMIFS(Tableau222[MONTANT TTC],Tableau222[DATE ÉCHÉANCE_
ENGAGEMENT],'PROJECTIONS TRESORERIE'!C26,Tableau222[ÉTAT],""),SUMIFS(Tableau222[MONTANT TTC],Tableau222[DATE ÉCHÉANCE_
ENGAGEMENT],'PROJECTIONS TRESORERIE'!C26,Tableau222[ÉTAT],"",Tableau3[ENTITE],'PROJECTIONS TRESORERIE'!$D$2))</f>
        <v>186000</v>
      </c>
      <c r="F26" s="34">
        <f>+IF($D$2=0,SUMIFS(Tableau222[MONTANT TTC],Tableau222[DATE ÉCHÉANCE_
ENGAGEMENT],'PROJECTIONS TRESORERIE'!C26,Tableau222[ÉTAT],""),SUMIFS(Tableau222[MONTANT TTC],Tableau222[DATE ÉCHÉANCE_
ENGAGEMENT],'PROJECTIONS TRESORERIE'!C26,Tableau222[ÉTAT],"",Tableau3[ENTITE],'PROJECTIONS TRESORERIE'!$D$2))</f>
        <v>186000</v>
      </c>
      <c r="G26" s="34">
        <f>IF($D$2=0,SUMIFS(Tableau5[MONTANT TTC],Tableau5[JOUR DE PRELEVEMENT],DAY('PROJECTIONS TRESORERIE'!$C26)),SUMIFS(Tableau5[MONTANT TTC],Tableau5[JOUR DE PRELEVEMENT],DAY('PROJECTIONS TRESORERIE'!$C26),Tableau5[ENTITE],'PROJECTIONS TRESORERIE'!$D$2))</f>
        <v>0</v>
      </c>
      <c r="H26" s="34">
        <f>IF($D$2=0,SUMIFS(Tableau5[MONTANT TTC],Tableau5[JOUR DE PRELEVEMENT],DAY('PROJECTIONS TRESORERIE'!$C26)),SUMIFS(Tableau5[MONTANT TTC],Tableau5[JOUR DE PRELEVEMENT],DAY('PROJECTIONS TRESORERIE'!$C26),Tableau5[ENTITE],'PROJECTIONS TRESORERIE'!$D$2))</f>
        <v>0</v>
      </c>
      <c r="I26" s="34">
        <f ca="1">IF($D$2=0,SUMIFS(Tableau6[MONTANT DÉCLARÉ],Tableau6[DATE DE PAIEMENT],DAY('PROJECTIONS TRESORERIE'!$C26),Tableau6[[ STATUT]],""),SUMIFS(Tableau6[MONTANT DÉCLARÉ],Tableau6[DATE DE PAIEMENT],DAY('PROJECTIONS TRESORERIE'!$C26),Tableau6[[ STATUT]],"",Tableau6[ENTITÉ],'PROJECTIONS TRESORERIE'!$D$2))</f>
        <v>0</v>
      </c>
      <c r="J26" s="36">
        <f ca="1">+$D$3+SUM($D$6:D26)-SUM($F$6:F26)-SUM($G$6:G26)-SUM($I$6:I26)</f>
        <v>-137989018.80000001</v>
      </c>
      <c r="K26" s="36">
        <f t="shared" si="1"/>
        <v>100000</v>
      </c>
    </row>
    <row r="27" spans="2:11">
      <c r="B27" s="30">
        <f>COUNTIF($C$6:C27,"&lt;&gt;"&amp;C27)</f>
        <v>21</v>
      </c>
      <c r="C27" s="31">
        <f t="shared" si="0"/>
        <v>45702</v>
      </c>
      <c r="D27" s="30">
        <f>+IF($D$2=0,SUMIFS(Tableau3[MONTANT TTC],Tableau3[ECHEANCE],'PROJECTIONS TRESORERIE'!C27,Tableau3[PAYE],""),SUMIFS(Tableau3[MONTANT TTC],Tableau3[ECHEANCE],'PROJECTIONS TRESORERIE'!C27,Tableau3[PAYE],"",Tableau3[ENTITE],'PROJECTIONS TRESORERIE'!$D$2))</f>
        <v>0</v>
      </c>
      <c r="E27" s="30">
        <f>+IF($D$2=0,SUMIFS(Tableau222[MONTANT TTC],Tableau222[DATE ÉCHÉANCE_
ENGAGEMENT],'PROJECTIONS TRESORERIE'!C27,Tableau222[ÉTAT],""),SUMIFS(Tableau222[MONTANT TTC],Tableau222[DATE ÉCHÉANCE_
ENGAGEMENT],'PROJECTIONS TRESORERIE'!C27,Tableau222[ÉTAT],"",Tableau3[ENTITE],'PROJECTIONS TRESORERIE'!$D$2))</f>
        <v>92070</v>
      </c>
      <c r="F27" s="30">
        <f>+IF($D$2=0,SUMIFS(Tableau222[MONTANT TTC],Tableau222[DATE ÉCHÉANCE_
ENGAGEMENT],'PROJECTIONS TRESORERIE'!C27,Tableau222[ÉTAT],""),SUMIFS(Tableau222[MONTANT TTC],Tableau222[DATE ÉCHÉANCE_
ENGAGEMENT],'PROJECTIONS TRESORERIE'!C27,Tableau222[ÉTAT],"",Tableau3[ENTITE],'PROJECTIONS TRESORERIE'!$D$2))</f>
        <v>92070</v>
      </c>
      <c r="G27" s="30">
        <f>IF($D$2=0,SUMIFS(Tableau5[MONTANT TTC],Tableau5[JOUR DE PRELEVEMENT],DAY('PROJECTIONS TRESORERIE'!$C27)),SUMIFS(Tableau5[MONTANT TTC],Tableau5[JOUR DE PRELEVEMENT],DAY('PROJECTIONS TRESORERIE'!$C27),Tableau5[ENTITE],'PROJECTIONS TRESORERIE'!$D$2))</f>
        <v>0</v>
      </c>
      <c r="H27" s="30">
        <f>IF($D$2=0,SUMIFS(Tableau5[MONTANT TTC],Tableau5[JOUR DE PRELEVEMENT],DAY('PROJECTIONS TRESORERIE'!$C27)),SUMIFS(Tableau5[MONTANT TTC],Tableau5[JOUR DE PRELEVEMENT],DAY('PROJECTIONS TRESORERIE'!$C27),Tableau5[ENTITE],'PROJECTIONS TRESORERIE'!$D$2))</f>
        <v>0</v>
      </c>
      <c r="I27" s="30">
        <f ca="1">IF($D$2=0,SUMIFS(Tableau6[MONTANT DÉCLARÉ],Tableau6[DATE DE PAIEMENT],DAY('PROJECTIONS TRESORERIE'!$C27),Tableau6[[ STATUT]],""),SUMIFS(Tableau6[MONTANT DÉCLARÉ],Tableau6[DATE DE PAIEMENT],DAY('PROJECTIONS TRESORERIE'!$C27),Tableau6[[ STATUT]],"",Tableau6[ENTITÉ],'PROJECTIONS TRESORERIE'!$D$2))</f>
        <v>0</v>
      </c>
      <c r="J27" s="33">
        <f ca="1">+$D$3+SUM($D$6:D27)-SUM($F$6:F27)-SUM($G$6:G27)-SUM($I$6:I27)</f>
        <v>-138081088.80000001</v>
      </c>
      <c r="K27" s="33">
        <f t="shared" si="1"/>
        <v>100000</v>
      </c>
    </row>
    <row r="28" spans="2:11">
      <c r="B28" s="34">
        <f>COUNTIF($C$6:C28,"&lt;&gt;"&amp;C28)</f>
        <v>22</v>
      </c>
      <c r="C28" s="35">
        <f t="shared" si="0"/>
        <v>45703</v>
      </c>
      <c r="D28" s="34">
        <f>+IF($D$2=0,SUMIFS(Tableau3[MONTANT TTC],Tableau3[ECHEANCE],'PROJECTIONS TRESORERIE'!C28,Tableau3[PAYE],""),SUMIFS(Tableau3[MONTANT TTC],Tableau3[ECHEANCE],'PROJECTIONS TRESORERIE'!C28,Tableau3[PAYE],"",Tableau3[ENTITE],'PROJECTIONS TRESORERIE'!$D$2))</f>
        <v>0</v>
      </c>
      <c r="E28" s="34">
        <f>+IF($D$2=0,SUMIFS(Tableau222[MONTANT TTC],Tableau222[DATE ÉCHÉANCE_
ENGAGEMENT],'PROJECTIONS TRESORERIE'!C28,Tableau222[ÉTAT],""),SUMIFS(Tableau222[MONTANT TTC],Tableau222[DATE ÉCHÉANCE_
ENGAGEMENT],'PROJECTIONS TRESORERIE'!C28,Tableau222[ÉTAT],"",Tableau3[ENTITE],'PROJECTIONS TRESORERIE'!$D$2))</f>
        <v>0</v>
      </c>
      <c r="F28" s="34">
        <f>+IF($D$2=0,SUMIFS(Tableau222[MONTANT TTC],Tableau222[DATE ÉCHÉANCE_
ENGAGEMENT],'PROJECTIONS TRESORERIE'!C28,Tableau222[ÉTAT],""),SUMIFS(Tableau222[MONTANT TTC],Tableau222[DATE ÉCHÉANCE_
ENGAGEMENT],'PROJECTIONS TRESORERIE'!C28,Tableau222[ÉTAT],"",Tableau3[ENTITE],'PROJECTIONS TRESORERIE'!$D$2))</f>
        <v>0</v>
      </c>
      <c r="G28" s="34">
        <f>IF($D$2=0,SUMIFS(Tableau5[MONTANT TTC],Tableau5[JOUR DE PRELEVEMENT],DAY('PROJECTIONS TRESORERIE'!$C28)),SUMIFS(Tableau5[MONTANT TTC],Tableau5[JOUR DE PRELEVEMENT],DAY('PROJECTIONS TRESORERIE'!$C28),Tableau5[ENTITE],'PROJECTIONS TRESORERIE'!$D$2))</f>
        <v>0</v>
      </c>
      <c r="H28" s="34">
        <f>IF($D$2=0,SUMIFS(Tableau5[MONTANT TTC],Tableau5[JOUR DE PRELEVEMENT],DAY('PROJECTIONS TRESORERIE'!$C28)),SUMIFS(Tableau5[MONTANT TTC],Tableau5[JOUR DE PRELEVEMENT],DAY('PROJECTIONS TRESORERIE'!$C28),Tableau5[ENTITE],'PROJECTIONS TRESORERIE'!$D$2))</f>
        <v>0</v>
      </c>
      <c r="I28" s="34">
        <f ca="1">IF($D$2=0,SUMIFS(Tableau6[MONTANT DÉCLARÉ],Tableau6[DATE DE PAIEMENT],DAY('PROJECTIONS TRESORERIE'!$C28),Tableau6[[ STATUT]],""),SUMIFS(Tableau6[MONTANT DÉCLARÉ],Tableau6[DATE DE PAIEMENT],DAY('PROJECTIONS TRESORERIE'!$C28),Tableau6[[ STATUT]],"",Tableau6[ENTITÉ],'PROJECTIONS TRESORERIE'!$D$2))</f>
        <v>0</v>
      </c>
      <c r="J28" s="36">
        <f ca="1">+$D$3+SUM($D$6:D28)-SUM($F$6:F28)-SUM($G$6:G28)-SUM($I$6:I28)</f>
        <v>-138081088.80000001</v>
      </c>
      <c r="K28" s="36">
        <f t="shared" si="1"/>
        <v>100000</v>
      </c>
    </row>
    <row r="29" spans="2:11">
      <c r="B29" s="30">
        <f>COUNTIF($C$6:C29,"&lt;&gt;"&amp;C29)</f>
        <v>23</v>
      </c>
      <c r="C29" s="31">
        <f t="shared" si="0"/>
        <v>45704</v>
      </c>
      <c r="D29" s="30">
        <f>+IF($D$2=0,SUMIFS(Tableau3[MONTANT TTC],Tableau3[ECHEANCE],'PROJECTIONS TRESORERIE'!C29,Tableau3[PAYE],""),SUMIFS(Tableau3[MONTANT TTC],Tableau3[ECHEANCE],'PROJECTIONS TRESORERIE'!C29,Tableau3[PAYE],"",Tableau3[ENTITE],'PROJECTIONS TRESORERIE'!$D$2))</f>
        <v>0</v>
      </c>
      <c r="E29" s="30">
        <f>+IF($D$2=0,SUMIFS(Tableau222[MONTANT TTC],Tableau222[DATE ÉCHÉANCE_
ENGAGEMENT],'PROJECTIONS TRESORERIE'!C29,Tableau222[ÉTAT],""),SUMIFS(Tableau222[MONTANT TTC],Tableau222[DATE ÉCHÉANCE_
ENGAGEMENT],'PROJECTIONS TRESORERIE'!C29,Tableau222[ÉTAT],"",Tableau3[ENTITE],'PROJECTIONS TRESORERIE'!$D$2))</f>
        <v>0</v>
      </c>
      <c r="F29" s="30">
        <f>+IF($D$2=0,SUMIFS(Tableau222[MONTANT TTC],Tableau222[DATE ÉCHÉANCE_
ENGAGEMENT],'PROJECTIONS TRESORERIE'!C29,Tableau222[ÉTAT],""),SUMIFS(Tableau222[MONTANT TTC],Tableau222[DATE ÉCHÉANCE_
ENGAGEMENT],'PROJECTIONS TRESORERIE'!C29,Tableau222[ÉTAT],"",Tableau3[ENTITE],'PROJECTIONS TRESORERIE'!$D$2))</f>
        <v>0</v>
      </c>
      <c r="G29" s="30">
        <f>IF($D$2=0,SUMIFS(Tableau5[MONTANT TTC],Tableau5[JOUR DE PRELEVEMENT],DAY('PROJECTIONS TRESORERIE'!$C29)),SUMIFS(Tableau5[MONTANT TTC],Tableau5[JOUR DE PRELEVEMENT],DAY('PROJECTIONS TRESORERIE'!$C29),Tableau5[ENTITE],'PROJECTIONS TRESORERIE'!$D$2))</f>
        <v>0</v>
      </c>
      <c r="H29" s="30">
        <f>IF($D$2=0,SUMIFS(Tableau5[MONTANT TTC],Tableau5[JOUR DE PRELEVEMENT],DAY('PROJECTIONS TRESORERIE'!$C29)),SUMIFS(Tableau5[MONTANT TTC],Tableau5[JOUR DE PRELEVEMENT],DAY('PROJECTIONS TRESORERIE'!$C29),Tableau5[ENTITE],'PROJECTIONS TRESORERIE'!$D$2))</f>
        <v>0</v>
      </c>
      <c r="I29" s="30">
        <f ca="1">IF($D$2=0,SUMIFS(Tableau6[MONTANT DÉCLARÉ],Tableau6[DATE DE PAIEMENT],DAY('PROJECTIONS TRESORERIE'!$C29),Tableau6[[ STATUT]],""),SUMIFS(Tableau6[MONTANT DÉCLARÉ],Tableau6[DATE DE PAIEMENT],DAY('PROJECTIONS TRESORERIE'!$C29),Tableau6[[ STATUT]],"",Tableau6[ENTITÉ],'PROJECTIONS TRESORERIE'!$D$2))</f>
        <v>0</v>
      </c>
      <c r="J29" s="33">
        <f ca="1">+$D$3+SUM($D$6:D29)-SUM($F$6:F29)-SUM($G$6:G29)-SUM($I$6:I29)</f>
        <v>-138081088.80000001</v>
      </c>
      <c r="K29" s="33">
        <f t="shared" si="1"/>
        <v>100000</v>
      </c>
    </row>
    <row r="30" spans="2:11">
      <c r="B30" s="34">
        <f>COUNTIF($C$6:C30,"&lt;&gt;"&amp;C30)</f>
        <v>24</v>
      </c>
      <c r="C30" s="35">
        <f t="shared" si="0"/>
        <v>45705</v>
      </c>
      <c r="D30" s="34">
        <f>+IF($D$2=0,SUMIFS(Tableau3[MONTANT TTC],Tableau3[ECHEANCE],'PROJECTIONS TRESORERIE'!C30,Tableau3[PAYE],""),SUMIFS(Tableau3[MONTANT TTC],Tableau3[ECHEANCE],'PROJECTIONS TRESORERIE'!C30,Tableau3[PAYE],"",Tableau3[ENTITE],'PROJECTIONS TRESORERIE'!$D$2))</f>
        <v>0</v>
      </c>
      <c r="E30" s="34">
        <f>+IF($D$2=0,SUMIFS(Tableau222[MONTANT TTC],Tableau222[DATE ÉCHÉANCE_
ENGAGEMENT],'PROJECTIONS TRESORERIE'!C30,Tableau222[ÉTAT],""),SUMIFS(Tableau222[MONTANT TTC],Tableau222[DATE ÉCHÉANCE_
ENGAGEMENT],'PROJECTIONS TRESORERIE'!C30,Tableau222[ÉTAT],"",Tableau3[ENTITE],'PROJECTIONS TRESORERIE'!$D$2))</f>
        <v>0</v>
      </c>
      <c r="F30" s="34">
        <f>+IF($D$2=0,SUMIFS(Tableau222[MONTANT TTC],Tableau222[DATE ÉCHÉANCE_
ENGAGEMENT],'PROJECTIONS TRESORERIE'!C30,Tableau222[ÉTAT],""),SUMIFS(Tableau222[MONTANT TTC],Tableau222[DATE ÉCHÉANCE_
ENGAGEMENT],'PROJECTIONS TRESORERIE'!C30,Tableau222[ÉTAT],"",Tableau3[ENTITE],'PROJECTIONS TRESORERIE'!$D$2))</f>
        <v>0</v>
      </c>
      <c r="G30" s="34">
        <f>IF($D$2=0,SUMIFS(Tableau5[MONTANT TTC],Tableau5[JOUR DE PRELEVEMENT],DAY('PROJECTIONS TRESORERIE'!$C30)),SUMIFS(Tableau5[MONTANT TTC],Tableau5[JOUR DE PRELEVEMENT],DAY('PROJECTIONS TRESORERIE'!$C30),Tableau5[ENTITE],'PROJECTIONS TRESORERIE'!$D$2))</f>
        <v>0</v>
      </c>
      <c r="H30" s="34">
        <f>IF($D$2=0,SUMIFS(Tableau5[MONTANT TTC],Tableau5[JOUR DE PRELEVEMENT],DAY('PROJECTIONS TRESORERIE'!$C30)),SUMIFS(Tableau5[MONTANT TTC],Tableau5[JOUR DE PRELEVEMENT],DAY('PROJECTIONS TRESORERIE'!$C30),Tableau5[ENTITE],'PROJECTIONS TRESORERIE'!$D$2))</f>
        <v>0</v>
      </c>
      <c r="I30" s="34">
        <f ca="1">IF($D$2=0,SUMIFS(Tableau6[MONTANT DÉCLARÉ],Tableau6[DATE DE PAIEMENT],DAY('PROJECTIONS TRESORERIE'!$C30),Tableau6[[ STATUT]],""),SUMIFS(Tableau6[MONTANT DÉCLARÉ],Tableau6[DATE DE PAIEMENT],DAY('PROJECTIONS TRESORERIE'!$C30),Tableau6[[ STATUT]],"",Tableau6[ENTITÉ],'PROJECTIONS TRESORERIE'!$D$2))</f>
        <v>0</v>
      </c>
      <c r="J30" s="36">
        <f ca="1">+$D$3+SUM($D$6:D30)-SUM($F$6:F30)-SUM($G$6:G30)-SUM($I$6:I30)</f>
        <v>-138081088.80000001</v>
      </c>
      <c r="K30" s="36">
        <f t="shared" si="1"/>
        <v>100000</v>
      </c>
    </row>
    <row r="31" spans="2:11">
      <c r="B31" s="30">
        <f>COUNTIF($C$6:C31,"&lt;&gt;"&amp;C31)</f>
        <v>25</v>
      </c>
      <c r="C31" s="31">
        <f t="shared" si="0"/>
        <v>45706</v>
      </c>
      <c r="D31" s="30">
        <f>+IF($D$2=0,SUMIFS(Tableau3[MONTANT TTC],Tableau3[ECHEANCE],'PROJECTIONS TRESORERIE'!C31,Tableau3[PAYE],""),SUMIFS(Tableau3[MONTANT TTC],Tableau3[ECHEANCE],'PROJECTIONS TRESORERIE'!C31,Tableau3[PAYE],"",Tableau3[ENTITE],'PROJECTIONS TRESORERIE'!$D$2))</f>
        <v>0</v>
      </c>
      <c r="E31" s="30">
        <f>+IF($D$2=0,SUMIFS(Tableau222[MONTANT TTC],Tableau222[DATE ÉCHÉANCE_
ENGAGEMENT],'PROJECTIONS TRESORERIE'!C31,Tableau222[ÉTAT],""),SUMIFS(Tableau222[MONTANT TTC],Tableau222[DATE ÉCHÉANCE_
ENGAGEMENT],'PROJECTIONS TRESORERIE'!C31,Tableau222[ÉTAT],"",Tableau3[ENTITE],'PROJECTIONS TRESORERIE'!$D$2))</f>
        <v>0</v>
      </c>
      <c r="F31" s="30">
        <f>+IF($D$2=0,SUMIFS(Tableau222[MONTANT TTC],Tableau222[DATE ÉCHÉANCE_
ENGAGEMENT],'PROJECTIONS TRESORERIE'!C31,Tableau222[ÉTAT],""),SUMIFS(Tableau222[MONTANT TTC],Tableau222[DATE ÉCHÉANCE_
ENGAGEMENT],'PROJECTIONS TRESORERIE'!C31,Tableau222[ÉTAT],"",Tableau3[ENTITE],'PROJECTIONS TRESORERIE'!$D$2))</f>
        <v>0</v>
      </c>
      <c r="G31" s="30">
        <f>IF($D$2=0,SUMIFS(Tableau5[MONTANT TTC],Tableau5[JOUR DE PRELEVEMENT],DAY('PROJECTIONS TRESORERIE'!$C31)),SUMIFS(Tableau5[MONTANT TTC],Tableau5[JOUR DE PRELEVEMENT],DAY('PROJECTIONS TRESORERIE'!$C31),Tableau5[ENTITE],'PROJECTIONS TRESORERIE'!$D$2))</f>
        <v>0</v>
      </c>
      <c r="H31" s="30">
        <f>IF($D$2=0,SUMIFS(Tableau5[MONTANT TTC],Tableau5[JOUR DE PRELEVEMENT],DAY('PROJECTIONS TRESORERIE'!$C31)),SUMIFS(Tableau5[MONTANT TTC],Tableau5[JOUR DE PRELEVEMENT],DAY('PROJECTIONS TRESORERIE'!$C31),Tableau5[ENTITE],'PROJECTIONS TRESORERIE'!$D$2))</f>
        <v>0</v>
      </c>
      <c r="I31" s="30">
        <f ca="1">IF($D$2=0,SUMIFS(Tableau6[MONTANT DÉCLARÉ],Tableau6[DATE DE PAIEMENT],DAY('PROJECTIONS TRESORERIE'!$C31),Tableau6[[ STATUT]],""),SUMIFS(Tableau6[MONTANT DÉCLARÉ],Tableau6[DATE DE PAIEMENT],DAY('PROJECTIONS TRESORERIE'!$C31),Tableau6[[ STATUT]],"",Tableau6[ENTITÉ],'PROJECTIONS TRESORERIE'!$D$2))</f>
        <v>0</v>
      </c>
      <c r="J31" s="33">
        <f ca="1">+$D$3+SUM($D$6:D31)-SUM($F$6:F31)-SUM($G$6:G31)-SUM($I$6:I31)</f>
        <v>-138081088.80000001</v>
      </c>
      <c r="K31" s="33">
        <f t="shared" si="1"/>
        <v>100000</v>
      </c>
    </row>
    <row r="32" spans="2:11">
      <c r="B32" s="34">
        <f>COUNTIF($C$6:C32,"&lt;&gt;"&amp;C32)</f>
        <v>26</v>
      </c>
      <c r="C32" s="35">
        <f t="shared" si="0"/>
        <v>45707</v>
      </c>
      <c r="D32" s="34">
        <f>+IF($D$2=0,SUMIFS(Tableau3[MONTANT TTC],Tableau3[ECHEANCE],'PROJECTIONS TRESORERIE'!C32,Tableau3[PAYE],""),SUMIFS(Tableau3[MONTANT TTC],Tableau3[ECHEANCE],'PROJECTIONS TRESORERIE'!C32,Tableau3[PAYE],"",Tableau3[ENTITE],'PROJECTIONS TRESORERIE'!$D$2))</f>
        <v>0</v>
      </c>
      <c r="E32" s="34">
        <f>+IF($D$2=0,SUMIFS(Tableau222[MONTANT TTC],Tableau222[DATE ÉCHÉANCE_
ENGAGEMENT],'PROJECTIONS TRESORERIE'!C32,Tableau222[ÉTAT],""),SUMIFS(Tableau222[MONTANT TTC],Tableau222[DATE ÉCHÉANCE_
ENGAGEMENT],'PROJECTIONS TRESORERIE'!C32,Tableau222[ÉTAT],"",Tableau3[ENTITE],'PROJECTIONS TRESORERIE'!$D$2))</f>
        <v>0</v>
      </c>
      <c r="F32" s="34">
        <f>+IF($D$2=0,SUMIFS(Tableau222[MONTANT TTC],Tableau222[DATE ÉCHÉANCE_
ENGAGEMENT],'PROJECTIONS TRESORERIE'!C32,Tableau222[ÉTAT],""),SUMIFS(Tableau222[MONTANT TTC],Tableau222[DATE ÉCHÉANCE_
ENGAGEMENT],'PROJECTIONS TRESORERIE'!C32,Tableau222[ÉTAT],"",Tableau3[ENTITE],'PROJECTIONS TRESORERIE'!$D$2))</f>
        <v>0</v>
      </c>
      <c r="G32" s="34">
        <f>IF($D$2=0,SUMIFS(Tableau5[MONTANT TTC],Tableau5[JOUR DE PRELEVEMENT],DAY('PROJECTIONS TRESORERIE'!$C32)),SUMIFS(Tableau5[MONTANT TTC],Tableau5[JOUR DE PRELEVEMENT],DAY('PROJECTIONS TRESORERIE'!$C32),Tableau5[ENTITE],'PROJECTIONS TRESORERIE'!$D$2))</f>
        <v>0</v>
      </c>
      <c r="H32" s="34">
        <f>IF($D$2=0,SUMIFS(Tableau5[MONTANT TTC],Tableau5[JOUR DE PRELEVEMENT],DAY('PROJECTIONS TRESORERIE'!$C32)),SUMIFS(Tableau5[MONTANT TTC],Tableau5[JOUR DE PRELEVEMENT],DAY('PROJECTIONS TRESORERIE'!$C32),Tableau5[ENTITE],'PROJECTIONS TRESORERIE'!$D$2))</f>
        <v>0</v>
      </c>
      <c r="I32" s="34">
        <f ca="1">IF($D$2=0,SUMIFS(Tableau6[MONTANT DÉCLARÉ],Tableau6[DATE DE PAIEMENT],DAY('PROJECTIONS TRESORERIE'!$C32),Tableau6[[ STATUT]],""),SUMIFS(Tableau6[MONTANT DÉCLARÉ],Tableau6[DATE DE PAIEMENT],DAY('PROJECTIONS TRESORERIE'!$C32),Tableau6[[ STATUT]],"",Tableau6[ENTITÉ],'PROJECTIONS TRESORERIE'!$D$2))</f>
        <v>0</v>
      </c>
      <c r="J32" s="36">
        <f ca="1">+$D$3+SUM($D$6:D32)-SUM($F$6:F32)-SUM($G$6:G32)-SUM($I$6:I32)</f>
        <v>-138081088.80000001</v>
      </c>
      <c r="K32" s="36">
        <f t="shared" si="1"/>
        <v>100000</v>
      </c>
    </row>
    <row r="33" spans="2:11">
      <c r="B33" s="30">
        <f>COUNTIF($C$6:C33,"&lt;&gt;"&amp;C33)</f>
        <v>27</v>
      </c>
      <c r="C33" s="31">
        <f t="shared" si="0"/>
        <v>45708</v>
      </c>
      <c r="D33" s="30">
        <f>+IF($D$2=0,SUMIFS(Tableau3[MONTANT TTC],Tableau3[ECHEANCE],'PROJECTIONS TRESORERIE'!C33,Tableau3[PAYE],""),SUMIFS(Tableau3[MONTANT TTC],Tableau3[ECHEANCE],'PROJECTIONS TRESORERIE'!C33,Tableau3[PAYE],"",Tableau3[ENTITE],'PROJECTIONS TRESORERIE'!$D$2))</f>
        <v>0</v>
      </c>
      <c r="E33" s="30">
        <f>+IF($D$2=0,SUMIFS(Tableau222[MONTANT TTC],Tableau222[DATE ÉCHÉANCE_
ENGAGEMENT],'PROJECTIONS TRESORERIE'!C33,Tableau222[ÉTAT],""),SUMIFS(Tableau222[MONTANT TTC],Tableau222[DATE ÉCHÉANCE_
ENGAGEMENT],'PROJECTIONS TRESORERIE'!C33,Tableau222[ÉTAT],"",Tableau3[ENTITE],'PROJECTIONS TRESORERIE'!$D$2))</f>
        <v>0</v>
      </c>
      <c r="F33" s="30">
        <f>+IF($D$2=0,SUMIFS(Tableau222[MONTANT TTC],Tableau222[DATE ÉCHÉANCE_
ENGAGEMENT],'PROJECTIONS TRESORERIE'!C33,Tableau222[ÉTAT],""),SUMIFS(Tableau222[MONTANT TTC],Tableau222[DATE ÉCHÉANCE_
ENGAGEMENT],'PROJECTIONS TRESORERIE'!C33,Tableau222[ÉTAT],"",Tableau3[ENTITE],'PROJECTIONS TRESORERIE'!$D$2))</f>
        <v>0</v>
      </c>
      <c r="G33" s="30">
        <f>IF($D$2=0,SUMIFS(Tableau5[MONTANT TTC],Tableau5[JOUR DE PRELEVEMENT],DAY('PROJECTIONS TRESORERIE'!$C33)),SUMIFS(Tableau5[MONTANT TTC],Tableau5[JOUR DE PRELEVEMENT],DAY('PROJECTIONS TRESORERIE'!$C33),Tableau5[ENTITE],'PROJECTIONS TRESORERIE'!$D$2))</f>
        <v>0</v>
      </c>
      <c r="H33" s="30">
        <f>IF($D$2=0,SUMIFS(Tableau5[MONTANT TTC],Tableau5[JOUR DE PRELEVEMENT],DAY('PROJECTIONS TRESORERIE'!$C33)),SUMIFS(Tableau5[MONTANT TTC],Tableau5[JOUR DE PRELEVEMENT],DAY('PROJECTIONS TRESORERIE'!$C33),Tableau5[ENTITE],'PROJECTIONS TRESORERIE'!$D$2))</f>
        <v>0</v>
      </c>
      <c r="I33" s="30">
        <f ca="1">IF($D$2=0,SUMIFS(Tableau6[MONTANT DÉCLARÉ],Tableau6[DATE DE PAIEMENT],DAY('PROJECTIONS TRESORERIE'!$C33),Tableau6[[ STATUT]],""),SUMIFS(Tableau6[MONTANT DÉCLARÉ],Tableau6[DATE DE PAIEMENT],DAY('PROJECTIONS TRESORERIE'!$C33),Tableau6[[ STATUT]],"",Tableau6[ENTITÉ],'PROJECTIONS TRESORERIE'!$D$2))</f>
        <v>0</v>
      </c>
      <c r="J33" s="33">
        <f ca="1">+$D$3+SUM($D$6:D33)-SUM($F$6:F33)-SUM($G$6:G33)-SUM($I$6:I33)</f>
        <v>-138081088.80000001</v>
      </c>
      <c r="K33" s="33">
        <f t="shared" si="1"/>
        <v>100000</v>
      </c>
    </row>
    <row r="34" spans="2:11">
      <c r="B34" s="34">
        <f>COUNTIF($C$6:C34,"&lt;&gt;"&amp;C34)</f>
        <v>28</v>
      </c>
      <c r="C34" s="35">
        <f t="shared" si="0"/>
        <v>45709</v>
      </c>
      <c r="D34" s="34">
        <f>+IF($D$2=0,SUMIFS(Tableau3[MONTANT TTC],Tableau3[ECHEANCE],'PROJECTIONS TRESORERIE'!C34,Tableau3[PAYE],""),SUMIFS(Tableau3[MONTANT TTC],Tableau3[ECHEANCE],'PROJECTIONS TRESORERIE'!C34,Tableau3[PAYE],"",Tableau3[ENTITE],'PROJECTIONS TRESORERIE'!$D$2))</f>
        <v>0</v>
      </c>
      <c r="E34" s="34">
        <f>+IF($D$2=0,SUMIFS(Tableau222[MONTANT TTC],Tableau222[DATE ÉCHÉANCE_
ENGAGEMENT],'PROJECTIONS TRESORERIE'!C34,Tableau222[ÉTAT],""),SUMIFS(Tableau222[MONTANT TTC],Tableau222[DATE ÉCHÉANCE_
ENGAGEMENT],'PROJECTIONS TRESORERIE'!C34,Tableau222[ÉTAT],"",Tableau3[ENTITE],'PROJECTIONS TRESORERIE'!$D$2))</f>
        <v>11199990</v>
      </c>
      <c r="F34" s="34">
        <f>+IF($D$2=0,SUMIFS(Tableau222[MONTANT TTC],Tableau222[DATE ÉCHÉANCE_
ENGAGEMENT],'PROJECTIONS TRESORERIE'!C34,Tableau222[ÉTAT],""),SUMIFS(Tableau222[MONTANT TTC],Tableau222[DATE ÉCHÉANCE_
ENGAGEMENT],'PROJECTIONS TRESORERIE'!C34,Tableau222[ÉTAT],"",Tableau3[ENTITE],'PROJECTIONS TRESORERIE'!$D$2))</f>
        <v>11199990</v>
      </c>
      <c r="G34" s="34">
        <f>IF($D$2=0,SUMIFS(Tableau5[MONTANT TTC],Tableau5[JOUR DE PRELEVEMENT],DAY('PROJECTIONS TRESORERIE'!$C34)),SUMIFS(Tableau5[MONTANT TTC],Tableau5[JOUR DE PRELEVEMENT],DAY('PROJECTIONS TRESORERIE'!$C34),Tableau5[ENTITE],'PROJECTIONS TRESORERIE'!$D$2))</f>
        <v>0</v>
      </c>
      <c r="H34" s="34">
        <f>IF($D$2=0,SUMIFS(Tableau5[MONTANT TTC],Tableau5[JOUR DE PRELEVEMENT],DAY('PROJECTIONS TRESORERIE'!$C34)),SUMIFS(Tableau5[MONTANT TTC],Tableau5[JOUR DE PRELEVEMENT],DAY('PROJECTIONS TRESORERIE'!$C34),Tableau5[ENTITE],'PROJECTIONS TRESORERIE'!$D$2))</f>
        <v>0</v>
      </c>
      <c r="I34" s="34">
        <f ca="1">IF($D$2=0,SUMIFS(Tableau6[MONTANT DÉCLARÉ],Tableau6[DATE DE PAIEMENT],DAY('PROJECTIONS TRESORERIE'!$C34),Tableau6[[ STATUT]],""),SUMIFS(Tableau6[MONTANT DÉCLARÉ],Tableau6[DATE DE PAIEMENT],DAY('PROJECTIONS TRESORERIE'!$C34),Tableau6[[ STATUT]],"",Tableau6[ENTITÉ],'PROJECTIONS TRESORERIE'!$D$2))</f>
        <v>0</v>
      </c>
      <c r="J34" s="36">
        <f ca="1">+$D$3+SUM($D$6:D34)-SUM($F$6:F34)-SUM($G$6:G34)-SUM($I$6:I34)</f>
        <v>-149281078.80000001</v>
      </c>
      <c r="K34" s="36">
        <f t="shared" si="1"/>
        <v>100000</v>
      </c>
    </row>
    <row r="35" spans="2:11">
      <c r="B35" s="30">
        <f>COUNTIF($C$6:C35,"&lt;&gt;"&amp;C35)</f>
        <v>29</v>
      </c>
      <c r="C35" s="31">
        <f t="shared" si="0"/>
        <v>45710</v>
      </c>
      <c r="D35" s="30">
        <f>+IF($D$2=0,SUMIFS(Tableau3[MONTANT TTC],Tableau3[ECHEANCE],'PROJECTIONS TRESORERIE'!C35,Tableau3[PAYE],""),SUMIFS(Tableau3[MONTANT TTC],Tableau3[ECHEANCE],'PROJECTIONS TRESORERIE'!C35,Tableau3[PAYE],"",Tableau3[ENTITE],'PROJECTIONS TRESORERIE'!$D$2))</f>
        <v>0</v>
      </c>
      <c r="E35" s="30">
        <f>+IF($D$2=0,SUMIFS(Tableau222[MONTANT TTC],Tableau222[DATE ÉCHÉANCE_
ENGAGEMENT],'PROJECTIONS TRESORERIE'!C35,Tableau222[ÉTAT],""),SUMIFS(Tableau222[MONTANT TTC],Tableau222[DATE ÉCHÉANCE_
ENGAGEMENT],'PROJECTIONS TRESORERIE'!C35,Tableau222[ÉTAT],"",Tableau3[ENTITE],'PROJECTIONS TRESORERIE'!$D$2))</f>
        <v>150000</v>
      </c>
      <c r="F35" s="30">
        <f>+IF($D$2=0,SUMIFS(Tableau222[MONTANT TTC],Tableau222[DATE ÉCHÉANCE_
ENGAGEMENT],'PROJECTIONS TRESORERIE'!C35,Tableau222[ÉTAT],""),SUMIFS(Tableau222[MONTANT TTC],Tableau222[DATE ÉCHÉANCE_
ENGAGEMENT],'PROJECTIONS TRESORERIE'!C35,Tableau222[ÉTAT],"",Tableau3[ENTITE],'PROJECTIONS TRESORERIE'!$D$2))</f>
        <v>150000</v>
      </c>
      <c r="G35" s="30">
        <f>IF($D$2=0,SUMIFS(Tableau5[MONTANT TTC],Tableau5[JOUR DE PRELEVEMENT],DAY('PROJECTIONS TRESORERIE'!$C35)),SUMIFS(Tableau5[MONTANT TTC],Tableau5[JOUR DE PRELEVEMENT],DAY('PROJECTIONS TRESORERIE'!$C35),Tableau5[ENTITE],'PROJECTIONS TRESORERIE'!$D$2))</f>
        <v>0</v>
      </c>
      <c r="H35" s="30">
        <f>IF($D$2=0,SUMIFS(Tableau5[MONTANT TTC],Tableau5[JOUR DE PRELEVEMENT],DAY('PROJECTIONS TRESORERIE'!$C35)),SUMIFS(Tableau5[MONTANT TTC],Tableau5[JOUR DE PRELEVEMENT],DAY('PROJECTIONS TRESORERIE'!$C35),Tableau5[ENTITE],'PROJECTIONS TRESORERIE'!$D$2))</f>
        <v>0</v>
      </c>
      <c r="I35" s="30">
        <f ca="1">IF($D$2=0,SUMIFS(Tableau6[MONTANT DÉCLARÉ],Tableau6[DATE DE PAIEMENT],DAY('PROJECTIONS TRESORERIE'!$C35),Tableau6[[ STATUT]],""),SUMIFS(Tableau6[MONTANT DÉCLARÉ],Tableau6[DATE DE PAIEMENT],DAY('PROJECTIONS TRESORERIE'!$C35),Tableau6[[ STATUT]],"",Tableau6[ENTITÉ],'PROJECTIONS TRESORERIE'!$D$2))</f>
        <v>0</v>
      </c>
      <c r="J35" s="33">
        <f ca="1">+$D$3+SUM($D$6:D35)-SUM($F$6:F35)-SUM($G$6:G35)-SUM($I$6:I35)</f>
        <v>-149431078.80000001</v>
      </c>
      <c r="K35" s="33">
        <f t="shared" si="1"/>
        <v>100000</v>
      </c>
    </row>
    <row r="36" spans="2:11">
      <c r="B36" s="34">
        <f>COUNTIF($C$6:C36,"&lt;&gt;"&amp;C36)</f>
        <v>30</v>
      </c>
      <c r="C36" s="35">
        <f t="shared" si="0"/>
        <v>45711</v>
      </c>
      <c r="D36" s="34">
        <f>+IF($D$2=0,SUMIFS(Tableau3[MONTANT TTC],Tableau3[ECHEANCE],'PROJECTIONS TRESORERIE'!C36,Tableau3[PAYE],""),SUMIFS(Tableau3[MONTANT TTC],Tableau3[ECHEANCE],'PROJECTIONS TRESORERIE'!C36,Tableau3[PAYE],"",Tableau3[ENTITE],'PROJECTIONS TRESORERIE'!$D$2))</f>
        <v>0</v>
      </c>
      <c r="E36" s="34">
        <f>+IF($D$2=0,SUMIFS(Tableau222[MONTANT TTC],Tableau222[DATE ÉCHÉANCE_
ENGAGEMENT],'PROJECTIONS TRESORERIE'!C36,Tableau222[ÉTAT],""),SUMIFS(Tableau222[MONTANT TTC],Tableau222[DATE ÉCHÉANCE_
ENGAGEMENT],'PROJECTIONS TRESORERIE'!C36,Tableau222[ÉTAT],"",Tableau3[ENTITE],'PROJECTIONS TRESORERIE'!$D$2))</f>
        <v>0</v>
      </c>
      <c r="F36" s="34">
        <f>+IF($D$2=0,SUMIFS(Tableau222[MONTANT TTC],Tableau222[DATE ÉCHÉANCE_
ENGAGEMENT],'PROJECTIONS TRESORERIE'!C36,Tableau222[ÉTAT],""),SUMIFS(Tableau222[MONTANT TTC],Tableau222[DATE ÉCHÉANCE_
ENGAGEMENT],'PROJECTIONS TRESORERIE'!C36,Tableau222[ÉTAT],"",Tableau3[ENTITE],'PROJECTIONS TRESORERIE'!$D$2))</f>
        <v>0</v>
      </c>
      <c r="G36" s="34">
        <f>IF($D$2=0,SUMIFS(Tableau5[MONTANT TTC],Tableau5[JOUR DE PRELEVEMENT],DAY('PROJECTIONS TRESORERIE'!$C36)),SUMIFS(Tableau5[MONTANT TTC],Tableau5[JOUR DE PRELEVEMENT],DAY('PROJECTIONS TRESORERIE'!$C36),Tableau5[ENTITE],'PROJECTIONS TRESORERIE'!$D$2))</f>
        <v>0</v>
      </c>
      <c r="H36" s="34">
        <f>IF($D$2=0,SUMIFS(Tableau5[MONTANT TTC],Tableau5[JOUR DE PRELEVEMENT],DAY('PROJECTIONS TRESORERIE'!$C36)),SUMIFS(Tableau5[MONTANT TTC],Tableau5[JOUR DE PRELEVEMENT],DAY('PROJECTIONS TRESORERIE'!$C36),Tableau5[ENTITE],'PROJECTIONS TRESORERIE'!$D$2))</f>
        <v>0</v>
      </c>
      <c r="I36" s="34">
        <f ca="1">IF($D$2=0,SUMIFS(Tableau6[MONTANT DÉCLARÉ],Tableau6[DATE DE PAIEMENT],DAY('PROJECTIONS TRESORERIE'!$C36),Tableau6[[ STATUT]],""),SUMIFS(Tableau6[MONTANT DÉCLARÉ],Tableau6[DATE DE PAIEMENT],DAY('PROJECTIONS TRESORERIE'!$C36),Tableau6[[ STATUT]],"",Tableau6[ENTITÉ],'PROJECTIONS TRESORERIE'!$D$2))</f>
        <v>0</v>
      </c>
      <c r="J36" s="36">
        <f ca="1">+$D$3+SUM($D$6:D36)-SUM($F$6:F36)-SUM($G$6:G36)-SUM($I$6:I36)</f>
        <v>-149431078.80000001</v>
      </c>
      <c r="K36" s="36">
        <f t="shared" si="1"/>
        <v>100000</v>
      </c>
    </row>
    <row r="37" spans="2:11">
      <c r="B37" s="37">
        <f>COUNTIF($C$6:C37,"&lt;&gt;"&amp;C37)</f>
        <v>31</v>
      </c>
      <c r="C37" s="38">
        <f>+C36+1</f>
        <v>45712</v>
      </c>
      <c r="D37" s="37">
        <f>+IF($D$2=0,SUMIFS(Tableau3[MONTANT TTC],Tableau3[ECHEANCE],'PROJECTIONS TRESORERIE'!C37,Tableau3[PAYE],""),SUMIFS(Tableau3[MONTANT TTC],Tableau3[ECHEANCE],'PROJECTIONS TRESORERIE'!C37,Tableau3[PAYE],"",Tableau3[ENTITE],'PROJECTIONS TRESORERIE'!$D$2))</f>
        <v>0</v>
      </c>
      <c r="E37" s="37">
        <f>+IF($D$2=0,SUMIFS(Tableau222[MONTANT TTC],Tableau222[DATE ÉCHÉANCE_
ENGAGEMENT],'PROJECTIONS TRESORERIE'!C37,Tableau222[ÉTAT],""),SUMIFS(Tableau222[MONTANT TTC],Tableau222[DATE ÉCHÉANCE_
ENGAGEMENT],'PROJECTIONS TRESORERIE'!C37,Tableau222[ÉTAT],"",Tableau3[ENTITE],'PROJECTIONS TRESORERIE'!$D$2))</f>
        <v>0</v>
      </c>
      <c r="F37" s="37">
        <f>+IF($D$2=0,SUMIFS(Tableau222[MONTANT TTC],Tableau222[DATE ÉCHÉANCE_
ENGAGEMENT],'PROJECTIONS TRESORERIE'!C37,Tableau222[ÉTAT],""),SUMIFS(Tableau222[MONTANT TTC],Tableau222[DATE ÉCHÉANCE_
ENGAGEMENT],'PROJECTIONS TRESORERIE'!C37,Tableau222[ÉTAT],"",Tableau3[ENTITE],'PROJECTIONS TRESORERIE'!$D$2))</f>
        <v>0</v>
      </c>
      <c r="G37" s="37">
        <f>IF($D$2=0,SUMIFS(Tableau5[MONTANT TTC],Tableau5[JOUR DE PRELEVEMENT],DAY('PROJECTIONS TRESORERIE'!$C37)),SUMIFS(Tableau5[MONTANT TTC],Tableau5[JOUR DE PRELEVEMENT],DAY('PROJECTIONS TRESORERIE'!$C37),Tableau5[ENTITE],'PROJECTIONS TRESORERIE'!$D$2))</f>
        <v>0</v>
      </c>
      <c r="H37" s="37">
        <f>IF($D$2=0,SUMIFS(Tableau5[MONTANT TTC],Tableau5[JOUR DE PRELEVEMENT],DAY('PROJECTIONS TRESORERIE'!$C37)),SUMIFS(Tableau5[MONTANT TTC],Tableau5[JOUR DE PRELEVEMENT],DAY('PROJECTIONS TRESORERIE'!$C37),Tableau5[ENTITE],'PROJECTIONS TRESORERIE'!$D$2))</f>
        <v>0</v>
      </c>
      <c r="I37" s="37">
        <f ca="1">IF($D$2=0,SUMIFS(Tableau6[MONTANT DÉCLARÉ],Tableau6[DATE DE PAIEMENT],DAY('PROJECTIONS TRESORERIE'!$C37),Tableau6[[ STATUT]],""),SUMIFS(Tableau6[MONTANT DÉCLARÉ],Tableau6[DATE DE PAIEMENT],DAY('PROJECTIONS TRESORERIE'!$C37),Tableau6[[ STATUT]],"",Tableau6[ENTITÉ],'PROJECTIONS TRESORERIE'!$D$2))</f>
        <v>0</v>
      </c>
      <c r="J37" s="27">
        <f ca="1">+$D$3+SUM($D$6:D37)-SUM($F$6:F37)-SUM($G$6:G37)-SUM($I$6:I37)</f>
        <v>-149431078.80000001</v>
      </c>
      <c r="K37" s="27">
        <f t="shared" si="1"/>
        <v>100000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2"/>
  <sheetViews>
    <sheetView workbookViewId="0">
      <selection activeCell="AA4" sqref="AA4"/>
    </sheetView>
  </sheetViews>
  <sheetFormatPr baseColWidth="10" defaultColWidth="8.77734375" defaultRowHeight="14.4"/>
  <cols>
    <col min="1" max="1" width="4.33203125" customWidth="1"/>
    <col min="2" max="2" width="8.6640625" customWidth="1"/>
    <col min="3" max="3" width="27.77734375" customWidth="1"/>
    <col min="4" max="4" width="22.6640625" customWidth="1"/>
    <col min="5" max="5" width="23.109375" customWidth="1"/>
    <col min="6" max="6" width="26.109375" customWidth="1"/>
    <col min="7" max="7" width="24.21875" customWidth="1"/>
    <col min="8" max="8" width="16" customWidth="1"/>
    <col min="9" max="9" width="25.88671875" customWidth="1"/>
    <col min="10" max="10" width="29.5546875" customWidth="1"/>
  </cols>
  <sheetData>
    <row r="2" spans="2:10">
      <c r="B2" t="s">
        <v>27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79998168889431442"/>
  </sheetPr>
  <dimension ref="A2:H2"/>
  <sheetViews>
    <sheetView workbookViewId="0">
      <selection activeCell="AA4" sqref="AA4"/>
    </sheetView>
  </sheetViews>
  <sheetFormatPr baseColWidth="10" defaultColWidth="8.77734375" defaultRowHeight="14.4"/>
  <cols>
    <col min="1" max="1" width="11.21875" bestFit="1" customWidth="1"/>
    <col min="2" max="2" width="25.6640625" customWidth="1"/>
    <col min="3" max="3" width="15.33203125" bestFit="1" customWidth="1"/>
    <col min="4" max="4" width="22.6640625" customWidth="1"/>
    <col min="5" max="5" width="19.77734375" bestFit="1" customWidth="1"/>
    <col min="6" max="6" width="19.77734375" customWidth="1"/>
    <col min="7" max="7" width="18.33203125" customWidth="1"/>
    <col min="8" max="8" width="14.5546875" customWidth="1"/>
  </cols>
  <sheetData>
    <row r="2" spans="1:8">
      <c r="A2" s="22" t="s">
        <v>27</v>
      </c>
      <c r="B2" s="22" t="s">
        <v>271</v>
      </c>
      <c r="C2" s="22" t="s">
        <v>272</v>
      </c>
      <c r="D2" s="22" t="s">
        <v>273</v>
      </c>
      <c r="E2" s="22" t="s">
        <v>274</v>
      </c>
      <c r="F2" s="22" t="s">
        <v>275</v>
      </c>
      <c r="G2" s="22" t="s">
        <v>276</v>
      </c>
      <c r="H2" s="22" t="s">
        <v>277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79998168889431442"/>
  </sheetPr>
  <dimension ref="A2:G2"/>
  <sheetViews>
    <sheetView workbookViewId="0">
      <selection activeCell="AA4" sqref="AA4"/>
    </sheetView>
  </sheetViews>
  <sheetFormatPr baseColWidth="10" defaultColWidth="8.77734375" defaultRowHeight="14.4"/>
  <cols>
    <col min="1" max="1" width="22.77734375" customWidth="1"/>
    <col min="2" max="2" width="14.44140625" customWidth="1"/>
    <col min="3" max="3" width="19" customWidth="1"/>
    <col min="4" max="4" width="28.5546875" customWidth="1"/>
    <col min="5" max="5" width="25.44140625" customWidth="1"/>
    <col min="6" max="6" width="15.88671875" customWidth="1"/>
    <col min="7" max="7" width="15.77734375" customWidth="1"/>
  </cols>
  <sheetData>
    <row r="2" spans="1:7">
      <c r="A2" s="21" t="s">
        <v>248</v>
      </c>
      <c r="B2" s="21" t="s">
        <v>17</v>
      </c>
      <c r="C2" s="21" t="s">
        <v>267</v>
      </c>
      <c r="D2" s="21" t="s">
        <v>268</v>
      </c>
      <c r="E2" s="21" t="s">
        <v>269</v>
      </c>
      <c r="F2" s="21" t="s">
        <v>270</v>
      </c>
      <c r="G2" s="21" t="s">
        <v>250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2"/>
  <sheetViews>
    <sheetView workbookViewId="0">
      <selection activeCell="AA4" sqref="AA4"/>
    </sheetView>
  </sheetViews>
  <sheetFormatPr baseColWidth="10" defaultRowHeight="14.4"/>
  <cols>
    <col min="1" max="1" width="8.6640625" customWidth="1"/>
    <col min="2" max="2" width="12.21875" customWidth="1"/>
    <col min="3" max="3" width="25.77734375" customWidth="1"/>
    <col min="4" max="4" width="12.6640625" bestFit="1" customWidth="1"/>
    <col min="5" max="5" width="13.77734375" bestFit="1" customWidth="1"/>
    <col min="6" max="6" width="18.33203125" bestFit="1" customWidth="1"/>
    <col min="7" max="7" width="23" bestFit="1" customWidth="1"/>
    <col min="8" max="8" width="20.21875" customWidth="1"/>
    <col min="9" max="9" width="22.44140625" bestFit="1" customWidth="1"/>
    <col min="10" max="10" width="18.33203125" customWidth="1"/>
    <col min="11" max="11" width="20.44140625" bestFit="1" customWidth="1"/>
    <col min="12" max="12" width="20.109375" customWidth="1"/>
    <col min="15" max="15" width="15.6640625" customWidth="1"/>
  </cols>
  <sheetData>
    <row r="2" spans="1:12">
      <c r="A2" t="s">
        <v>27</v>
      </c>
      <c r="B2" t="s">
        <v>131</v>
      </c>
      <c r="C2" t="s">
        <v>132</v>
      </c>
      <c r="D2" t="s">
        <v>133</v>
      </c>
      <c r="E2" t="s">
        <v>137</v>
      </c>
      <c r="F2" t="s">
        <v>134</v>
      </c>
      <c r="G2" t="s">
        <v>138</v>
      </c>
      <c r="H2" t="s">
        <v>140</v>
      </c>
      <c r="I2" t="s">
        <v>139</v>
      </c>
      <c r="J2" t="s">
        <v>135</v>
      </c>
      <c r="K2" t="s">
        <v>136</v>
      </c>
      <c r="L2" t="s">
        <v>19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L4"/>
  <sheetViews>
    <sheetView workbookViewId="0">
      <selection activeCell="AA4" sqref="AA4"/>
    </sheetView>
  </sheetViews>
  <sheetFormatPr baseColWidth="10" defaultRowHeight="14.4"/>
  <cols>
    <col min="3" max="3" width="13.6640625" bestFit="1" customWidth="1"/>
    <col min="4" max="4" width="15.6640625" customWidth="1"/>
    <col min="5" max="5" width="15.77734375" customWidth="1"/>
    <col min="6" max="6" width="14.33203125" customWidth="1"/>
    <col min="8" max="10" width="15.21875" customWidth="1"/>
    <col min="11" max="11" width="16.5546875" customWidth="1"/>
  </cols>
  <sheetData>
    <row r="3" spans="1:12">
      <c r="A3" t="s">
        <v>3</v>
      </c>
      <c r="B3" t="s">
        <v>0</v>
      </c>
      <c r="C3" t="s">
        <v>1</v>
      </c>
      <c r="D3" t="s">
        <v>2</v>
      </c>
      <c r="E3" t="s">
        <v>4</v>
      </c>
      <c r="F3" t="s">
        <v>11</v>
      </c>
      <c r="G3" t="s">
        <v>12</v>
      </c>
      <c r="H3" s="1" t="s">
        <v>13</v>
      </c>
      <c r="I3" t="s">
        <v>20</v>
      </c>
      <c r="J3" s="1" t="s">
        <v>21</v>
      </c>
      <c r="K3" t="s">
        <v>14</v>
      </c>
      <c r="L3" t="s">
        <v>15</v>
      </c>
    </row>
    <row r="4" spans="1:12">
      <c r="A4" t="s">
        <v>34</v>
      </c>
      <c r="H4" s="3">
        <v>200000</v>
      </c>
      <c r="J4" s="2">
        <v>45602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D2"/>
  <sheetViews>
    <sheetView workbookViewId="0">
      <selection activeCell="AA4" sqref="AA4"/>
    </sheetView>
  </sheetViews>
  <sheetFormatPr baseColWidth="10" defaultRowHeight="14.4"/>
  <cols>
    <col min="1" max="1" width="8.88671875" bestFit="1" customWidth="1"/>
    <col min="2" max="2" width="15.88671875" customWidth="1"/>
    <col min="4" max="4" width="17.109375" customWidth="1"/>
  </cols>
  <sheetData>
    <row r="2" spans="1:4">
      <c r="A2" t="s">
        <v>3</v>
      </c>
      <c r="B2" t="s">
        <v>22</v>
      </c>
      <c r="C2" t="s">
        <v>23</v>
      </c>
      <c r="D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3</vt:i4>
      </vt:variant>
    </vt:vector>
  </HeadingPairs>
  <TitlesOfParts>
    <vt:vector size="24" baseType="lpstr">
      <vt:lpstr>FACTURES FOURNISSEURS</vt:lpstr>
      <vt:lpstr>SOUS_TRAITANTS</vt:lpstr>
      <vt:lpstr>BASE FRAIS GENERAUX (2)</vt:lpstr>
      <vt:lpstr>NOTE</vt:lpstr>
      <vt:lpstr>PLAN COMPTABLE</vt:lpstr>
      <vt:lpstr>EVALUATION DETTES</vt:lpstr>
      <vt:lpstr>ECHEANCIER</vt:lpstr>
      <vt:lpstr>DONNEES</vt:lpstr>
      <vt:lpstr>BASE DES ENGAGEMENTS</vt:lpstr>
      <vt:lpstr>BASE DE LA DETTE</vt:lpstr>
      <vt:lpstr>BASE FRAIS GENERAUX</vt:lpstr>
      <vt:lpstr>PAIEMENTS DES DETTES</vt:lpstr>
      <vt:lpstr>BASE DETTES FINANCIÈRES</vt:lpstr>
      <vt:lpstr>IMPOTS_TAXES</vt:lpstr>
      <vt:lpstr>PROJECTIONS TRESORERIE</vt:lpstr>
      <vt:lpstr>TABLEAU DE BORD</vt:lpstr>
      <vt:lpstr>DETAIL LITIGE</vt:lpstr>
      <vt:lpstr>SUIVI BON DE COMMANDE</vt:lpstr>
      <vt:lpstr>DETTES FINANCIÈRES</vt:lpstr>
      <vt:lpstr>VENTES</vt:lpstr>
      <vt:lpstr>SOLDE DE TRESORERIE</vt:lpstr>
      <vt:lpstr>ENTITÉ</vt:lpstr>
      <vt:lpstr>TAUX_TVA</vt:lpstr>
      <vt:lpstr>TYPE_D_ENGAGEMENT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a12900</cp:lastModifiedBy>
  <cp:lastPrinted>2025-12-01T12:12:03Z</cp:lastPrinted>
  <dcterms:created xsi:type="dcterms:W3CDTF">2024-11-06T04:22:04Z</dcterms:created>
  <dcterms:modified xsi:type="dcterms:W3CDTF">2026-04-04T20:16:31Z</dcterms:modified>
</cp:coreProperties>
</file>